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202300"/>
  <mc:AlternateContent xmlns:mc="http://schemas.openxmlformats.org/markup-compatibility/2006">
    <mc:Choice Requires="x15">
      <x15ac:absPath xmlns:x15ac="http://schemas.microsoft.com/office/spreadsheetml/2010/11/ac" url="https://mailendicott-my.sharepoint.com/personal/bevitts_endicott_edu/Documents/BUS331-Investments/BME- Spring 2026 T-TH BUS331-02 Investments/Investment Project and Presentation Information/"/>
    </mc:Choice>
  </mc:AlternateContent>
  <xr:revisionPtr revIDLastSave="163" documentId="8_{0FD98A8B-C6AE-4BDD-999E-942F6BDC706C}" xr6:coauthVersionLast="47" xr6:coauthVersionMax="47" xr10:uidLastSave="{19AD323A-5361-43F2-B783-4B9A8B7EC18C}"/>
  <bookViews>
    <workbookView xWindow="-120" yWindow="-120" windowWidth="29040" windowHeight="15720" tabRatio="778" xr2:uid="{643542D5-B8E5-44F6-9F87-FC3BDEF55845}"/>
  </bookViews>
  <sheets>
    <sheet name="Team Information" sheetId="10" r:id="rId1"/>
    <sheet name="Economic Outlook Roles" sheetId="11" r:id="rId2"/>
    <sheet name="Historical Data" sheetId="9" r:id="rId3"/>
    <sheet name="Phase 1 Worksheet" sheetId="13" r:id="rId4"/>
    <sheet name="Initial Estimate vs AI" sheetId="14" r:id="rId5"/>
    <sheet name="Numerical Expectations" sheetId="15" r:id="rId6"/>
    <sheet name="Risk Matrix" sheetId="12" r:id="rId7"/>
    <sheet name="Base vs Bear Case" sheetId="16" r:id="rId8"/>
    <sheet name="10-2 Spread Explaination" sheetId="5" r:id="rId9"/>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 i="10" l="1"/>
  <c r="A12" i="10"/>
  <c r="A11" i="10"/>
  <c r="A10" i="10"/>
</calcChain>
</file>

<file path=xl/sharedStrings.xml><?xml version="1.0" encoding="utf-8"?>
<sst xmlns="http://schemas.openxmlformats.org/spreadsheetml/2006/main" count="153" uniqueCount="133">
  <si>
    <r>
      <t>Real GDP:</t>
    </r>
    <r>
      <rPr>
        <sz val="12"/>
        <color theme="1"/>
        <rFont val="Georgia Pro"/>
        <family val="2"/>
      </rPr>
      <t xml:space="preserve"> </t>
    </r>
    <r>
      <rPr>
        <sz val="10"/>
        <color theme="1"/>
        <rFont val="Arial Unicode MS"/>
      </rPr>
      <t>GDPC1</t>
    </r>
    <r>
      <rPr>
        <sz val="12"/>
        <color theme="1"/>
        <rFont val="Georgia Pro"/>
        <family val="2"/>
      </rPr>
      <t xml:space="preserve"> (Transformation: Q/Q % Change, Annualized)</t>
    </r>
  </si>
  <si>
    <r>
      <t>Inflation (CPI):</t>
    </r>
    <r>
      <rPr>
        <sz val="12"/>
        <color theme="1"/>
        <rFont val="Georgia Pro"/>
        <family val="2"/>
      </rPr>
      <t xml:space="preserve"> </t>
    </r>
    <r>
      <rPr>
        <sz val="10"/>
        <color theme="1"/>
        <rFont val="Arial Unicode MS"/>
      </rPr>
      <t>CPIAUCSL</t>
    </r>
    <r>
      <rPr>
        <sz val="12"/>
        <color theme="1"/>
        <rFont val="Georgia Pro"/>
        <family val="2"/>
      </rPr>
      <t xml:space="preserve"> (Transformation: 1-Month % Change)</t>
    </r>
  </si>
  <si>
    <r>
      <t>Yield Curve:</t>
    </r>
    <r>
      <rPr>
        <sz val="12"/>
        <color theme="1"/>
        <rFont val="Georgia Pro"/>
        <family val="2"/>
      </rPr>
      <t xml:space="preserve"> </t>
    </r>
    <r>
      <rPr>
        <sz val="10"/>
        <color theme="1"/>
        <rFont val="Arial Unicode MS"/>
      </rPr>
      <t>T10Y2Y</t>
    </r>
    <r>
      <rPr>
        <sz val="12"/>
        <color theme="1"/>
        <rFont val="Georgia Pro"/>
        <family val="2"/>
      </rPr>
      <t xml:space="preserve"> (Level)</t>
    </r>
  </si>
  <si>
    <r>
      <t>Consumer Sentiment:</t>
    </r>
    <r>
      <rPr>
        <sz val="12"/>
        <color theme="1"/>
        <rFont val="Georgia Pro"/>
        <family val="2"/>
      </rPr>
      <t xml:space="preserve"> </t>
    </r>
    <r>
      <rPr>
        <sz val="10"/>
        <color theme="1"/>
        <rFont val="Arial Unicode MS"/>
      </rPr>
      <t>UMCSENT</t>
    </r>
    <r>
      <rPr>
        <sz val="12"/>
        <color theme="1"/>
        <rFont val="Georgia Pro"/>
        <family val="2"/>
      </rPr>
      <t xml:space="preserve"> (Level)</t>
    </r>
  </si>
  <si>
    <r>
      <t>Fed Funds Rate:</t>
    </r>
    <r>
      <rPr>
        <sz val="12"/>
        <color theme="1"/>
        <rFont val="Georgia Pro"/>
        <family val="2"/>
      </rPr>
      <t xml:space="preserve"> </t>
    </r>
    <r>
      <rPr>
        <sz val="10"/>
        <color theme="1"/>
        <rFont val="Arial Unicode MS"/>
      </rPr>
      <t>FEDFUNDS</t>
    </r>
    <r>
      <rPr>
        <sz val="12"/>
        <color theme="1"/>
        <rFont val="Georgia Pro"/>
        <family val="2"/>
      </rPr>
      <t xml:space="preserve"> (Level)</t>
    </r>
  </si>
  <si>
    <t>1. The Market’s "Crystal Ball"</t>
  </si>
  <si>
    <t>2. The "Recession Predictor"</t>
  </si>
  <si>
    <t>The 10-2 spread has an almost perfect track record of predicting U.S. recessions. Historically, every recession since the 1950s has been preceded by an inversion of the yield curve (where the 2-year yield is higher than the 10-year yield).</t>
  </si>
  <si>
    <t>3. The "Credit Crunch" Mechanism (Why it hurts)</t>
  </si>
  <si>
    <t>4. How the Project Roles should use this data:</t>
  </si>
  <si>
    <r>
      <t xml:space="preserve">In the world of finance, the </t>
    </r>
    <r>
      <rPr>
        <b/>
        <sz val="10"/>
        <color rgb="FF1F1F1F"/>
        <rFont val="Arial"/>
        <family val="2"/>
      </rPr>
      <t>10-Year CMT minus the 2-Year CMT</t>
    </r>
    <r>
      <rPr>
        <sz val="10"/>
        <color rgb="FF1F1F1F"/>
        <rFont val="Arial"/>
        <family val="2"/>
      </rPr>
      <t xml:space="preserve"> (often called the </t>
    </r>
    <r>
      <rPr>
        <b/>
        <sz val="10"/>
        <color rgb="FF1F1F1F"/>
        <rFont val="Arial"/>
        <family val="2"/>
      </rPr>
      <t>10-2 Spread</t>
    </r>
    <r>
      <rPr>
        <sz val="10"/>
        <color rgb="FF1F1F1F"/>
        <rFont val="Arial"/>
        <family val="2"/>
      </rPr>
      <t>) is widely considered the single most important leading indicator of the economic cycle.</t>
    </r>
  </si>
  <si>
    <r>
      <t xml:space="preserve">The spread represents the </t>
    </r>
    <r>
      <rPr>
        <b/>
        <sz val="10"/>
        <color rgb="FF1F1F1F"/>
        <rFont val="Arial"/>
        <family val="2"/>
      </rPr>
      <t>slope of the yield curve</t>
    </r>
    <r>
      <rPr>
        <sz val="10"/>
        <color rgb="FF1F1F1F"/>
        <rFont val="Arial"/>
        <family val="2"/>
      </rPr>
      <t>. In a healthy, expanding economy, the curve should be "upward sloping" (a positive spread).</t>
    </r>
  </si>
  <si>
    <r>
      <t>The 10-Year Rate:</t>
    </r>
    <r>
      <rPr>
        <sz val="10"/>
        <color rgb="FF1F1F1F"/>
        <rFont val="Arial"/>
        <family val="2"/>
      </rPr>
      <t xml:space="preserve"> Reflects the market’s long-term expectations for growth and inflation. If investors think the economy will be strong in the future, they demand a higher yield to lock up their money for a decade.</t>
    </r>
  </si>
  <si>
    <r>
      <t>The 2-Year Rate:</t>
    </r>
    <r>
      <rPr>
        <sz val="10"/>
        <color rgb="FF1F1F1F"/>
        <rFont val="Arial"/>
        <family val="2"/>
      </rPr>
      <t xml:space="preserve"> Reflects the market’s expectation for what the Federal Reserve will do with interest rates over the next 24 months.</t>
    </r>
  </si>
  <si>
    <r>
      <t>Importance:</t>
    </r>
    <r>
      <rPr>
        <sz val="10"/>
        <color rgb="FF1F1F1F"/>
        <rFont val="Arial"/>
        <family val="2"/>
      </rPr>
      <t xml:space="preserve"> When the spread is positive, the market expects future growth. When it turns negative (the </t>
    </r>
    <r>
      <rPr>
        <b/>
        <sz val="10"/>
        <color rgb="FF1F1F1F"/>
        <rFont val="Arial"/>
        <family val="2"/>
      </rPr>
      <t>Inversion</t>
    </r>
    <r>
      <rPr>
        <sz val="10"/>
        <color rgb="FF1F1F1F"/>
        <rFont val="Arial"/>
        <family val="2"/>
      </rPr>
      <t>), it means the market expects the Fed to keep rates so high in the short term that it will eventually "break" the economy, leading to lower growth and lower interest rates in the future.</t>
    </r>
  </si>
  <si>
    <r>
      <t>The Lead Time:</t>
    </r>
    <r>
      <rPr>
        <sz val="10"/>
        <color rgb="FF1F1F1F"/>
        <rFont val="Arial"/>
        <family val="2"/>
      </rPr>
      <t xml:space="preserve"> An inversion doesn't mean a recession is happening </t>
    </r>
    <r>
      <rPr>
        <i/>
        <sz val="10"/>
        <color rgb="FF1F1F1F"/>
        <rFont val="Arial"/>
        <family val="2"/>
      </rPr>
      <t>today</t>
    </r>
    <r>
      <rPr>
        <sz val="10"/>
        <color rgb="FF1F1F1F"/>
        <rFont val="Arial"/>
        <family val="2"/>
      </rPr>
      <t xml:space="preserve">. It usually suggests a recession will occur in </t>
    </r>
    <r>
      <rPr>
        <b/>
        <sz val="10"/>
        <color rgb="FF1F1F1F"/>
        <rFont val="Arial"/>
        <family val="2"/>
      </rPr>
      <t>6 to 18 months</t>
    </r>
    <r>
      <rPr>
        <sz val="10"/>
        <color rgb="FF1F1F1F"/>
        <rFont val="Arial"/>
        <family val="2"/>
      </rPr>
      <t>.</t>
    </r>
  </si>
  <si>
    <r>
      <t>Relevance for the Assignment:</t>
    </r>
    <r>
      <rPr>
        <sz val="10"/>
        <color rgb="FF1F1F1F"/>
        <rFont val="Arial"/>
        <family val="2"/>
      </rPr>
      <t xml:space="preserve"> Since your students are doing a </t>
    </r>
    <r>
      <rPr>
        <b/>
        <sz val="10"/>
        <color rgb="FF1F1F1F"/>
        <rFont val="Arial"/>
        <family val="2"/>
      </rPr>
      <t>12-month forecast</t>
    </r>
    <r>
      <rPr>
        <sz val="10"/>
        <color rgb="FF1F1F1F"/>
        <rFont val="Arial"/>
        <family val="2"/>
      </rPr>
      <t>, the current state of this spread is their most powerful piece of evidence for whether they should be "Bullish" or "Bearish."</t>
    </r>
  </si>
  <si>
    <r>
      <t xml:space="preserve">Why does a negative spread actually </t>
    </r>
    <r>
      <rPr>
        <i/>
        <sz val="10"/>
        <color rgb="FF1F1F1F"/>
        <rFont val="Arial"/>
        <family val="2"/>
      </rPr>
      <t>cause</t>
    </r>
    <r>
      <rPr>
        <sz val="10"/>
        <color rgb="FF1F1F1F"/>
        <rFont val="Arial"/>
        <family val="2"/>
      </rPr>
      <t xml:space="preserve"> an economic slowdown? It comes down to how banks make money.</t>
    </r>
  </si>
  <si>
    <r>
      <t>Banks' Business Model:</t>
    </r>
    <r>
      <rPr>
        <sz val="10"/>
        <color rgb="FF1F1F1F"/>
        <rFont val="Arial"/>
        <family val="2"/>
      </rPr>
      <t xml:space="preserve"> Banks "Borrow Short" (paying you a low interest rate on your savings account) and "Lend Long" (charging a higher rate on 10-year mortgages or business loans).</t>
    </r>
  </si>
  <si>
    <r>
      <t>The Spread Problem:</t>
    </r>
    <r>
      <rPr>
        <sz val="10"/>
        <color rgb="FF1F1F1F"/>
        <rFont val="Arial"/>
        <family val="2"/>
      </rPr>
      <t xml:space="preserve"> When the 10-2 spread is inverted, the bank’s cost to borrow (the 2-year rate) is higher than what they can earn by lending (the 10-year rate).</t>
    </r>
  </si>
  <si>
    <r>
      <t>The Result:</t>
    </r>
    <r>
      <rPr>
        <sz val="10"/>
        <color rgb="FF1F1F1F"/>
        <rFont val="Arial"/>
        <family val="2"/>
      </rPr>
      <t xml:space="preserve"> Banks stop lending. If businesses can’t get loans and families can't get mortgages, economic activity grinds to a halt. This is the </t>
    </r>
    <r>
      <rPr>
        <b/>
        <sz val="10"/>
        <color rgb="FF1F1F1F"/>
        <rFont val="Arial"/>
        <family val="2"/>
      </rPr>
      <t>transmission mechanism</t>
    </r>
    <r>
      <rPr>
        <sz val="10"/>
        <color rgb="FF1F1F1F"/>
        <rFont val="Arial"/>
        <family val="2"/>
      </rPr>
      <t xml:space="preserve"> that turns a math problem into a real-world recession.</t>
    </r>
  </si>
  <si>
    <r>
      <t>The Data Architect:</t>
    </r>
    <r>
      <rPr>
        <sz val="10"/>
        <color rgb="FF1F1F1F"/>
        <rFont val="Arial"/>
        <family val="2"/>
      </rPr>
      <t xml:space="preserve"> Must ensure the historical baseline in the Excel file clearly shows the </t>
    </r>
    <r>
      <rPr>
        <b/>
        <sz val="10"/>
        <color rgb="FF1F1F1F"/>
        <rFont val="Arial"/>
        <family val="2"/>
      </rPr>
      <t>"Spread"</t>
    </r>
    <r>
      <rPr>
        <sz val="10"/>
        <color rgb="FF1F1F1F"/>
        <rFont val="Arial"/>
        <family val="2"/>
      </rPr>
      <t xml:space="preserve"> (10yr minus 2yr) as a specific column. If the number is negative, they should alert the team that they are in a "Late-Cycle" or "Recessionary" regime.</t>
    </r>
  </si>
  <si>
    <r>
      <t>The Strategy Lead:</t>
    </r>
    <r>
      <rPr>
        <sz val="10"/>
        <color rgb="FF1F1F1F"/>
        <rFont val="Arial"/>
        <family val="2"/>
      </rPr>
      <t xml:space="preserve"> If the spread is negative (inverted), they must justify why a recession </t>
    </r>
    <r>
      <rPr>
        <i/>
        <sz val="10"/>
        <color rgb="FF1F1F1F"/>
        <rFont val="Arial"/>
        <family val="2"/>
      </rPr>
      <t>won't</t>
    </r>
    <r>
      <rPr>
        <sz val="10"/>
        <color rgb="FF1F1F1F"/>
        <rFont val="Arial"/>
        <family val="2"/>
      </rPr>
      <t xml:space="preserve"> happen in the next 12 months, or lean into the Bear Case.</t>
    </r>
  </si>
  <si>
    <r>
      <t>The AI Orchestrator:</t>
    </r>
    <r>
      <rPr>
        <sz val="10"/>
        <color rgb="FF1F1F1F"/>
        <rFont val="Arial"/>
        <family val="2"/>
      </rPr>
      <t xml:space="preserve"> Should use the current spread level to "Red Team" the group.</t>
    </r>
  </si>
  <si>
    <r>
      <t>Prompt Example:</t>
    </r>
    <r>
      <rPr>
        <sz val="10"/>
        <color rgb="FF1F1F1F"/>
        <rFont val="Arial"/>
        <family val="2"/>
      </rPr>
      <t xml:space="preserve"> "The 10-2 spread is currently -0.50% (inverted). Act as a Bond Strategist; explain why this specific inversion makes a 'Soft Landing' statistically unlikely over the next 12 months."</t>
    </r>
  </si>
  <si>
    <r>
      <t xml:space="preserve">The following </t>
    </r>
    <r>
      <rPr>
        <b/>
        <sz val="12"/>
        <color theme="1"/>
        <rFont val="Georgia Pro"/>
        <family val="2"/>
      </rPr>
      <t>Series IDs</t>
    </r>
    <r>
      <rPr>
        <sz val="12"/>
        <color theme="1"/>
        <rFont val="Georgia Pro"/>
        <family val="2"/>
      </rPr>
      <t xml:space="preserve"> from </t>
    </r>
    <r>
      <rPr>
        <b/>
        <sz val="12"/>
        <color theme="1"/>
        <rFont val="Georgia Pro"/>
        <family val="2"/>
      </rPr>
      <t>FRED</t>
    </r>
    <r>
      <rPr>
        <sz val="12"/>
        <color theme="1"/>
        <rFont val="Georgia Pro"/>
        <family val="2"/>
      </rPr>
      <t xml:space="preserve"> for the last 5 years into a "Historical Data" tab:</t>
    </r>
  </si>
  <si>
    <t>Date</t>
  </si>
  <si>
    <t>Real GDP</t>
  </si>
  <si>
    <t>CPI</t>
  </si>
  <si>
    <t>10Y-2Y</t>
  </si>
  <si>
    <t>Consumer Sentiment</t>
  </si>
  <si>
    <t>Fed Funds</t>
  </si>
  <si>
    <t>Team Members:</t>
  </si>
  <si>
    <t>12 Month AI Augmented Economic Outlook</t>
  </si>
  <si>
    <t>Name</t>
  </si>
  <si>
    <t>Data Architect</t>
  </si>
  <si>
    <t>Consensus Analyst</t>
  </si>
  <si>
    <t>AI Orchestrator</t>
  </si>
  <si>
    <t>Strategy Lead</t>
  </si>
  <si>
    <t>12 Month AI Augmented Economic Outlook Roles</t>
  </si>
  <si>
    <t>Role- Drop Down List</t>
  </si>
  <si>
    <t>Not yet available</t>
  </si>
  <si>
    <t>Interest Rate</t>
  </si>
  <si>
    <t xml:space="preserve">Sentiment </t>
  </si>
  <si>
    <t>12 Month GDP Forecast</t>
  </si>
  <si>
    <t>Sentiment</t>
  </si>
  <si>
    <t>Anchor</t>
  </si>
  <si>
    <t>Interest Rates</t>
  </si>
  <si>
    <t>Team GDP Forecast:</t>
  </si>
  <si>
    <t>Initial Assumptions:</t>
  </si>
  <si>
    <t>Phase 1 Worksheet: Initial Estimate</t>
  </si>
  <si>
    <t>Group Name: __________________________</t>
  </si>
  <si>
    <t>Data Architect: ________________________</t>
  </si>
  <si>
    <r>
      <t xml:space="preserve">Instructions: Open the </t>
    </r>
    <r>
      <rPr>
        <b/>
        <i/>
        <sz val="11"/>
        <color rgb="FF444746"/>
        <rFont val="Arial"/>
        <family val="2"/>
      </rPr>
      <t>Historical Data</t>
    </r>
    <r>
      <rPr>
        <b/>
        <i/>
        <sz val="11"/>
        <color rgb="FF1F1F1F"/>
        <rFont val="Arial"/>
        <family val="2"/>
      </rPr>
      <t xml:space="preserve"> tab in the Macro Starter File. As a group, review the last 5 years of data. Do not use AI for this worksheet. Your goal is to identify the "momentum" of the economy to provide a baseline for your 12-month forecast.</t>
    </r>
  </si>
  <si>
    <t>Section 1: The Growth &amp; Inflation Pulse</t>
  </si>
  <si>
    <t>Analyze the relationship between Real GDP and CPI.</t>
  </si>
  <si>
    <t>1. The Growth Peak: Identify the quarter with the highest Real GDP growth. What was the rate? _____________%</t>
  </si>
  <si>
    <t>2. The Inflation Peak: Identify the month where CPI (Inflation) was at its highest. What was the rate? _____________%</t>
  </si>
  <si>
    <t>3. The Trend Observation: Looking at the last 4 quarters, is GDP accelerating, decelerating, or stagnating?</t>
  </si>
  <si>
    <t>Observation: __________________________________________________________________________</t>
  </si>
  <si>
    <t>Section 2: The Leading Indicators</t>
  </si>
  <si>
    <t>Analyze the Yield Curve and Consumer Sentiment.</t>
  </si>
  <si>
    <r>
      <t xml:space="preserve">1. Yield Curve Inversion Check: Scan the </t>
    </r>
    <r>
      <rPr>
        <b/>
        <i/>
        <sz val="11"/>
        <color rgb="FF444746"/>
        <rFont val="Arial"/>
        <family val="2"/>
      </rPr>
      <t>10Y-2Y Spread</t>
    </r>
    <r>
      <rPr>
        <b/>
        <i/>
        <sz val="11"/>
        <color rgb="FF1F1F1F"/>
        <rFont val="Arial"/>
        <family val="2"/>
      </rPr>
      <t xml:space="preserve"> column.</t>
    </r>
  </si>
  <si>
    <t>Is the spread currently Positive (Normal) or Negative (Inverted)? ______________</t>
  </si>
  <si>
    <t>How many months in the last 2 years has the curve been inverted? ______________</t>
  </si>
  <si>
    <t>2. Sentiment vs. GDP: Find a period where Consumer Sentiment dropped significantly. Did Real GDP drop in the same quarter, or did GDP stay high while people felt worse?</t>
  </si>
  <si>
    <t>Section 3: The Monetary Environment</t>
  </si>
  <si>
    <t>Analyze the Federal Funds Rate ($FEDFUNDS$).</t>
  </si>
  <si>
    <t>1. The Hiking Cycle: When did the most aggressive increase in interest rates begin? (Date: __________)</t>
  </si>
  <si>
    <t>2. The Plateau: Has the Fed Funds Rate stayed at the same level for the last 6 months, or is it still moving?</t>
  </si>
  <si>
    <t>Section 4: Preliminary Regime Hypothesis</t>
  </si>
  <si>
    <t>Based ONLY on your manual audit above, circle the "Regime" you believe describes the current economy.</t>
  </si>
  <si>
    <t>Expansion: High Growth, Low/Stable Inflation, Positive Yield Curve.</t>
  </si>
  <si>
    <t>Late-Cycle: Decelerating Growth, High Inflation, Flat/Inverted Yield Curve.</t>
  </si>
  <si>
    <t>Recession: Negative Growth, Falling Inflation, High Unemployment.</t>
  </si>
  <si>
    <t>Recovery: Low but Rising Growth, Falling Inflation, Steepening Yield Curve.</t>
  </si>
  <si>
    <t>Team Justification:</t>
  </si>
  <si>
    <t>"We believe the regime is ____________ because..." __________________________________________________________________________________________________________________________________________________________________________________________________________________</t>
  </si>
  <si>
    <t>Variable</t>
  </si>
  <si>
    <t>Human View (Worksheet)</t>
  </si>
  <si>
    <t>AI View (Validation)</t>
  </si>
  <si>
    <t>Final Group Consensus</t>
  </si>
  <si>
    <t>Current Regime</t>
  </si>
  <si>
    <t>e.g., Expansion</t>
  </si>
  <si>
    <t>e.g., Late-Cycle</t>
  </si>
  <si>
    <t>Late-Cycle</t>
  </si>
  <si>
    <t>Primary Risk</t>
  </si>
  <si>
    <t>Inflation</t>
  </si>
  <si>
    <t>Yield Curve Inversion</t>
  </si>
  <si>
    <t>"Confusingly low"</t>
  </si>
  <si>
    <t>"Reflecting high rent"</t>
  </si>
  <si>
    <t>High rent/cost of living</t>
  </si>
  <si>
    <t>Sentiment Description</t>
  </si>
  <si>
    <t xml:space="preserve">Remove Examples in Grey </t>
  </si>
  <si>
    <t>Add your data</t>
  </si>
  <si>
    <t>Now add your teams intial estimates to the  Initial Estimates vs AI Tab</t>
  </si>
  <si>
    <t>Then move onto Phase 1 -Step1.2</t>
  </si>
  <si>
    <t>Current Level (FRED)</t>
  </si>
  <si>
    <t>Team Forecast (12-Mo)</t>
  </si>
  <si>
    <t>Justification &amp; AI Red-Team Defense</t>
  </si>
  <si>
    <t>Real GDP Growth</t>
  </si>
  <si>
    <t>e.g., 2.1%</t>
  </si>
  <si>
    <t>@ECO Mean: ________</t>
  </si>
  <si>
    <t>_______%</t>
  </si>
  <si>
    <t>[Above / Below / Neutral]</t>
  </si>
  <si>
    <t>Identify the "Primary Driver." Summarize how you defended this number against the AI's "Red Team" critique.</t>
  </si>
  <si>
    <t>Fed Funds Rate</t>
  </si>
  <si>
    <t>e.g., 5.33%</t>
  </si>
  <si>
    <t>[Hawkish / Dovish / Neutral]</t>
  </si>
  <si>
    <t>Why do you believe the Fed will cut more or less than what the market currently prices in?</t>
  </si>
  <si>
    <t>e.g., 68.0</t>
  </si>
  <si>
    <t>_______</t>
  </si>
  <si>
    <t>[Optimistic / Pessimistic]</t>
  </si>
  <si>
    <t>Explain the relationship between your Inflation forecast and this Sentiment number.</t>
  </si>
  <si>
    <t>Thesis Direction Vs Market Consensus</t>
  </si>
  <si>
    <t>Feature</t>
  </si>
  <si>
    <t>Base Case (Phase 2)</t>
  </si>
  <si>
    <t>Bear Case (Phase 3)</t>
  </si>
  <si>
    <t>Probability</t>
  </si>
  <si>
    <t>50% - 60% (Most Likely)</t>
  </si>
  <si>
    <t>20% - 25% (Tail Risk)</t>
  </si>
  <si>
    <t>Excel Source</t>
  </si>
  <si>
    <t>The Anchor Cell (B5)</t>
  </si>
  <si>
    <t>The Red Zone of the Matrix</t>
  </si>
  <si>
    <t>Market Driver</t>
  </si>
  <si>
    <t>FactSet Consensus</t>
  </si>
  <si>
    <t>A "Shock" to the Model</t>
  </si>
  <si>
    <t>IC Focus</t>
  </si>
  <si>
    <t>Where to invest?</t>
  </si>
  <si>
    <t>Where to invest? Should we hedge for protection?</t>
  </si>
  <si>
    <t>Market Consensus (FactSet/CME/web)</t>
  </si>
  <si>
    <t>University of Michigan Web/FRED</t>
  </si>
  <si>
    <t>Team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</si>
</sst>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2"/>
      <color theme="1"/>
      <name val="Georgia Pro"/>
      <family val="2"/>
    </font>
    <font>
      <b/>
      <sz val="12"/>
      <color theme="1"/>
      <name val="Georgia Pro"/>
      <family val="2"/>
    </font>
    <font>
      <sz val="10"/>
      <color theme="1"/>
      <name val="Arial Unicode MS"/>
    </font>
    <font>
      <sz val="10"/>
      <color rgb="FF1F1F1F"/>
      <name val="Arial"/>
      <family val="2"/>
    </font>
    <font>
      <b/>
      <sz val="10"/>
      <color rgb="FF1F1F1F"/>
      <name val="Arial"/>
      <family val="2"/>
    </font>
    <font>
      <sz val="10"/>
      <color theme="1"/>
      <name val="Georgia Pro"/>
      <family val="2"/>
    </font>
    <font>
      <i/>
      <sz val="10"/>
      <color rgb="FF1F1F1F"/>
      <name val="Arial"/>
      <family val="2"/>
    </font>
    <font>
      <sz val="12"/>
      <color theme="1"/>
      <name val="Georgia Pro"/>
      <family val="2"/>
    </font>
    <font>
      <b/>
      <sz val="10"/>
      <color theme="1"/>
      <name val="Arial"/>
      <family val="2"/>
    </font>
    <font>
      <sz val="10"/>
      <color theme="1"/>
      <name val="Arial"/>
      <family val="2"/>
    </font>
    <font>
      <sz val="10"/>
      <color theme="1"/>
      <name val="Georgia Pro"/>
      <family val="1"/>
    </font>
    <font>
      <sz val="10"/>
      <color theme="1" tint="0.499984740745262"/>
      <name val="Georgia Pro"/>
      <family val="1"/>
    </font>
    <font>
      <b/>
      <i/>
      <sz val="23"/>
      <color rgb="FF1F1F1F"/>
      <name val="Arial"/>
      <family val="2"/>
    </font>
    <font>
      <b/>
      <i/>
      <sz val="11"/>
      <color rgb="FF1F1F1F"/>
      <name val="Arial"/>
      <family val="2"/>
    </font>
    <font>
      <b/>
      <i/>
      <sz val="11"/>
      <color rgb="FF444746"/>
      <name val="Arial"/>
      <family val="2"/>
    </font>
    <font>
      <b/>
      <i/>
      <sz val="13"/>
      <color rgb="FF1F1F1F"/>
      <name val="Arial"/>
      <family val="2"/>
    </font>
    <font>
      <b/>
      <i/>
      <sz val="11"/>
      <color theme="0" tint="-0.249977111117893"/>
      <name val="Arial"/>
      <family val="2"/>
    </font>
    <font>
      <b/>
      <i/>
      <sz val="14"/>
      <color theme="0" tint="-0.249977111117893"/>
      <name val="Arial"/>
      <family val="2"/>
    </font>
    <font>
      <b/>
      <sz val="11"/>
      <color rgb="FF1F1F1F"/>
      <name val="Arial"/>
      <family val="2"/>
    </font>
    <font>
      <b/>
      <sz val="11"/>
      <color theme="0" tint="-0.14999847407452621"/>
      <name val="Arial"/>
      <family val="2"/>
    </font>
    <font>
      <b/>
      <sz val="10"/>
      <color theme="0" tint="-0.14999847407452621"/>
      <name val="Arial"/>
      <family val="2"/>
    </font>
    <font>
      <b/>
      <i/>
      <sz val="12"/>
      <color theme="0" tint="-0.249977111117893"/>
      <name val="Arial"/>
      <family val="2"/>
    </font>
  </fonts>
  <fills count="7">
    <fill>
      <patternFill patternType="none"/>
    </fill>
    <fill>
      <patternFill patternType="gray125"/>
    </fill>
    <fill>
      <patternFill patternType="solid">
        <fgColor theme="9"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EFEFEF"/>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top/>
      <bottom style="medium">
        <color rgb="FFCCCCCC"/>
      </bottom>
      <diagonal/>
    </border>
    <border>
      <left/>
      <right/>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style="medium">
        <color rgb="FFCCCCCC"/>
      </bottom>
      <diagonal/>
    </border>
    <border>
      <left style="thin">
        <color indexed="64"/>
      </left>
      <right style="medium">
        <color rgb="FFCCCCCC"/>
      </right>
      <top style="thin">
        <color indexed="64"/>
      </top>
      <bottom style="thin">
        <color indexed="64"/>
      </bottom>
      <diagonal/>
    </border>
    <border>
      <left style="medium">
        <color rgb="FFCCCCCC"/>
      </left>
      <right style="thin">
        <color indexed="64"/>
      </right>
      <top style="thin">
        <color indexed="64"/>
      </top>
      <bottom/>
      <diagonal/>
    </border>
    <border>
      <left/>
      <right style="medium">
        <color rgb="FFCCCCCC"/>
      </right>
      <top style="medium">
        <color rgb="FFCCCCCC"/>
      </top>
      <bottom/>
      <diagonal/>
    </border>
    <border>
      <left style="medium">
        <color rgb="FFCCCCCC"/>
      </left>
      <right/>
      <top/>
      <bottom/>
      <diagonal/>
    </border>
    <border>
      <left style="thin">
        <color indexed="64"/>
      </left>
      <right style="thin">
        <color indexed="64"/>
      </right>
      <top style="thin">
        <color indexed="64"/>
      </top>
      <bottom style="thin">
        <color indexed="64"/>
      </bottom>
      <diagonal/>
    </border>
    <border>
      <left style="medium">
        <color rgb="FFCCCCCC"/>
      </left>
      <right style="thin">
        <color indexed="64"/>
      </right>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style="thin">
        <color rgb="FF1F1F1F"/>
      </top>
      <bottom style="double">
        <color indexed="64"/>
      </bottom>
      <diagonal/>
    </border>
    <border>
      <left style="thin">
        <color rgb="FF1F1F1F"/>
      </left>
      <right style="thin">
        <color rgb="FF1F1F1F"/>
      </right>
      <top style="thin">
        <color rgb="FF1F1F1F"/>
      </top>
      <bottom/>
      <diagonal/>
    </border>
    <border>
      <left style="thin">
        <color rgb="FF1F1F1F"/>
      </left>
      <right/>
      <top/>
      <bottom style="thin">
        <color rgb="FF1F1F1F"/>
      </bottom>
      <diagonal/>
    </border>
    <border>
      <left style="thin">
        <color rgb="FF1F1F1F"/>
      </left>
      <right/>
      <top style="thin">
        <color rgb="FF1F1F1F"/>
      </top>
      <bottom style="thin">
        <color rgb="FF1F1F1F"/>
      </bottom>
      <diagonal/>
    </border>
  </borders>
  <cellStyleXfs count="2">
    <xf numFmtId="0" fontId="0" fillId="0" borderId="0"/>
    <xf numFmtId="9" fontId="7" fillId="0" borderId="0" applyFont="0" applyFill="0" applyBorder="0" applyAlignment="0" applyProtection="0"/>
  </cellStyleXfs>
  <cellXfs count="58">
    <xf numFmtId="0" fontId="0" fillId="0" borderId="0" xfId="0"/>
    <xf numFmtId="0" fontId="0" fillId="0" borderId="0" xfId="0" applyAlignment="1">
      <alignment horizontal="left" vertical="center" indent="1"/>
    </xf>
    <xf numFmtId="0" fontId="1" fillId="0" borderId="0" xfId="0" applyFont="1" applyAlignment="1">
      <alignment horizontal="left" vertical="center" indent="1"/>
    </xf>
    <xf numFmtId="0" fontId="3" fillId="0" borderId="0" xfId="0" applyFont="1" applyAlignment="1">
      <alignment vertical="center" readingOrder="1"/>
    </xf>
    <xf numFmtId="0" fontId="5" fillId="0" borderId="0" xfId="0" applyFont="1"/>
    <xf numFmtId="0" fontId="4" fillId="0" borderId="0" xfId="0" applyFont="1" applyAlignment="1">
      <alignment vertical="center" readingOrder="1"/>
    </xf>
    <xf numFmtId="0" fontId="4" fillId="0" borderId="0" xfId="0" applyFont="1" applyAlignment="1">
      <alignment horizontal="left" vertical="center" indent="1" readingOrder="1"/>
    </xf>
    <xf numFmtId="0" fontId="3" fillId="0" borderId="0" xfId="0" applyFont="1" applyAlignment="1">
      <alignment horizontal="left" vertical="center" indent="1" readingOrder="1"/>
    </xf>
    <xf numFmtId="0" fontId="6" fillId="0" borderId="0" xfId="0" applyFont="1" applyAlignment="1">
      <alignment horizontal="left" vertical="center" indent="2" readingOrder="1"/>
    </xf>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wrapText="1"/>
    </xf>
    <xf numFmtId="0" fontId="0" fillId="0" borderId="0" xfId="0" applyAlignment="1">
      <alignment wrapText="1"/>
    </xf>
    <xf numFmtId="0" fontId="8" fillId="0" borderId="1" xfId="0" applyFont="1" applyBorder="1" applyAlignment="1">
      <alignment wrapText="1"/>
    </xf>
    <xf numFmtId="0" fontId="9" fillId="0" borderId="1" xfId="0" applyFont="1" applyBorder="1" applyAlignment="1">
      <alignment wrapText="1"/>
    </xf>
    <xf numFmtId="10" fontId="9" fillId="0" borderId="1" xfId="0" applyNumberFormat="1" applyFont="1" applyBorder="1" applyAlignment="1">
      <alignment horizontal="right" wrapText="1"/>
    </xf>
    <xf numFmtId="10" fontId="9" fillId="0" borderId="1" xfId="0" applyNumberFormat="1" applyFont="1" applyBorder="1" applyAlignment="1">
      <alignment horizontal="center" wrapText="1"/>
    </xf>
    <xf numFmtId="10" fontId="8" fillId="0" borderId="1" xfId="0" applyNumberFormat="1" applyFont="1" applyBorder="1" applyAlignment="1">
      <alignment horizontal="left" wrapText="1"/>
    </xf>
    <xf numFmtId="10" fontId="10" fillId="2" borderId="1" xfId="0" applyNumberFormat="1" applyFont="1" applyFill="1" applyBorder="1" applyAlignment="1">
      <alignment horizontal="right" wrapText="1"/>
    </xf>
    <xf numFmtId="10" fontId="10" fillId="3" borderId="4" xfId="0" applyNumberFormat="1" applyFont="1" applyFill="1" applyBorder="1" applyAlignment="1">
      <alignment horizontal="right" wrapText="1"/>
    </xf>
    <xf numFmtId="0" fontId="10" fillId="0" borderId="1" xfId="0" applyFont="1" applyBorder="1" applyAlignment="1">
      <alignment horizontal="center" wrapText="1"/>
    </xf>
    <xf numFmtId="10" fontId="9" fillId="0" borderId="5" xfId="0" applyNumberFormat="1" applyFont="1" applyBorder="1" applyAlignment="1">
      <alignment horizontal="right" wrapText="1"/>
    </xf>
    <xf numFmtId="10" fontId="11" fillId="3" borderId="6" xfId="0" applyNumberFormat="1" applyFont="1" applyFill="1" applyBorder="1" applyAlignment="1">
      <alignment horizontal="left" wrapText="1"/>
    </xf>
    <xf numFmtId="10" fontId="11" fillId="3" borderId="7" xfId="1" applyNumberFormat="1" applyFont="1" applyFill="1" applyBorder="1" applyAlignment="1">
      <alignment horizontal="center" wrapText="1"/>
    </xf>
    <xf numFmtId="1" fontId="10" fillId="4" borderId="8" xfId="1" applyNumberFormat="1" applyFont="1" applyFill="1" applyBorder="1" applyAlignment="1">
      <alignment horizontal="center" wrapText="1"/>
    </xf>
    <xf numFmtId="1" fontId="10" fillId="4" borderId="4" xfId="1" applyNumberFormat="1" applyFont="1" applyFill="1" applyBorder="1" applyAlignment="1">
      <alignment horizontal="center" wrapText="1"/>
    </xf>
    <xf numFmtId="1" fontId="10" fillId="4" borderId="0" xfId="1" applyNumberFormat="1" applyFont="1" applyFill="1" applyAlignment="1">
      <alignment horizontal="center"/>
    </xf>
    <xf numFmtId="1" fontId="10" fillId="4" borderId="9" xfId="1" applyNumberFormat="1" applyFont="1" applyFill="1" applyBorder="1" applyAlignment="1">
      <alignment horizontal="center" wrapText="1"/>
    </xf>
    <xf numFmtId="10" fontId="10" fillId="4" borderId="10" xfId="1" applyNumberFormat="1" applyFont="1" applyFill="1" applyBorder="1" applyAlignment="1">
      <alignment horizontal="center" wrapText="1"/>
    </xf>
    <xf numFmtId="10" fontId="10" fillId="0" borderId="10" xfId="1" applyNumberFormat="1" applyFont="1" applyBorder="1"/>
    <xf numFmtId="10" fontId="10" fillId="0" borderId="10" xfId="1" applyNumberFormat="1" applyFont="1" applyBorder="1" applyAlignment="1">
      <alignment horizontal="right" wrapText="1"/>
    </xf>
    <xf numFmtId="10" fontId="10" fillId="4" borderId="10" xfId="1" applyNumberFormat="1" applyFont="1" applyFill="1" applyBorder="1" applyAlignment="1">
      <alignment horizontal="center"/>
    </xf>
    <xf numFmtId="10" fontId="10" fillId="0" borderId="10" xfId="1" applyNumberFormat="1" applyFont="1" applyBorder="1" applyAlignment="1">
      <alignment wrapText="1"/>
    </xf>
    <xf numFmtId="10" fontId="9" fillId="5" borderId="1" xfId="0" applyNumberFormat="1" applyFont="1" applyFill="1" applyBorder="1" applyAlignment="1">
      <alignment horizontal="center" wrapText="1"/>
    </xf>
    <xf numFmtId="2" fontId="9" fillId="5" borderId="1" xfId="0" applyNumberFormat="1" applyFont="1" applyFill="1" applyBorder="1" applyAlignment="1">
      <alignment horizontal="center" wrapText="1"/>
    </xf>
    <xf numFmtId="10" fontId="9" fillId="5" borderId="1" xfId="1" applyNumberFormat="1" applyFont="1" applyFill="1" applyBorder="1" applyAlignment="1">
      <alignment horizontal="center" wrapText="1"/>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13" fillId="0" borderId="0" xfId="0" applyFont="1" applyAlignment="1">
      <alignment horizontal="left" vertical="center" indent="1"/>
    </xf>
    <xf numFmtId="0" fontId="13" fillId="0" borderId="0" xfId="0" applyFont="1" applyAlignment="1">
      <alignment horizontal="left" vertical="center" indent="2"/>
    </xf>
    <xf numFmtId="0" fontId="13" fillId="6" borderId="13" xfId="0" applyFont="1" applyFill="1" applyBorder="1" applyAlignment="1">
      <alignment horizontal="left" vertical="center" wrapText="1" indent="1"/>
    </xf>
    <xf numFmtId="0" fontId="17" fillId="0" borderId="10" xfId="0" applyFont="1" applyBorder="1" applyAlignment="1">
      <alignment horizontal="left" vertical="center" wrapText="1" indent="1"/>
    </xf>
    <xf numFmtId="10" fontId="10" fillId="2" borderId="2" xfId="0" applyNumberFormat="1" applyFont="1" applyFill="1" applyBorder="1" applyAlignment="1">
      <alignment horizontal="center" wrapText="1"/>
    </xf>
    <xf numFmtId="10" fontId="10" fillId="2" borderId="3" xfId="0" applyNumberFormat="1" applyFont="1" applyFill="1" applyBorder="1" applyAlignment="1">
      <alignment horizontal="center" wrapText="1"/>
    </xf>
    <xf numFmtId="10" fontId="10" fillId="2" borderId="7" xfId="0" applyNumberFormat="1" applyFont="1" applyFill="1" applyBorder="1" applyAlignment="1">
      <alignment horizontal="center" vertical="center" wrapText="1"/>
    </xf>
    <xf numFmtId="10" fontId="10" fillId="2" borderId="11" xfId="0" applyNumberFormat="1" applyFont="1" applyFill="1" applyBorder="1" applyAlignment="1">
      <alignment horizontal="center" vertical="center" wrapText="1"/>
    </xf>
    <xf numFmtId="0" fontId="13" fillId="0" borderId="15" xfId="0" applyFont="1" applyBorder="1" applyAlignment="1">
      <alignment horizontal="left" vertical="center" wrapText="1" indent="1"/>
    </xf>
    <xf numFmtId="0" fontId="13" fillId="0" borderId="16" xfId="0" applyFont="1" applyBorder="1" applyAlignment="1">
      <alignment horizontal="left" vertical="center" wrapText="1" indent="1"/>
    </xf>
    <xf numFmtId="0" fontId="13" fillId="6" borderId="14" xfId="0" applyFont="1" applyFill="1" applyBorder="1" applyAlignment="1">
      <alignment horizontal="left" vertical="center" wrapText="1" indent="1"/>
    </xf>
    <xf numFmtId="0" fontId="16" fillId="0" borderId="10" xfId="0" applyFont="1" applyBorder="1" applyAlignment="1">
      <alignment horizontal="left" vertical="center" wrapText="1" indent="1"/>
    </xf>
    <xf numFmtId="0" fontId="18" fillId="6" borderId="14" xfId="0" applyFont="1" applyFill="1" applyBorder="1" applyAlignment="1">
      <alignment horizontal="left" vertical="center" wrapText="1" indent="1"/>
    </xf>
    <xf numFmtId="0" fontId="18" fillId="0" borderId="12" xfId="0" applyFont="1" applyBorder="1" applyAlignment="1">
      <alignment horizontal="left" vertical="center" wrapText="1" indent="1"/>
    </xf>
    <xf numFmtId="0" fontId="19" fillId="0" borderId="12" xfId="0" applyFont="1" applyBorder="1" applyAlignment="1">
      <alignment horizontal="left" vertical="center" wrapText="1" indent="1"/>
    </xf>
    <xf numFmtId="0" fontId="4" fillId="6" borderId="12" xfId="0" applyFont="1" applyFill="1" applyBorder="1" applyAlignment="1">
      <alignment horizontal="left" vertical="center" wrapText="1" indent="1"/>
    </xf>
    <xf numFmtId="0" fontId="4" fillId="0" borderId="12" xfId="0" applyFont="1" applyBorder="1" applyAlignment="1">
      <alignment horizontal="left" vertical="center" wrapText="1" indent="1"/>
    </xf>
    <xf numFmtId="0" fontId="20" fillId="0" borderId="12" xfId="0" applyFont="1" applyBorder="1" applyAlignment="1">
      <alignment horizontal="left" vertical="center" wrapText="1" indent="1"/>
    </xf>
    <xf numFmtId="0" fontId="21" fillId="0" borderId="10" xfId="0" applyFont="1" applyBorder="1" applyAlignment="1">
      <alignment horizontal="left" vertical="center" wrapText="1" inden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F59B313-89D5-40BF-BA01-038A6B51DCB3}">
  <we:reference id="WA200003692" version="1.0.0.1" store="Omex" storeType="OMEX"/>
  <we:alternateReferences>
    <we:reference id="WA200003692" version="1.0.0.1" store="WA200003692"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AF510-04BA-4388-AC1E-B94D253075A2}">
  <sheetPr>
    <tabColor rgb="FF002060"/>
  </sheetPr>
  <dimension ref="A1:B13"/>
  <sheetViews>
    <sheetView tabSelected="1" workbookViewId="0">
      <selection activeCell="A2" sqref="A2"/>
    </sheetView>
  </sheetViews>
  <sheetFormatPr defaultRowHeight="15"/>
  <cols>
    <col min="1" max="1" width="14.109375" bestFit="1" customWidth="1"/>
    <col min="2" max="2" width="17" customWidth="1"/>
  </cols>
  <sheetData>
    <row r="1" spans="1:2">
      <c r="A1" t="s">
        <v>132</v>
      </c>
    </row>
    <row r="2" spans="1:2">
      <c r="A2" t="s">
        <v>32</v>
      </c>
    </row>
    <row r="3" spans="1:2">
      <c r="A3">
        <v>1</v>
      </c>
    </row>
    <row r="4" spans="1:2">
      <c r="A4">
        <v>2</v>
      </c>
    </row>
    <row r="5" spans="1:2">
      <c r="A5">
        <v>3</v>
      </c>
    </row>
    <row r="6" spans="1:2">
      <c r="A6">
        <v>4</v>
      </c>
    </row>
    <row r="8" spans="1:2">
      <c r="A8" t="s">
        <v>33</v>
      </c>
    </row>
    <row r="9" spans="1:2">
      <c r="A9" t="s">
        <v>34</v>
      </c>
      <c r="B9" t="s">
        <v>40</v>
      </c>
    </row>
    <row r="10" spans="1:2">
      <c r="A10">
        <f>B3</f>
        <v>0</v>
      </c>
    </row>
    <row r="11" spans="1:2">
      <c r="A11">
        <f>B4</f>
        <v>0</v>
      </c>
    </row>
    <row r="12" spans="1:2">
      <c r="A12">
        <f>B5</f>
        <v>0</v>
      </c>
    </row>
    <row r="13" spans="1:2">
      <c r="A13">
        <f>B6</f>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CA35EA2-79FC-47D9-85D3-D77E45E6DE86}">
          <x14:formula1>
            <xm:f>'Economic Outlook Roles'!$A$2:$A$5</xm:f>
          </x14:formula1>
          <xm:sqref>B10:B13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78F96-3C1F-44B2-95D4-AED8D4878467}">
  <sheetPr>
    <tabColor theme="9" tint="-0.249977111117893"/>
  </sheetPr>
  <dimension ref="A1:A5"/>
  <sheetViews>
    <sheetView workbookViewId="0">
      <selection activeCell="A2" sqref="A2"/>
    </sheetView>
  </sheetViews>
  <sheetFormatPr defaultRowHeight="15"/>
  <cols>
    <col min="1" max="1" width="41.5546875" bestFit="1" customWidth="1"/>
  </cols>
  <sheetData>
    <row r="1" spans="1:1">
      <c r="A1" t="s">
        <v>39</v>
      </c>
    </row>
    <row r="2" spans="1:1">
      <c r="A2" t="s">
        <v>35</v>
      </c>
    </row>
    <row r="3" spans="1:1">
      <c r="A3" t="s">
        <v>36</v>
      </c>
    </row>
    <row r="4" spans="1:1">
      <c r="A4" t="s">
        <v>37</v>
      </c>
    </row>
    <row r="5" spans="1:1">
      <c r="A5"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39176-70C9-4BD1-A350-0DA9C9E0890B}">
  <sheetPr>
    <tabColor theme="9" tint="-0.249977111117893"/>
  </sheetPr>
  <dimension ref="A1:L42"/>
  <sheetViews>
    <sheetView workbookViewId="0">
      <pane ySplit="1" topLeftCell="A2" activePane="bottomLeft" state="frozen"/>
      <selection pane="bottomLeft" activeCell="K21" sqref="K21"/>
    </sheetView>
  </sheetViews>
  <sheetFormatPr defaultRowHeight="15"/>
  <cols>
    <col min="1" max="1" width="10.77734375" style="9" bestFit="1" customWidth="1"/>
    <col min="2" max="2" width="12.5546875" style="9" customWidth="1"/>
    <col min="3" max="3" width="10.77734375" style="9" customWidth="1"/>
    <col min="4" max="4" width="10.33203125" style="9" customWidth="1"/>
    <col min="5" max="5" width="10.6640625" style="9" customWidth="1"/>
    <col min="6" max="6" width="9.33203125" style="9" bestFit="1" customWidth="1"/>
  </cols>
  <sheetData>
    <row r="1" spans="1:12" ht="27.75" customHeight="1">
      <c r="A1" s="9" t="s">
        <v>26</v>
      </c>
      <c r="B1" s="9" t="s">
        <v>27</v>
      </c>
      <c r="C1" s="9" t="s">
        <v>28</v>
      </c>
      <c r="D1" s="9" t="s">
        <v>29</v>
      </c>
      <c r="E1" s="11" t="s">
        <v>30</v>
      </c>
      <c r="F1" s="11" t="s">
        <v>31</v>
      </c>
    </row>
    <row r="2" spans="1:12">
      <c r="A2" s="10">
        <v>43466</v>
      </c>
      <c r="B2" s="9">
        <v>2.5207600000000001</v>
      </c>
      <c r="C2" s="9">
        <v>1.48759</v>
      </c>
      <c r="D2" s="9">
        <v>0.17</v>
      </c>
      <c r="E2" s="9">
        <v>91.2</v>
      </c>
      <c r="F2" s="9">
        <v>2.4</v>
      </c>
      <c r="L2" t="s">
        <v>25</v>
      </c>
    </row>
    <row r="3" spans="1:12">
      <c r="A3" s="10">
        <v>43556</v>
      </c>
      <c r="B3" s="9">
        <v>3.38266</v>
      </c>
      <c r="C3" s="9">
        <v>2.0005799999999998</v>
      </c>
      <c r="D3" s="9">
        <v>0.19</v>
      </c>
      <c r="E3" s="9">
        <v>97.2</v>
      </c>
      <c r="F3" s="9">
        <v>2.42</v>
      </c>
      <c r="L3" s="1"/>
    </row>
    <row r="4" spans="1:12">
      <c r="A4" s="10">
        <v>43647</v>
      </c>
      <c r="B4" s="9">
        <v>4.7627800000000002</v>
      </c>
      <c r="C4" s="9">
        <v>1.82633</v>
      </c>
      <c r="D4" s="9">
        <v>0.22</v>
      </c>
      <c r="E4" s="9">
        <v>98.4</v>
      </c>
      <c r="F4" s="9">
        <v>2.4</v>
      </c>
      <c r="L4" s="2" t="s">
        <v>0</v>
      </c>
    </row>
    <row r="5" spans="1:12">
      <c r="A5" s="10">
        <v>43739</v>
      </c>
      <c r="B5" s="9">
        <v>2.7555399999999999</v>
      </c>
      <c r="C5" s="9">
        <v>1.73397</v>
      </c>
      <c r="D5" s="9">
        <v>0.16</v>
      </c>
      <c r="E5" s="9">
        <v>95.5</v>
      </c>
      <c r="F5" s="9">
        <v>1.83</v>
      </c>
      <c r="L5" s="1"/>
    </row>
    <row r="6" spans="1:12">
      <c r="A6" s="10">
        <v>43831</v>
      </c>
      <c r="B6" s="9">
        <v>-5.1622300000000001</v>
      </c>
      <c r="C6" s="9">
        <v>2.5997699999999999</v>
      </c>
      <c r="D6" s="9">
        <v>0.24</v>
      </c>
      <c r="E6" s="9">
        <v>99.8</v>
      </c>
      <c r="F6" s="9">
        <v>1.55</v>
      </c>
      <c r="L6" s="2" t="s">
        <v>1</v>
      </c>
    </row>
    <row r="7" spans="1:12">
      <c r="A7" s="10">
        <v>43922</v>
      </c>
      <c r="B7" s="9">
        <v>-27.976150000000001</v>
      </c>
      <c r="C7" s="9">
        <v>0.31304999999999999</v>
      </c>
      <c r="D7" s="9">
        <v>0.43</v>
      </c>
      <c r="E7" s="9">
        <v>71.8</v>
      </c>
      <c r="F7" s="9">
        <v>0.05</v>
      </c>
      <c r="L7" s="1"/>
    </row>
    <row r="8" spans="1:12">
      <c r="A8" s="10">
        <v>44013</v>
      </c>
      <c r="B8" s="9">
        <v>34.85501</v>
      </c>
      <c r="C8" s="9">
        <v>0.99685999999999997</v>
      </c>
      <c r="D8" s="9">
        <v>0.48</v>
      </c>
      <c r="E8" s="9">
        <v>72.5</v>
      </c>
      <c r="F8" s="9">
        <v>0.09</v>
      </c>
      <c r="L8" s="2" t="s">
        <v>2</v>
      </c>
    </row>
    <row r="9" spans="1:12">
      <c r="A9" s="10">
        <v>44105</v>
      </c>
      <c r="B9" s="9">
        <v>4.6117400000000002</v>
      </c>
      <c r="C9" s="9">
        <v>1.2303900000000001</v>
      </c>
      <c r="D9" s="9">
        <v>0.64</v>
      </c>
      <c r="E9" s="9">
        <v>81.8</v>
      </c>
      <c r="F9" s="9">
        <v>0.09</v>
      </c>
      <c r="L9" s="1"/>
    </row>
    <row r="10" spans="1:12">
      <c r="A10" s="10">
        <v>44197</v>
      </c>
      <c r="B10" s="9">
        <v>5.7012600000000004</v>
      </c>
      <c r="C10" s="9">
        <v>1.3553200000000001</v>
      </c>
      <c r="D10" s="9">
        <v>0.95</v>
      </c>
      <c r="E10" s="9">
        <v>79</v>
      </c>
      <c r="F10" s="9">
        <v>0.09</v>
      </c>
      <c r="L10" s="2" t="s">
        <v>3</v>
      </c>
    </row>
    <row r="11" spans="1:12">
      <c r="A11" s="10">
        <v>44287</v>
      </c>
      <c r="B11" s="9">
        <v>6.9833299999999996</v>
      </c>
      <c r="C11" s="9">
        <v>4.1373699999999998</v>
      </c>
      <c r="D11" s="9">
        <v>1.47</v>
      </c>
      <c r="E11" s="9">
        <v>88.3</v>
      </c>
      <c r="F11" s="9">
        <v>7.0000000000000007E-2</v>
      </c>
      <c r="L11" s="1"/>
    </row>
    <row r="12" spans="1:12">
      <c r="A12" s="10">
        <v>44378</v>
      </c>
      <c r="B12" s="9">
        <v>3.3412799999999998</v>
      </c>
      <c r="C12" s="9">
        <v>5.2691699999999999</v>
      </c>
      <c r="D12" s="9">
        <v>1.1000000000000001</v>
      </c>
      <c r="E12" s="9">
        <v>81.2</v>
      </c>
      <c r="F12" s="9">
        <v>0.1</v>
      </c>
      <c r="L12" s="2" t="s">
        <v>4</v>
      </c>
    </row>
    <row r="13" spans="1:12">
      <c r="A13" s="10">
        <v>44470</v>
      </c>
      <c r="B13" s="9">
        <v>7.0416800000000004</v>
      </c>
      <c r="C13" s="9">
        <v>6.2265899999999998</v>
      </c>
      <c r="D13" s="9">
        <v>1.19</v>
      </c>
      <c r="E13" s="9">
        <v>71.7</v>
      </c>
      <c r="F13" s="9">
        <v>0.08</v>
      </c>
    </row>
    <row r="14" spans="1:12">
      <c r="A14" s="10">
        <v>44562</v>
      </c>
      <c r="B14" s="9">
        <v>-1.0153099999999999</v>
      </c>
      <c r="C14" s="9">
        <v>7.5780799999999999</v>
      </c>
      <c r="D14" s="9">
        <v>0.78</v>
      </c>
      <c r="E14" s="9">
        <v>67.2</v>
      </c>
      <c r="F14" s="9">
        <v>0.08</v>
      </c>
    </row>
    <row r="15" spans="1:12">
      <c r="A15" s="10">
        <v>44652</v>
      </c>
      <c r="B15" s="9">
        <v>0.62766</v>
      </c>
      <c r="C15" s="9">
        <v>8.2351600000000005</v>
      </c>
      <c r="D15" s="9">
        <v>0.21</v>
      </c>
      <c r="E15" s="9">
        <v>65.2</v>
      </c>
      <c r="F15" s="9">
        <v>0.33</v>
      </c>
    </row>
    <row r="16" spans="1:12">
      <c r="A16" s="10">
        <v>44743</v>
      </c>
      <c r="B16" s="9">
        <v>2.9190200000000002</v>
      </c>
      <c r="C16" s="9">
        <v>8.4477799999999998</v>
      </c>
      <c r="D16" s="9">
        <v>-0.14000000000000001</v>
      </c>
      <c r="E16" s="9">
        <v>51.5</v>
      </c>
      <c r="F16" s="9">
        <v>1.68</v>
      </c>
    </row>
    <row r="17" spans="1:7">
      <c r="A17" s="10">
        <v>44835</v>
      </c>
      <c r="B17" s="9">
        <v>2.7896800000000002</v>
      </c>
      <c r="C17" s="9">
        <v>7.7572599999999996</v>
      </c>
      <c r="D17" s="9">
        <v>-0.39</v>
      </c>
      <c r="E17" s="9">
        <v>59.9</v>
      </c>
      <c r="F17" s="9">
        <v>3.08</v>
      </c>
    </row>
    <row r="18" spans="1:7">
      <c r="A18" s="10">
        <v>44927</v>
      </c>
      <c r="B18" s="9">
        <v>2.92699</v>
      </c>
      <c r="C18" s="9">
        <v>6.3403</v>
      </c>
      <c r="D18" s="9">
        <v>-0.68</v>
      </c>
      <c r="E18" s="9">
        <v>64.900000000000006</v>
      </c>
      <c r="F18" s="9">
        <v>4.33</v>
      </c>
    </row>
    <row r="19" spans="1:7">
      <c r="A19" s="10">
        <v>45017</v>
      </c>
      <c r="B19" s="9">
        <v>2.5352399999999999</v>
      </c>
      <c r="C19" s="9">
        <v>4.9469500000000002</v>
      </c>
      <c r="D19" s="9">
        <v>-0.56000000000000005</v>
      </c>
      <c r="E19" s="9">
        <v>63.7</v>
      </c>
      <c r="F19" s="9">
        <v>4.83</v>
      </c>
    </row>
    <row r="20" spans="1:7">
      <c r="A20" s="10">
        <v>45108</v>
      </c>
      <c r="B20" s="9">
        <v>4.69489</v>
      </c>
      <c r="C20" s="9">
        <v>3.2803300000000002</v>
      </c>
      <c r="D20" s="9">
        <v>-0.93</v>
      </c>
      <c r="E20" s="9">
        <v>71.5</v>
      </c>
      <c r="F20" s="9">
        <v>5.12</v>
      </c>
    </row>
    <row r="21" spans="1:7">
      <c r="A21" s="10">
        <v>45200</v>
      </c>
      <c r="B21" s="9">
        <v>3.4192200000000001</v>
      </c>
      <c r="C21" s="9">
        <v>3.24654</v>
      </c>
      <c r="D21" s="9">
        <v>-0.27</v>
      </c>
      <c r="E21" s="9">
        <v>63.8</v>
      </c>
      <c r="F21" s="9">
        <v>5.33</v>
      </c>
    </row>
    <row r="22" spans="1:7">
      <c r="A22" s="10">
        <v>45292</v>
      </c>
      <c r="B22" s="9">
        <v>0.84209000000000001</v>
      </c>
      <c r="C22" s="9">
        <v>3.1079400000000001</v>
      </c>
      <c r="D22" s="9">
        <v>-0.26</v>
      </c>
      <c r="E22" s="9">
        <v>79</v>
      </c>
      <c r="F22" s="9">
        <v>5.33</v>
      </c>
    </row>
    <row r="23" spans="1:7">
      <c r="A23" s="10">
        <v>45383</v>
      </c>
      <c r="B23" s="9">
        <v>3.58927</v>
      </c>
      <c r="C23" s="9">
        <v>3.35405</v>
      </c>
      <c r="D23" s="9">
        <v>-0.33</v>
      </c>
      <c r="E23" s="9">
        <v>77.2</v>
      </c>
      <c r="F23" s="9">
        <v>5.33</v>
      </c>
    </row>
    <row r="24" spans="1:7">
      <c r="A24" s="10">
        <v>45474</v>
      </c>
      <c r="B24" s="9">
        <v>3.34015</v>
      </c>
      <c r="C24" s="9">
        <v>2.9384600000000001</v>
      </c>
      <c r="D24" s="9">
        <v>-0.25</v>
      </c>
      <c r="E24" s="9">
        <v>66.400000000000006</v>
      </c>
      <c r="F24" s="9">
        <v>5.33</v>
      </c>
    </row>
    <row r="25" spans="1:7">
      <c r="A25" s="10">
        <v>45566</v>
      </c>
      <c r="B25" s="9">
        <v>1.85223</v>
      </c>
      <c r="C25" s="9">
        <v>2.5714000000000001</v>
      </c>
      <c r="D25" s="9">
        <v>0.12</v>
      </c>
      <c r="E25" s="9">
        <v>70.5</v>
      </c>
      <c r="F25" s="9">
        <v>4.83</v>
      </c>
    </row>
    <row r="26" spans="1:7">
      <c r="A26" s="10">
        <v>45658</v>
      </c>
      <c r="B26" s="9">
        <v>-0.64847999999999995</v>
      </c>
      <c r="C26" s="9">
        <v>2.9994100000000001</v>
      </c>
      <c r="D26" s="9">
        <v>0.36</v>
      </c>
      <c r="E26" s="9">
        <v>71.7</v>
      </c>
      <c r="F26" s="9">
        <v>4.33</v>
      </c>
    </row>
    <row r="27" spans="1:7">
      <c r="A27" s="10">
        <v>45748</v>
      </c>
      <c r="B27" s="9">
        <v>3.8380299999999998</v>
      </c>
      <c r="C27" s="9">
        <v>2.3337500000000002</v>
      </c>
      <c r="D27" s="9">
        <v>0.5</v>
      </c>
      <c r="E27" s="9">
        <v>52.2</v>
      </c>
      <c r="F27" s="9">
        <v>4.33</v>
      </c>
    </row>
    <row r="28" spans="1:7">
      <c r="A28" s="10">
        <v>45839</v>
      </c>
      <c r="B28" s="9">
        <v>4.3754</v>
      </c>
      <c r="C28" s="9">
        <v>2.7317999999999998</v>
      </c>
      <c r="D28" s="9">
        <v>0.51</v>
      </c>
      <c r="E28" s="9">
        <v>61.7</v>
      </c>
      <c r="F28" s="9">
        <v>4.33</v>
      </c>
    </row>
    <row r="29" spans="1:7" ht="30">
      <c r="A29" s="10">
        <v>45931</v>
      </c>
      <c r="B29" s="11" t="s">
        <v>41</v>
      </c>
      <c r="C29" s="11" t="e">
        <v>#N/A</v>
      </c>
      <c r="D29" s="11">
        <v>0.54</v>
      </c>
      <c r="E29" s="11">
        <v>53.6</v>
      </c>
      <c r="F29" s="11">
        <v>4.09</v>
      </c>
      <c r="G29" s="12"/>
    </row>
    <row r="30" spans="1:7" ht="30">
      <c r="A30" s="10">
        <v>46023</v>
      </c>
      <c r="B30" s="11" t="s">
        <v>41</v>
      </c>
      <c r="C30" s="11" t="s">
        <v>41</v>
      </c>
      <c r="D30" s="11" t="e">
        <v>#N/A</v>
      </c>
      <c r="E30" s="11" t="s">
        <v>41</v>
      </c>
      <c r="F30" s="11" t="s">
        <v>41</v>
      </c>
      <c r="G30" s="12"/>
    </row>
    <row r="31" spans="1:7" ht="30">
      <c r="A31" s="10">
        <v>46113</v>
      </c>
      <c r="B31" s="11" t="s">
        <v>41</v>
      </c>
      <c r="C31" s="11" t="s">
        <v>41</v>
      </c>
      <c r="D31" s="11" t="s">
        <v>41</v>
      </c>
      <c r="E31" s="11" t="s">
        <v>41</v>
      </c>
      <c r="F31" s="11" t="s">
        <v>41</v>
      </c>
      <c r="G31" s="12"/>
    </row>
    <row r="32" spans="1:7">
      <c r="A32" s="10"/>
    </row>
    <row r="33" spans="1:1">
      <c r="A33" s="10"/>
    </row>
    <row r="34" spans="1:1">
      <c r="A34" s="10"/>
    </row>
    <row r="35" spans="1:1">
      <c r="A35" s="10"/>
    </row>
    <row r="36" spans="1:1">
      <c r="A36" s="10"/>
    </row>
    <row r="37" spans="1:1">
      <c r="A37" s="10"/>
    </row>
    <row r="38" spans="1:1">
      <c r="A38" s="10"/>
    </row>
    <row r="39" spans="1:1">
      <c r="A39" s="10"/>
    </row>
    <row r="40" spans="1:1">
      <c r="A40" s="10"/>
    </row>
    <row r="41" spans="1:1">
      <c r="A41" s="10"/>
    </row>
    <row r="42" spans="1:1">
      <c r="A42"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73C5E-3C08-4EDD-8A57-B44CE38EE489}">
  <sheetPr>
    <tabColor rgb="FF002060"/>
  </sheetPr>
  <dimension ref="A1:A45"/>
  <sheetViews>
    <sheetView topLeftCell="A11" workbookViewId="0">
      <selection activeCell="A46" sqref="A46"/>
    </sheetView>
  </sheetViews>
  <sheetFormatPr defaultRowHeight="15"/>
  <sheetData>
    <row r="1" spans="1:1" ht="29.25">
      <c r="A1" s="36" t="s">
        <v>50</v>
      </c>
    </row>
    <row r="3" spans="1:1">
      <c r="A3" s="37" t="s">
        <v>51</v>
      </c>
    </row>
    <row r="4" spans="1:1">
      <c r="A4" s="37" t="s">
        <v>52</v>
      </c>
    </row>
    <row r="5" spans="1:1">
      <c r="A5" s="37"/>
    </row>
    <row r="6" spans="1:1">
      <c r="A6" s="37" t="s">
        <v>53</v>
      </c>
    </row>
    <row r="9" spans="1:1" ht="16.5">
      <c r="A9" s="38" t="s">
        <v>54</v>
      </c>
    </row>
    <row r="10" spans="1:1">
      <c r="A10" s="37" t="s">
        <v>55</v>
      </c>
    </row>
    <row r="11" spans="1:1">
      <c r="A11" s="39" t="s">
        <v>56</v>
      </c>
    </row>
    <row r="12" spans="1:1">
      <c r="A12" s="39" t="s">
        <v>57</v>
      </c>
    </row>
    <row r="13" spans="1:1">
      <c r="A13" s="39" t="s">
        <v>58</v>
      </c>
    </row>
    <row r="14" spans="1:1">
      <c r="A14" s="39" t="s">
        <v>59</v>
      </c>
    </row>
    <row r="17" spans="1:1" ht="16.5">
      <c r="A17" s="38" t="s">
        <v>60</v>
      </c>
    </row>
    <row r="18" spans="1:1">
      <c r="A18" s="37" t="s">
        <v>61</v>
      </c>
    </row>
    <row r="19" spans="1:1">
      <c r="A19" s="39" t="s">
        <v>62</v>
      </c>
    </row>
    <row r="20" spans="1:1">
      <c r="A20" s="40" t="s">
        <v>63</v>
      </c>
    </row>
    <row r="21" spans="1:1">
      <c r="A21" s="40" t="s">
        <v>64</v>
      </c>
    </row>
    <row r="22" spans="1:1">
      <c r="A22" s="39" t="s">
        <v>65</v>
      </c>
    </row>
    <row r="23" spans="1:1">
      <c r="A23" s="39" t="s">
        <v>59</v>
      </c>
    </row>
    <row r="26" spans="1:1" ht="16.5">
      <c r="A26" s="38" t="s">
        <v>66</v>
      </c>
    </row>
    <row r="27" spans="1:1">
      <c r="A27" s="37" t="s">
        <v>67</v>
      </c>
    </row>
    <row r="28" spans="1:1">
      <c r="A28" s="39" t="s">
        <v>68</v>
      </c>
    </row>
    <row r="29" spans="1:1">
      <c r="A29" s="39" t="s">
        <v>69</v>
      </c>
    </row>
    <row r="30" spans="1:1">
      <c r="A30" s="39" t="s">
        <v>59</v>
      </c>
    </row>
    <row r="33" spans="1:1" ht="16.5">
      <c r="A33" s="38" t="s">
        <v>70</v>
      </c>
    </row>
    <row r="34" spans="1:1">
      <c r="A34" s="37" t="s">
        <v>71</v>
      </c>
    </row>
    <row r="35" spans="1:1">
      <c r="A35" s="39" t="s">
        <v>72</v>
      </c>
    </row>
    <row r="36" spans="1:1">
      <c r="A36" s="39" t="s">
        <v>73</v>
      </c>
    </row>
    <row r="37" spans="1:1">
      <c r="A37" s="39" t="s">
        <v>74</v>
      </c>
    </row>
    <row r="38" spans="1:1">
      <c r="A38" s="39" t="s">
        <v>75</v>
      </c>
    </row>
    <row r="39" spans="1:1">
      <c r="A39" s="37" t="s">
        <v>76</v>
      </c>
    </row>
    <row r="40" spans="1:1">
      <c r="A40" s="39" t="s">
        <v>77</v>
      </c>
    </row>
    <row r="43" spans="1:1">
      <c r="A43" t="s">
        <v>95</v>
      </c>
    </row>
    <row r="45" spans="1:1">
      <c r="A45" t="s">
        <v>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51F02-2B9A-4305-AB30-507E6700B4CA}">
  <sheetPr>
    <tabColor rgb="FF002060"/>
  </sheetPr>
  <dimension ref="A1:G4"/>
  <sheetViews>
    <sheetView workbookViewId="0">
      <selection activeCell="F1" sqref="F1:G1"/>
    </sheetView>
  </sheetViews>
  <sheetFormatPr defaultRowHeight="15"/>
  <cols>
    <col min="1" max="1" width="27.5546875" customWidth="1"/>
    <col min="2" max="2" width="18.33203125" customWidth="1"/>
    <col min="3" max="3" width="28.6640625" customWidth="1"/>
    <col min="4" max="4" width="25.88671875" customWidth="1"/>
    <col min="6" max="6" width="16.5546875" customWidth="1"/>
    <col min="7" max="7" width="17" customWidth="1"/>
  </cols>
  <sheetData>
    <row r="1" spans="1:7" ht="57" thickBot="1">
      <c r="A1" s="41" t="s">
        <v>78</v>
      </c>
      <c r="B1" s="49" t="s">
        <v>79</v>
      </c>
      <c r="C1" s="49" t="s">
        <v>80</v>
      </c>
      <c r="D1" s="49" t="s">
        <v>81</v>
      </c>
      <c r="F1" s="42" t="s">
        <v>93</v>
      </c>
      <c r="G1" s="42" t="s">
        <v>94</v>
      </c>
    </row>
    <row r="2" spans="1:7" ht="28.5" customHeight="1" thickTop="1">
      <c r="A2" s="47" t="s">
        <v>82</v>
      </c>
      <c r="B2" s="50" t="s">
        <v>83</v>
      </c>
      <c r="C2" s="50" t="s">
        <v>84</v>
      </c>
      <c r="D2" s="50" t="s">
        <v>85</v>
      </c>
    </row>
    <row r="3" spans="1:7" ht="33" customHeight="1">
      <c r="A3" s="48" t="s">
        <v>86</v>
      </c>
      <c r="B3" s="50" t="s">
        <v>87</v>
      </c>
      <c r="C3" s="50" t="s">
        <v>88</v>
      </c>
      <c r="D3" s="50" t="s">
        <v>88</v>
      </c>
    </row>
    <row r="4" spans="1:7" ht="27" customHeight="1">
      <c r="A4" s="48" t="s">
        <v>92</v>
      </c>
      <c r="B4" s="50" t="s">
        <v>89</v>
      </c>
      <c r="C4" s="50" t="s">
        <v>90</v>
      </c>
      <c r="D4" s="50" t="s">
        <v>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BFD19-A2CB-448C-BD19-88329B7AB0AD}">
  <sheetPr>
    <tabColor rgb="FF002060"/>
  </sheetPr>
  <dimension ref="A1:I4"/>
  <sheetViews>
    <sheetView workbookViewId="0">
      <selection activeCell="C10" sqref="C10"/>
    </sheetView>
  </sheetViews>
  <sheetFormatPr defaultRowHeight="15"/>
  <cols>
    <col min="1" max="1" width="16.33203125" customWidth="1"/>
    <col min="2" max="2" width="15.77734375" customWidth="1"/>
    <col min="3" max="3" width="18.21875" customWidth="1"/>
    <col min="4" max="4" width="15.33203125" customWidth="1"/>
    <col min="5" max="5" width="27.33203125" customWidth="1"/>
    <col min="6" max="6" width="42.5546875" customWidth="1"/>
    <col min="8" max="8" width="25.88671875" customWidth="1"/>
    <col min="9" max="9" width="21.88671875" customWidth="1"/>
  </cols>
  <sheetData>
    <row r="1" spans="1:9" ht="37.5">
      <c r="A1" s="51" t="s">
        <v>78</v>
      </c>
      <c r="B1" s="51" t="s">
        <v>97</v>
      </c>
      <c r="C1" s="51" t="s">
        <v>130</v>
      </c>
      <c r="D1" s="51" t="s">
        <v>98</v>
      </c>
      <c r="E1" s="51" t="s">
        <v>114</v>
      </c>
      <c r="F1" s="51" t="s">
        <v>99</v>
      </c>
      <c r="H1" s="42" t="s">
        <v>93</v>
      </c>
      <c r="I1" s="42" t="s">
        <v>94</v>
      </c>
    </row>
    <row r="2" spans="1:9" ht="45">
      <c r="A2" s="52" t="s">
        <v>100</v>
      </c>
      <c r="B2" s="53" t="s">
        <v>101</v>
      </c>
      <c r="C2" s="53" t="s">
        <v>102</v>
      </c>
      <c r="D2" s="53" t="s">
        <v>103</v>
      </c>
      <c r="E2" s="53" t="s">
        <v>104</v>
      </c>
      <c r="F2" s="53" t="s">
        <v>105</v>
      </c>
    </row>
    <row r="3" spans="1:9" ht="30">
      <c r="A3" s="52" t="s">
        <v>106</v>
      </c>
      <c r="B3" s="53" t="s">
        <v>107</v>
      </c>
      <c r="C3" s="53" t="s">
        <v>102</v>
      </c>
      <c r="D3" s="53" t="s">
        <v>103</v>
      </c>
      <c r="E3" s="53" t="s">
        <v>108</v>
      </c>
      <c r="F3" s="53" t="s">
        <v>109</v>
      </c>
    </row>
    <row r="4" spans="1:9" ht="30">
      <c r="A4" s="52" t="s">
        <v>30</v>
      </c>
      <c r="B4" s="53" t="s">
        <v>110</v>
      </c>
      <c r="C4" s="53" t="s">
        <v>131</v>
      </c>
      <c r="D4" s="53" t="s">
        <v>111</v>
      </c>
      <c r="E4" s="53" t="s">
        <v>112</v>
      </c>
      <c r="F4" s="53" t="s">
        <v>113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2033-B03C-4B57-BEB4-364AE6AFEB62}">
  <sheetPr>
    <tabColor rgb="FF002060"/>
  </sheetPr>
  <dimension ref="A1:J19"/>
  <sheetViews>
    <sheetView workbookViewId="0">
      <selection activeCell="P33" sqref="P33"/>
    </sheetView>
  </sheetViews>
  <sheetFormatPr defaultRowHeight="15"/>
  <cols>
    <col min="1" max="1" width="29.109375" customWidth="1"/>
    <col min="2" max="2" width="13.21875" customWidth="1"/>
    <col min="10" max="10" width="12.77734375" customWidth="1"/>
  </cols>
  <sheetData>
    <row r="1" spans="1:10" ht="15.75" thickBot="1">
      <c r="A1" s="13" t="s">
        <v>49</v>
      </c>
      <c r="B1" s="14"/>
      <c r="C1" s="14"/>
      <c r="D1" s="14"/>
      <c r="E1" s="14"/>
      <c r="F1" s="14"/>
    </row>
    <row r="2" spans="1:10" ht="15.75" thickBot="1">
      <c r="A2" s="15" t="s">
        <v>42</v>
      </c>
      <c r="B2" s="33"/>
      <c r="C2" s="15"/>
      <c r="D2" s="15"/>
      <c r="E2" s="15"/>
      <c r="F2" s="15"/>
    </row>
    <row r="3" spans="1:10" ht="15.75" thickBot="1">
      <c r="A3" s="15" t="s">
        <v>43</v>
      </c>
      <c r="B3" s="34"/>
      <c r="C3" s="15"/>
      <c r="D3" s="15"/>
      <c r="E3" s="15"/>
      <c r="F3" s="15"/>
    </row>
    <row r="4" spans="1:10" ht="15.75" thickBot="1">
      <c r="A4" s="17" t="s">
        <v>48</v>
      </c>
      <c r="B4" s="16"/>
      <c r="C4" s="15"/>
      <c r="D4" s="15"/>
      <c r="E4" s="15"/>
      <c r="F4" s="15"/>
    </row>
    <row r="5" spans="1:10" ht="15.75" thickBot="1">
      <c r="A5" s="15" t="s">
        <v>44</v>
      </c>
      <c r="B5" s="35"/>
      <c r="C5" s="15"/>
      <c r="D5" s="14"/>
      <c r="E5" s="15"/>
      <c r="F5" s="15"/>
    </row>
    <row r="6" spans="1:10" ht="15.75" thickBot="1">
      <c r="A6" s="15"/>
      <c r="B6" s="15"/>
      <c r="C6" s="15"/>
      <c r="D6" s="15"/>
      <c r="E6" s="15"/>
      <c r="F6" s="15"/>
    </row>
    <row r="7" spans="1:10" ht="15.75" thickBot="1">
      <c r="A7" s="15"/>
      <c r="B7" s="15"/>
      <c r="C7" s="15"/>
      <c r="D7" s="15"/>
      <c r="E7" s="15"/>
      <c r="F7" s="15"/>
    </row>
    <row r="8" spans="1:10" ht="15.75" thickBot="1">
      <c r="A8" s="15"/>
      <c r="B8" s="15"/>
      <c r="C8" s="18"/>
      <c r="D8" s="18"/>
      <c r="E8" s="43" t="s">
        <v>45</v>
      </c>
      <c r="F8" s="44"/>
      <c r="G8" s="44"/>
      <c r="H8" s="44"/>
      <c r="I8" s="44"/>
    </row>
    <row r="9" spans="1:10" ht="15.75" thickBot="1">
      <c r="A9" s="15"/>
      <c r="B9" s="14"/>
      <c r="C9" s="19"/>
      <c r="D9" s="19"/>
      <c r="E9" s="20"/>
      <c r="F9" s="20"/>
      <c r="G9" s="20"/>
      <c r="H9" s="20"/>
      <c r="I9" s="20"/>
      <c r="J9" s="20"/>
    </row>
    <row r="10" spans="1:10" ht="15.75" thickBot="1">
      <c r="A10" s="15"/>
      <c r="B10" s="21"/>
      <c r="C10" s="22" t="s">
        <v>46</v>
      </c>
      <c r="D10" s="23"/>
      <c r="E10" s="24"/>
      <c r="F10" s="25"/>
      <c r="G10" s="26"/>
      <c r="H10" s="27"/>
      <c r="I10" s="27"/>
      <c r="J10" s="27"/>
    </row>
    <row r="11" spans="1:10" ht="15.75" customHeight="1" thickBot="1">
      <c r="A11" s="15"/>
      <c r="B11" s="15"/>
      <c r="C11" s="45" t="s">
        <v>47</v>
      </c>
      <c r="D11" s="28"/>
      <c r="E11" s="29"/>
      <c r="F11" s="29"/>
      <c r="G11" s="29"/>
      <c r="H11" s="29"/>
      <c r="I11" s="29"/>
      <c r="J11" s="29"/>
    </row>
    <row r="12" spans="1:10" ht="15.75" thickBot="1">
      <c r="A12" s="15"/>
      <c r="B12" s="15"/>
      <c r="C12" s="46"/>
      <c r="D12" s="28"/>
      <c r="E12" s="30"/>
      <c r="F12" s="30"/>
      <c r="G12" s="29"/>
      <c r="H12" s="29"/>
      <c r="I12" s="29"/>
      <c r="J12" s="29"/>
    </row>
    <row r="13" spans="1:10" ht="15.75" thickBot="1">
      <c r="A13" s="15"/>
      <c r="B13" s="15"/>
      <c r="C13" s="46"/>
      <c r="D13" s="28"/>
      <c r="E13" s="30"/>
      <c r="F13" s="30"/>
      <c r="G13" s="29"/>
      <c r="H13" s="29"/>
      <c r="I13" s="29"/>
      <c r="J13" s="29"/>
    </row>
    <row r="14" spans="1:10" ht="15.75" thickBot="1">
      <c r="A14" s="15"/>
      <c r="B14" s="15"/>
      <c r="C14" s="46"/>
      <c r="D14" s="31"/>
      <c r="E14" s="30"/>
      <c r="F14" s="30"/>
      <c r="G14" s="29"/>
      <c r="H14" s="29"/>
      <c r="I14" s="29"/>
      <c r="J14" s="29"/>
    </row>
    <row r="15" spans="1:10" ht="15.75" thickBot="1">
      <c r="A15" s="15"/>
      <c r="B15" s="15"/>
      <c r="C15" s="46"/>
      <c r="D15" s="31"/>
      <c r="E15" s="30"/>
      <c r="F15" s="32"/>
      <c r="G15" s="29"/>
      <c r="H15" s="29"/>
      <c r="I15" s="29"/>
      <c r="J15" s="29"/>
    </row>
    <row r="16" spans="1:10">
      <c r="C16" s="46"/>
      <c r="D16" s="31"/>
      <c r="E16" s="29"/>
      <c r="F16" s="29"/>
      <c r="G16" s="29"/>
      <c r="H16" s="29"/>
      <c r="I16" s="29"/>
      <c r="J16" s="29"/>
    </row>
    <row r="17" spans="3:10">
      <c r="C17" s="46"/>
      <c r="D17" s="31"/>
      <c r="E17" s="29"/>
      <c r="F17" s="29"/>
      <c r="G17" s="29"/>
      <c r="H17" s="29"/>
      <c r="I17" s="29"/>
      <c r="J17" s="29"/>
    </row>
    <row r="18" spans="3:10">
      <c r="C18" s="46"/>
      <c r="D18" s="31"/>
      <c r="E18" s="29"/>
      <c r="F18" s="29"/>
      <c r="G18" s="29"/>
      <c r="H18" s="29"/>
      <c r="I18" s="29"/>
      <c r="J18" s="29"/>
    </row>
    <row r="19" spans="3:10">
      <c r="C19" s="46"/>
      <c r="D19" s="31"/>
      <c r="E19" s="29"/>
      <c r="F19" s="29"/>
      <c r="G19" s="29"/>
      <c r="H19" s="29"/>
      <c r="I19" s="29"/>
      <c r="J19" s="29"/>
    </row>
  </sheetData>
  <mergeCells count="2">
    <mergeCell ref="E8:I8"/>
    <mergeCell ref="C11:C19"/>
  </mergeCells>
  <conditionalFormatting sqref="E11:I15">
    <cfRule type="colorScale" priority="3">
      <colorScale>
        <cfvo type="min"/>
        <cfvo type="percentile" val="50"/>
        <cfvo type="max"/>
        <color rgb="FFF8696B"/>
        <color rgb="FFFFEB84"/>
        <color rgb="FF63BE7B"/>
      </colorScale>
    </cfRule>
  </conditionalFormatting>
  <conditionalFormatting sqref="E16:I19">
    <cfRule type="colorScale" priority="1">
      <colorScale>
        <cfvo type="min"/>
        <cfvo type="percentile" val="50"/>
        <cfvo type="max"/>
        <color rgb="FFF8696B"/>
        <color rgb="FFFFEB84"/>
        <color rgb="FF63BE7B"/>
      </colorScale>
    </cfRule>
  </conditionalFormatting>
  <conditionalFormatting sqref="J11:J19">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8F656-7887-4B4B-943C-36F85EFB3BBE}">
  <sheetPr>
    <tabColor rgb="FF002060"/>
  </sheetPr>
  <dimension ref="A1:F5"/>
  <sheetViews>
    <sheetView workbookViewId="0">
      <selection activeCell="B7" sqref="B7"/>
    </sheetView>
  </sheetViews>
  <sheetFormatPr defaultRowHeight="15"/>
  <cols>
    <col min="1" max="1" width="16.6640625" customWidth="1"/>
    <col min="2" max="2" width="20.109375" customWidth="1"/>
    <col min="3" max="3" width="20.44140625" customWidth="1"/>
    <col min="5" max="5" width="19.77734375" customWidth="1"/>
    <col min="6" max="6" width="20.77734375" customWidth="1"/>
  </cols>
  <sheetData>
    <row r="1" spans="1:6" ht="30">
      <c r="A1" s="54" t="s">
        <v>115</v>
      </c>
      <c r="B1" s="54" t="s">
        <v>116</v>
      </c>
      <c r="C1" s="54" t="s">
        <v>117</v>
      </c>
      <c r="E1" s="57" t="s">
        <v>93</v>
      </c>
      <c r="F1" s="57" t="s">
        <v>94</v>
      </c>
    </row>
    <row r="2" spans="1:6" ht="26.25" customHeight="1">
      <c r="A2" s="55" t="s">
        <v>118</v>
      </c>
      <c r="B2" s="56" t="s">
        <v>119</v>
      </c>
      <c r="C2" s="56" t="s">
        <v>120</v>
      </c>
    </row>
    <row r="3" spans="1:6" ht="33.75" customHeight="1">
      <c r="A3" s="55" t="s">
        <v>121</v>
      </c>
      <c r="B3" s="56" t="s">
        <v>122</v>
      </c>
      <c r="C3" s="56" t="s">
        <v>123</v>
      </c>
    </row>
    <row r="4" spans="1:6" ht="28.5" customHeight="1">
      <c r="A4" s="55" t="s">
        <v>124</v>
      </c>
      <c r="B4" s="56" t="s">
        <v>125</v>
      </c>
      <c r="C4" s="56" t="s">
        <v>126</v>
      </c>
    </row>
    <row r="5" spans="1:6" ht="30" customHeight="1">
      <c r="A5" s="55" t="s">
        <v>127</v>
      </c>
      <c r="B5" s="56" t="s">
        <v>128</v>
      </c>
      <c r="C5" s="56" t="s">
        <v>129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A596D-E26D-435A-8595-BDC5FF395364}">
  <sheetPr>
    <tabColor theme="9" tint="-0.249977111117893"/>
  </sheetPr>
  <dimension ref="A1:A30"/>
  <sheetViews>
    <sheetView workbookViewId="0">
      <selection activeCell="G32" sqref="G32"/>
    </sheetView>
  </sheetViews>
  <sheetFormatPr defaultRowHeight="15"/>
  <sheetData>
    <row r="1" spans="1:1">
      <c r="A1" s="3" t="s">
        <v>10</v>
      </c>
    </row>
    <row r="2" spans="1:1">
      <c r="A2" s="3"/>
    </row>
    <row r="3" spans="1:1">
      <c r="A3" s="4"/>
    </row>
    <row r="4" spans="1:1">
      <c r="A4" s="5" t="s">
        <v>5</v>
      </c>
    </row>
    <row r="5" spans="1:1">
      <c r="A5" s="3" t="s">
        <v>11</v>
      </c>
    </row>
    <row r="6" spans="1:1">
      <c r="A6" s="6" t="s">
        <v>12</v>
      </c>
    </row>
    <row r="7" spans="1:1">
      <c r="A7" s="6" t="s">
        <v>13</v>
      </c>
    </row>
    <row r="8" spans="1:1">
      <c r="A8" s="5" t="s">
        <v>14</v>
      </c>
    </row>
    <row r="9" spans="1:1">
      <c r="A9" s="4"/>
    </row>
    <row r="10" spans="1:1">
      <c r="A10" s="5" t="s">
        <v>6</v>
      </c>
    </row>
    <row r="11" spans="1:1">
      <c r="A11" s="3" t="s">
        <v>7</v>
      </c>
    </row>
    <row r="12" spans="1:1">
      <c r="A12" s="6" t="s">
        <v>15</v>
      </c>
    </row>
    <row r="13" spans="1:1">
      <c r="A13" s="6" t="s">
        <v>16</v>
      </c>
    </row>
    <row r="14" spans="1:1">
      <c r="A14" s="4"/>
    </row>
    <row r="15" spans="1:1">
      <c r="A15" s="5" t="s">
        <v>8</v>
      </c>
    </row>
    <row r="16" spans="1:1">
      <c r="A16" s="3" t="s">
        <v>17</v>
      </c>
    </row>
    <row r="17" spans="1:1">
      <c r="A17" s="6" t="s">
        <v>18</v>
      </c>
    </row>
    <row r="18" spans="1:1">
      <c r="A18" s="6" t="s">
        <v>19</v>
      </c>
    </row>
    <row r="19" spans="1:1">
      <c r="A19" s="6" t="s">
        <v>20</v>
      </c>
    </row>
    <row r="20" spans="1:1">
      <c r="A20" s="4"/>
    </row>
    <row r="21" spans="1:1">
      <c r="A21" s="5" t="s">
        <v>9</v>
      </c>
    </row>
    <row r="22" spans="1:1">
      <c r="A22" s="6" t="s">
        <v>21</v>
      </c>
    </row>
    <row r="23" spans="1:1">
      <c r="A23" s="6" t="s">
        <v>22</v>
      </c>
    </row>
    <row r="24" spans="1:1">
      <c r="A24" s="6" t="s">
        <v>23</v>
      </c>
    </row>
    <row r="25" spans="1:1">
      <c r="A25" s="7"/>
    </row>
    <row r="26" spans="1:1">
      <c r="A26" s="8" t="s">
        <v>24</v>
      </c>
    </row>
    <row r="29" spans="1:1">
      <c r="A29" s="5"/>
    </row>
    <row r="30" spans="1:1">
      <c r="A30"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 Information</vt:lpstr>
      <vt:lpstr>Economic Outlook Roles</vt:lpstr>
      <vt:lpstr>Historical Data</vt:lpstr>
      <vt:lpstr>Phase 1 Worksheet</vt:lpstr>
      <vt:lpstr>Initial Estimate vs AI</vt:lpstr>
      <vt:lpstr>Numerical Expectations</vt:lpstr>
      <vt:lpstr>Risk Matrix</vt:lpstr>
      <vt:lpstr>Base vs Bear Case</vt:lpstr>
      <vt:lpstr>10-2 Spread Explaination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Bethany Evitts</dc:creator>
  <cp:lastModifiedBy>Bethany Evitts</cp:lastModifiedBy>
  <dcterms:created xsi:type="dcterms:W3CDTF">2026-01-24T13:31:28Z</dcterms:created>
  <dcterms:modified xsi:type="dcterms:W3CDTF">2026-02-10T00:05:26Z</dcterms:modified>
</cp:coreProperties>
</file>