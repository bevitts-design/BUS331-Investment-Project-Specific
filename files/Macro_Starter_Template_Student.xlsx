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bethanyevittsair2/Documents/GitHub/BUS331-Investment-Project-Specific/files/"/>
    </mc:Choice>
  </mc:AlternateContent>
  <xr:revisionPtr revIDLastSave="0" documentId="13_ncr:1_{7925F8A1-4BFB-7D49-A66B-D426A7F3940A}" xr6:coauthVersionLast="47" xr6:coauthVersionMax="47" xr10:uidLastSave="{00000000-0000-0000-0000-000000000000}"/>
  <bookViews>
    <workbookView xWindow="0" yWindow="600" windowWidth="31380" windowHeight="20020" activeTab="7" xr2:uid="{00000000-000D-0000-FFFF-FFFF00000000}"/>
  </bookViews>
  <sheets>
    <sheet name="Team Information" sheetId="1" r:id="rId1"/>
    <sheet name="Economic Outlook Roles" sheetId="2" r:id="rId2"/>
    <sheet name="Historical Data" sheetId="3" r:id="rId3"/>
    <sheet name="Phase 1 Worksheet" sheetId="4" r:id="rId4"/>
    <sheet name="Initial Estimate vs AI" sheetId="5" r:id="rId5"/>
    <sheet name="Numerical Expectations" sheetId="6" r:id="rId6"/>
    <sheet name="Risk Matrix" sheetId="7" r:id="rId7"/>
    <sheet name="Bull Base Bear Cases"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8" l="1"/>
  <c r="B9" i="8"/>
  <c r="F6" i="8"/>
  <c r="F9" i="8" s="1"/>
  <c r="E6" i="8"/>
  <c r="E9" i="8" s="1"/>
  <c r="D6" i="8"/>
  <c r="D9" i="8" s="1"/>
  <c r="C6" i="8"/>
  <c r="C9" i="8" s="1"/>
  <c r="B9" i="7"/>
  <c r="B8" i="7"/>
  <c r="B7" i="7"/>
  <c r="B8" i="6"/>
  <c r="B7" i="6"/>
  <c r="M64" i="3"/>
  <c r="I64" i="3"/>
  <c r="B5" i="7" s="1"/>
  <c r="M63" i="3"/>
  <c r="I63" i="3"/>
  <c r="M62" i="3"/>
  <c r="I62" i="3"/>
  <c r="M61" i="3"/>
  <c r="I61" i="3"/>
  <c r="M60" i="3"/>
  <c r="I60" i="3"/>
  <c r="M59" i="3"/>
  <c r="I59" i="3"/>
  <c r="M58" i="3"/>
  <c r="I58" i="3"/>
  <c r="M57" i="3"/>
  <c r="I57" i="3"/>
  <c r="M56" i="3"/>
  <c r="I56" i="3"/>
  <c r="M55" i="3"/>
  <c r="I55" i="3"/>
  <c r="M54" i="3"/>
  <c r="I54" i="3"/>
  <c r="M53" i="3"/>
  <c r="I53" i="3"/>
  <c r="M52" i="3"/>
  <c r="I52" i="3"/>
  <c r="M51" i="3"/>
  <c r="I51" i="3"/>
  <c r="M50" i="3"/>
  <c r="I50" i="3"/>
  <c r="M49" i="3"/>
  <c r="I49" i="3"/>
  <c r="M48" i="3"/>
  <c r="I48" i="3"/>
  <c r="M47" i="3"/>
  <c r="I47" i="3"/>
  <c r="M46" i="3"/>
  <c r="I46" i="3"/>
  <c r="M45" i="3"/>
  <c r="I45" i="3"/>
  <c r="M44" i="3"/>
  <c r="I44" i="3"/>
  <c r="M43" i="3"/>
  <c r="I43" i="3"/>
  <c r="M42" i="3"/>
  <c r="I42" i="3"/>
  <c r="M41" i="3"/>
  <c r="I41" i="3"/>
  <c r="M40" i="3"/>
  <c r="I40" i="3"/>
  <c r="M39" i="3"/>
  <c r="I39" i="3"/>
  <c r="M38" i="3"/>
  <c r="I38" i="3"/>
  <c r="M37" i="3"/>
  <c r="I37" i="3"/>
  <c r="M36" i="3"/>
  <c r="I36" i="3"/>
  <c r="M35" i="3"/>
  <c r="I35" i="3"/>
  <c r="M34" i="3"/>
  <c r="I34" i="3"/>
  <c r="M33" i="3"/>
  <c r="I33" i="3"/>
  <c r="M32" i="3"/>
  <c r="I32" i="3"/>
  <c r="M31" i="3"/>
  <c r="I31" i="3"/>
  <c r="M30" i="3"/>
  <c r="I30" i="3"/>
  <c r="M29" i="3"/>
  <c r="I29" i="3"/>
  <c r="M28" i="3"/>
  <c r="I28" i="3"/>
  <c r="D28" i="3"/>
  <c r="B6" i="7" s="1"/>
  <c r="C28" i="3"/>
  <c r="M27" i="3"/>
  <c r="I27" i="3"/>
  <c r="D27" i="3"/>
  <c r="C27" i="3"/>
  <c r="M26" i="3"/>
  <c r="I26" i="3"/>
  <c r="D26" i="3"/>
  <c r="C26" i="3"/>
  <c r="M25" i="3"/>
  <c r="I25" i="3"/>
  <c r="D25" i="3"/>
  <c r="C25" i="3"/>
  <c r="M24" i="3"/>
  <c r="I24" i="3"/>
  <c r="D24" i="3"/>
  <c r="C24" i="3"/>
  <c r="M23" i="3"/>
  <c r="I23" i="3"/>
  <c r="D23" i="3"/>
  <c r="C23" i="3"/>
  <c r="M22" i="3"/>
  <c r="I22" i="3"/>
  <c r="D22" i="3"/>
  <c r="C22" i="3"/>
  <c r="M21" i="3"/>
  <c r="I21" i="3"/>
  <c r="D21" i="3"/>
  <c r="C21" i="3"/>
  <c r="M20" i="3"/>
  <c r="I20" i="3"/>
  <c r="D20" i="3"/>
  <c r="C20" i="3"/>
  <c r="M19" i="3"/>
  <c r="I19" i="3"/>
  <c r="D19" i="3"/>
  <c r="C19" i="3"/>
  <c r="M18" i="3"/>
  <c r="I18" i="3"/>
  <c r="D18" i="3"/>
  <c r="C18" i="3"/>
  <c r="M17" i="3"/>
  <c r="I17" i="3"/>
  <c r="D17" i="3"/>
  <c r="C17" i="3"/>
  <c r="M16" i="3"/>
  <c r="I16" i="3"/>
  <c r="D16" i="3"/>
  <c r="C16" i="3"/>
  <c r="M15" i="3"/>
  <c r="I15" i="3"/>
  <c r="D15" i="3"/>
  <c r="C15" i="3"/>
  <c r="M14" i="3"/>
  <c r="I14" i="3"/>
  <c r="D14" i="3"/>
  <c r="C14" i="3"/>
  <c r="M13" i="3"/>
  <c r="I13" i="3"/>
  <c r="D13" i="3"/>
  <c r="C13" i="3"/>
  <c r="M12" i="3"/>
  <c r="I12" i="3"/>
  <c r="D12" i="3"/>
  <c r="C12" i="3"/>
  <c r="M11" i="3"/>
  <c r="I11" i="3"/>
  <c r="D11" i="3"/>
  <c r="C11" i="3"/>
  <c r="M10" i="3"/>
  <c r="I10" i="3"/>
  <c r="D10" i="3"/>
  <c r="C10" i="3"/>
  <c r="M9" i="3"/>
  <c r="I9" i="3"/>
  <c r="D9" i="3"/>
  <c r="C9" i="3"/>
  <c r="M8" i="3"/>
  <c r="I8" i="3"/>
  <c r="C8" i="3"/>
  <c r="M7" i="3"/>
  <c r="I7" i="3"/>
  <c r="C7" i="3"/>
  <c r="M6" i="3"/>
  <c r="I6" i="3"/>
  <c r="C6" i="3"/>
  <c r="M5" i="3"/>
  <c r="I5" i="3"/>
  <c r="B6" i="6" l="1"/>
  <c r="B5" i="6"/>
</calcChain>
</file>

<file path=xl/sharedStrings.xml><?xml version="1.0" encoding="utf-8"?>
<sst xmlns="http://schemas.openxmlformats.org/spreadsheetml/2006/main" count="265" uniqueCount="251">
  <si>
    <t>Team information</t>
  </si>
  <si>
    <t>Enter four or five distinct members. Assign every official role to one owner. On a four-person team, one person owns two roles but remains one voting member.</t>
  </si>
  <si>
    <t>Team name</t>
  </si>
  <si>
    <t>Number of people</t>
  </si>
  <si>
    <t>List each person once below. Member 5 is blank for a four-person team. The five role owners can repeat one name, but a person casts only one committee vote.</t>
  </si>
  <si>
    <t>Member slot</t>
  </si>
  <si>
    <t>Student name</t>
  </si>
  <si>
    <t>Official role(s) held</t>
  </si>
  <si>
    <t>Member 1</t>
  </si>
  <si>
    <t>Member 2</t>
  </si>
  <si>
    <t>Member 3</t>
  </si>
  <si>
    <t>Member 4</t>
  </si>
  <si>
    <t>Member 5 (optional)</t>
  </si>
  <si>
    <t>Official committee role</t>
  </si>
  <si>
    <t>Owner (from roster above)</t>
  </si>
  <si>
    <t>Macro forecast responsibility</t>
  </si>
  <si>
    <t>Client and Macro Strategist</t>
  </si>
  <si>
    <t>Lead the common macro narrative and later client implications.</t>
  </si>
  <si>
    <t>Fixed-Income Analyst</t>
  </si>
  <si>
    <t>Interpret the fed funds path, yield curve, and inflation-sensitive income risks.</t>
  </si>
  <si>
    <t>Equity Analyst</t>
  </si>
  <si>
    <t>Interpret real growth, sentiment, and equity-market implications.</t>
  </si>
  <si>
    <t>Portfolio Manager</t>
  </si>
  <si>
    <t>Integrate bull/base/bear probabilities and the weighted forecast.</t>
  </si>
  <si>
    <t>Risk and Derivatives Analyst</t>
  </si>
  <si>
    <t>Challenge scenario assumptions, signals, and downside responses.</t>
  </si>
  <si>
    <t>Complete the human-first worksheet before using AI. Record sources and dates for any external forecast. Submit this workbook once in the Macro Forecast assignment.</t>
  </si>
  <si>
    <t>Economic outlook roles</t>
  </si>
  <si>
    <t>The five official committee roles govern the macro assignment. They are responsibilities, not five required people.</t>
  </si>
  <si>
    <t>Committee role</t>
  </si>
  <si>
    <t>Macro task</t>
  </si>
  <si>
    <t>Required evidence or handoff</t>
  </si>
  <si>
    <t>Four-person team rule</t>
  </si>
  <si>
    <t>Write the 12-month market narrative.</t>
  </si>
  <si>
    <t>Connect growth, inflation, rates, and sentiment to client questions.</t>
  </si>
  <si>
    <t>A role may share an owner with one other role.</t>
  </si>
  <si>
    <t>Evaluate policy and the 10Y–2Y spread.</t>
  </si>
  <si>
    <t>Use the historical monthly series and a dated rate expectation.</t>
  </si>
  <si>
    <t>Evaluate growth and sentiment.</t>
  </si>
  <si>
    <t>Use quarterly GDP, monthly sentiment, and a comparable forecast.</t>
  </si>
  <si>
    <t>Set scenario probabilities and weighted outcomes.</t>
  </si>
  <si>
    <t>Check 100% probability total and the same horizon/units in all cases.</t>
  </si>
  <si>
    <t>Red-team bull/base/bear assumptions.</t>
  </si>
  <si>
    <t>Name disconfirming evidence, triggers, and downside client effects.</t>
  </si>
  <si>
    <t>One member may hold this and another role; vote once.</t>
  </si>
  <si>
    <t>The roles above replace the older four-person Data Architect / Consensus Analyst / AI Orchestrator / Strategy Lead list. Assign all five official roles in Team Information.</t>
  </si>
  <si>
    <t>Historical data | five-year review</t>
  </si>
  <si>
    <t>FRED observations retrieved 27 Sep 2026. GDP is quarterly; CPI, sentiment, and fed funds are monthly; 10Y–2Y is the monthly mean of available daily spreads. Sources and transformations appear below the tables.</t>
  </si>
  <si>
    <t>GDP quarter</t>
  </si>
  <si>
    <t>Real GDP level</t>
  </si>
  <si>
    <t>QoQ annualized</t>
  </si>
  <si>
    <t>4-quarter YoY</t>
  </si>
  <si>
    <t>Month</t>
  </si>
  <si>
    <t>CPI-U NSA level</t>
  </si>
  <si>
    <t>CPI year ago</t>
  </si>
  <si>
    <t>CPI 12-mo YoY</t>
  </si>
  <si>
    <t>10Y–2Y mean (pp)</t>
  </si>
  <si>
    <t>U-M sentiment</t>
  </si>
  <si>
    <t>Effective fed funds</t>
  </si>
  <si>
    <t>Inverted mean?</t>
  </si>
  <si>
    <t>2020 Q3</t>
  </si>
  <si>
    <t>2021-09</t>
  </si>
  <si>
    <t>2020 Q4</t>
  </si>
  <si>
    <t>2021-10</t>
  </si>
  <si>
    <t>2021 Q1</t>
  </si>
  <si>
    <t>2021-11</t>
  </si>
  <si>
    <t>2021 Q2</t>
  </si>
  <si>
    <t>2021-12</t>
  </si>
  <si>
    <t>2021 Q3</t>
  </si>
  <si>
    <t>2022-01</t>
  </si>
  <si>
    <t>2021 Q4</t>
  </si>
  <si>
    <t>2022-02</t>
  </si>
  <si>
    <t>2022 Q1</t>
  </si>
  <si>
    <t>2022-03</t>
  </si>
  <si>
    <t>2022 Q2</t>
  </si>
  <si>
    <t>2022-04</t>
  </si>
  <si>
    <t>2022 Q3</t>
  </si>
  <si>
    <t>2022-05</t>
  </si>
  <si>
    <t>2022 Q4</t>
  </si>
  <si>
    <t>2022-06</t>
  </si>
  <si>
    <t>2023 Q1</t>
  </si>
  <si>
    <t>2022-07</t>
  </si>
  <si>
    <t>2023 Q2</t>
  </si>
  <si>
    <t>2022-08</t>
  </si>
  <si>
    <t>2023 Q3</t>
  </si>
  <si>
    <t>2022-09</t>
  </si>
  <si>
    <t>2023 Q4</t>
  </si>
  <si>
    <t>2022-10</t>
  </si>
  <si>
    <t>2024 Q1</t>
  </si>
  <si>
    <t>2022-11</t>
  </si>
  <si>
    <t>2024 Q2</t>
  </si>
  <si>
    <t>2022-12</t>
  </si>
  <si>
    <t>2024 Q3</t>
  </si>
  <si>
    <t>2023-01</t>
  </si>
  <si>
    <t>2024 Q4</t>
  </si>
  <si>
    <t>2023-02</t>
  </si>
  <si>
    <t>2025 Q1</t>
  </si>
  <si>
    <t>2023-03</t>
  </si>
  <si>
    <t>2025 Q2</t>
  </si>
  <si>
    <t>2023-04</t>
  </si>
  <si>
    <t>2025 Q3</t>
  </si>
  <si>
    <t>2023-05</t>
  </si>
  <si>
    <t>2025 Q4</t>
  </si>
  <si>
    <t>2023-06</t>
  </si>
  <si>
    <t>2026 Q1</t>
  </si>
  <si>
    <t>2023-07</t>
  </si>
  <si>
    <t>2026 Q2</t>
  </si>
  <si>
    <t>2023-08</t>
  </si>
  <si>
    <t>2023-09</t>
  </si>
  <si>
    <t>2023-10</t>
  </si>
  <si>
    <t>2023-11</t>
  </si>
  <si>
    <t>2023-12</t>
  </si>
  <si>
    <t>2024-01</t>
  </si>
  <si>
    <t>2024-02</t>
  </si>
  <si>
    <t>2024-03</t>
  </si>
  <si>
    <t>2024-04</t>
  </si>
  <si>
    <t>2024-05</t>
  </si>
  <si>
    <t>2024-06</t>
  </si>
  <si>
    <t>2024-07</t>
  </si>
  <si>
    <t>2024-08</t>
  </si>
  <si>
    <t>2024-09</t>
  </si>
  <si>
    <t>2024-10</t>
  </si>
  <si>
    <t>2024-11</t>
  </si>
  <si>
    <t>2024-12</t>
  </si>
  <si>
    <t>2025-01</t>
  </si>
  <si>
    <t>2025-02</t>
  </si>
  <si>
    <t>2025-03</t>
  </si>
  <si>
    <t>2025-04</t>
  </si>
  <si>
    <t>2025-05</t>
  </si>
  <si>
    <t>2025-06</t>
  </si>
  <si>
    <t>2025-07</t>
  </si>
  <si>
    <t>2025-08</t>
  </si>
  <si>
    <t>2025-09</t>
  </si>
  <si>
    <t>2025-10</t>
  </si>
  <si>
    <t>2025-11</t>
  </si>
  <si>
    <t>2025-12</t>
  </si>
  <si>
    <t>2026-01</t>
  </si>
  <si>
    <t>2026-02</t>
  </si>
  <si>
    <t>2026-03</t>
  </si>
  <si>
    <t>2026-04</t>
  </si>
  <si>
    <t>2026-05</t>
  </si>
  <si>
    <t>2026-06</t>
  </si>
  <si>
    <t>2026-07</t>
  </si>
  <si>
    <t>2026-08</t>
  </si>
  <si>
    <t>SOURCE AND MEASURE NOTES</t>
  </si>
  <si>
    <t>GDPC1</t>
  </si>
  <si>
    <t>Real GDP level, billions of chained 2017 dollars, seasonally adjusted annual rate. QoQ annualized=(this quarter/prior quarter)^4−1; 4-quarter YoY=this quarter/four quarters earlier−1.</t>
  </si>
  <si>
    <t>https://fred.stlouisfed.org/series/GDPC1</t>
  </si>
  <si>
    <t>CPIAUCNS</t>
  </si>
  <si>
    <t>CPI-U all items, U.S. city average, not seasonally adjusted. Headline 12-month inflation=current month/same month prior year−1.</t>
  </si>
  <si>
    <t>https://fred.stlouisfed.org/series/CPIAUCNS</t>
  </si>
  <si>
    <t>T10Y2Y</t>
  </si>
  <si>
    <t>10-year minus 2-year Treasury spread. Daily FRED observations averaged within each month; shown in percentage points. Negative monthly mean is an inverted month.</t>
  </si>
  <si>
    <t>https://fred.stlouisfed.org/series/T10Y2Y</t>
  </si>
  <si>
    <t>UMCSENT</t>
  </si>
  <si>
    <t>University of Michigan consumer sentiment index, monthly level.</t>
  </si>
  <si>
    <t>https://fred.stlouisfed.org/series/UMCSENT</t>
  </si>
  <si>
    <t>FEDFUNDS</t>
  </si>
  <si>
    <t>Effective federal funds rate, monthly average, shown as a percentage.</t>
  </si>
  <si>
    <t>https://fred.stlouisfed.org/series/FEDFUNDS</t>
  </si>
  <si>
    <t>Data downloaded 2026-09-27. Latest GDP observation: 2026 Q2. Latest monthly observation: 2026-08. October 2025 CPIAUCNS is unavailable in the source and is left blank; do not interpolate. FRED series may be revised; retain this as-of date when citing this workbook.</t>
  </si>
  <si>
    <t>Phase 1 worksheet | human-first read</t>
  </si>
  <si>
    <t>Complete responses before AI. Use the five-year review window, quote the exact series and period, and distinguish observation from interpretation.</t>
  </si>
  <si>
    <t>Question</t>
  </si>
  <si>
    <t>Your response / calculation</t>
  </si>
  <si>
    <t>Evidence: series and period</t>
  </si>
  <si>
    <t>Source URL / retrieval date</t>
  </si>
  <si>
    <t>Why it matters or uncertainty</t>
  </si>
  <si>
    <t>Which review-window quarter had the highest real GDP QoQ annualized growth? State quarter and rate.</t>
  </si>
  <si>
    <t>Which review-window month had the highest headline CPI 12-month inflation? State month and rate.</t>
  </si>
  <si>
    <t>Across the latest four GDP quarters, is QoQ annualized growth accelerating, decelerating, or mixed? Cite all four observations.</t>
  </si>
  <si>
    <t>What is the latest monthly mean 10Y–2Y spread? Is it positive or inverted?</t>
  </si>
  <si>
    <t>How many of the latest 24 months had a negative monthly mean 10Y–2Y spread? Count the months, not daily readings.</t>
  </si>
  <si>
    <t>Identify a meaningful sentiment decline. What happened to GDP in the overlapping quarter? Avoid claiming causation.</t>
  </si>
  <si>
    <t>How did the effective fed funds rate and CPI inflation move over the latest 12 months? State both endpoints.</t>
  </si>
  <si>
    <t>What is your provisional 12-month growth/inflation/rate/sentiment view before AI? Name a disconfirming signal.</t>
  </si>
  <si>
    <t>Which macro assumption could matter most to an assigned client? State the client fact or information gap needed to judge it.</t>
  </si>
  <si>
    <t>Evidence standard: record a series ID or publication, observation/forecast period, exact value, URL or document reference, retrieval date, and a short interpretation. Use the Numerical Expectations tab for final numeric forecasts.</t>
  </si>
  <si>
    <t>Initial estimate vs AI | verification trail</t>
  </si>
  <si>
    <t>Human-first means column B is completed before AI use. Summarize AI output; independently check material claims and record what changed. AI text is not a source.</t>
  </si>
  <si>
    <t>Topic</t>
  </si>
  <si>
    <t>Human initial view</t>
  </si>
  <si>
    <t>AI challenge / alternative</t>
  </si>
  <si>
    <t>Claim or number to verify</t>
  </si>
  <si>
    <t>Independent source, as-of period/date</t>
  </si>
  <si>
    <t>Accept / reject / uncertain</t>
  </si>
  <si>
    <t>Final view and reason for change</t>
  </si>
  <si>
    <t>Peer reviewer</t>
  </si>
  <si>
    <t>Economic regime</t>
  </si>
  <si>
    <t>Real GDP growth</t>
  </si>
  <si>
    <t>Inflation expectations</t>
  </si>
  <si>
    <t>Fed funds path</t>
  </si>
  <si>
    <t>Consumer sentiment</t>
  </si>
  <si>
    <t>Primary risk / yield curve</t>
  </si>
  <si>
    <t>If AI was not used, write “Not used” in the AI challenge field and still complete the human evidence and final view. Never paste client private data or licensed FactSet captures into an AI tool.</t>
  </si>
  <si>
    <t>Numerical expectations | 12-month base forecast</t>
  </si>
  <si>
    <t>B and C show the latest observed value and its period. Enter a comparable external 12-month forecast when available; record source, publication/as-of date, exact measure and horizon. H is your team base forecast.</t>
  </si>
  <si>
    <t>Measure</t>
  </si>
  <si>
    <t>Latest observed</t>
  </si>
  <si>
    <t>Observation period</t>
  </si>
  <si>
    <t>External comparable forecast</t>
  </si>
  <si>
    <t>Source URL or document</t>
  </si>
  <si>
    <t>Publication / as-of date</t>
  </si>
  <si>
    <t>External measure and horizon</t>
  </si>
  <si>
    <t>Team base: 12 months</t>
  </si>
  <si>
    <t>Rationale and supporting evidence</t>
  </si>
  <si>
    <t>Reviewer / uncertainty</t>
  </si>
  <si>
    <t>Real GDP growth, 4-quarter YoY</t>
  </si>
  <si>
    <t>CPI-U inflation, 12-month YoY</t>
  </si>
  <si>
    <t>Effective fed funds rate</t>
  </si>
  <si>
    <t>Consumer sentiment index</t>
  </si>
  <si>
    <t>Use a numeric forecast in D only if the external measure and horizon are comparable. If no defensible sentiment forecast exists, leave D blank and explain in G/I. Do not present a current FRED observation as a forecast.</t>
  </si>
  <si>
    <t>The Base row on Bull Base Bear Cases links to your team forecasts in H5:H8. Change the base forecast here, then document bull and bear changes on the scenario tab.</t>
  </si>
  <si>
    <t>Risk matrix | signals and response</t>
  </si>
  <si>
    <t>Use current historical observations as starting evidence. Record what each scenario assumes and what the team would watch; this is a qualitative challenge table, not a calculated sensitivity model.</t>
  </si>
  <si>
    <t>Risk signal</t>
  </si>
  <si>
    <t>Latest observation</t>
  </si>
  <si>
    <t>Source and observation period</t>
  </si>
  <si>
    <t>Bull interpretation</t>
  </si>
  <si>
    <t>Base interpretation</t>
  </si>
  <si>
    <t>Bear interpretation</t>
  </si>
  <si>
    <t>Watch trigger / threshold</t>
  </si>
  <si>
    <t>Client or asset response</t>
  </si>
  <si>
    <t>Owner / review date</t>
  </si>
  <si>
    <t>Inflation, CPI 12-mo YoY</t>
  </si>
  <si>
    <t>CPIAUCNS / 2026-08</t>
  </si>
  <si>
    <t>Real GDP, 4q YoY</t>
  </si>
  <si>
    <t>GDPC1 / 2026 Q2</t>
  </si>
  <si>
    <t>10Y–2Y monthly mean</t>
  </si>
  <si>
    <t>T10Y2Y / 2026-08</t>
  </si>
  <si>
    <t>U-M sentiment index</t>
  </si>
  <si>
    <t>UMCSENT / 2026-08</t>
  </si>
  <si>
    <t>FEDFUNDS / 2026-08</t>
  </si>
  <si>
    <t>Evidence field standard: cite a series or publication and observation/forecast period. State a testable threshold in G and a decision response in H; do not write “recession certain” solely because the curve inverted.</t>
  </si>
  <si>
    <t>Bull, base and bear | probability-weighted forecast</t>
  </si>
  <si>
    <t>Use the same 12-month horizon and measures in every case. Enter probabilities and bull/bear numbers. The base case links to Numerical Expectations; weighted outcomes calculate only when all three cases are complete.</t>
  </si>
  <si>
    <t>Case</t>
  </si>
  <si>
    <t>Probability</t>
  </si>
  <si>
    <t>Real GDP 4q YoY</t>
  </si>
  <si>
    <t>Fed funds rate</t>
  </si>
  <si>
    <t>Sentiment index</t>
  </si>
  <si>
    <t>Distinct driver / trigger</t>
  </si>
  <si>
    <t>Evidence, source, as-of date</t>
  </si>
  <si>
    <t>Client or asset implication</t>
  </si>
  <si>
    <t>Disconfirming signal / response</t>
  </si>
  <si>
    <t>Bull</t>
  </si>
  <si>
    <t>Base</t>
  </si>
  <si>
    <t>Bear</t>
  </si>
  <si>
    <t>Weighted result</t>
  </si>
  <si>
    <t>Probability check</t>
  </si>
  <si>
    <t>Bull and bear are distinct plausible states, not later project phases. Explain why each case differs from base, how probabilities were judged, what would make the team revise them, and what the result changes for a client.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</si>
</sst>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
  </numFmts>
  <fonts count="12">
    <font>
      <sz val="11"/>
      <name val="Carlito"/>
    </font>
    <font>
      <b/>
      <sz val="19"/>
      <color rgb="FFFFFFFF"/>
      <name val="Aptos Display"/>
    </font>
    <font>
      <sz val="10"/>
      <color rgb="FFE9EFF4"/>
      <name val="Aptos"/>
    </font>
    <font>
      <sz val="10"/>
      <color rgb="FF0000FF"/>
      <name val="Aptos"/>
    </font>
    <font>
      <sz val="10"/>
      <color rgb="FF4B6073"/>
      <name val="Aptos"/>
    </font>
    <font>
      <b/>
      <sz val="10"/>
      <color rgb="FF102238"/>
      <name val="Aptos"/>
    </font>
    <font>
      <sz val="10"/>
      <color rgb="FF102238"/>
      <name val="Aptos"/>
    </font>
    <font>
      <b/>
      <sz val="11"/>
      <color rgb="FFFFFFFF"/>
      <name val="Carlito"/>
    </font>
    <font>
      <sz val="9"/>
      <color rgb="FF102238"/>
      <name val="Aptos"/>
    </font>
    <font>
      <b/>
      <sz val="11"/>
      <color rgb="FF102238"/>
      <name val="Carlito"/>
    </font>
    <font>
      <sz val="11"/>
      <color rgb="FF102238"/>
      <name val="Carlito"/>
    </font>
    <font>
      <sz val="10"/>
      <color rgb="FF17623E"/>
      <name val="Aptos"/>
    </font>
  </fonts>
  <fills count="7">
    <fill>
      <patternFill patternType="none"/>
    </fill>
    <fill>
      <patternFill patternType="gray125"/>
    </fill>
    <fill>
      <patternFill patternType="solid">
        <fgColor rgb="FF0B1F35"/>
      </patternFill>
    </fill>
    <fill>
      <patternFill patternType="solid">
        <fgColor rgb="FF17344F"/>
      </patternFill>
    </fill>
    <fill>
      <patternFill patternType="solid">
        <fgColor rgb="FFFFF4DE"/>
      </patternFill>
    </fill>
    <fill>
      <patternFill patternType="solid">
        <fgColor rgb="FFF4F7FA"/>
      </patternFill>
    </fill>
    <fill>
      <patternFill patternType="solid">
        <fgColor rgb="FFE9EFF4"/>
      </patternFill>
    </fill>
  </fills>
  <borders count="3">
    <border>
      <left/>
      <right/>
      <top/>
      <bottom/>
      <diagonal/>
    </border>
    <border>
      <left style="thin">
        <color rgb="FFE0C68F"/>
      </left>
      <right style="thin">
        <color rgb="FFE0C68F"/>
      </right>
      <top style="thin">
        <color rgb="FFE0C68F"/>
      </top>
      <bottom style="thin">
        <color rgb="FFE0C68F"/>
      </bottom>
      <diagonal/>
    </border>
    <border>
      <left style="thin">
        <color rgb="FFCCD7DF"/>
      </left>
      <right style="thin">
        <color rgb="FFCCD7DF"/>
      </right>
      <top style="thin">
        <color rgb="FFCCD7DF"/>
      </top>
      <bottom style="thin">
        <color rgb="FFCCD7DF"/>
      </bottom>
      <diagonal/>
    </border>
  </borders>
  <cellStyleXfs count="1">
    <xf numFmtId="0" fontId="0" fillId="0" borderId="0"/>
  </cellStyleXfs>
  <cellXfs count="33">
    <xf numFmtId="0" fontId="0" fillId="0" borderId="0" xfId="0"/>
    <xf numFmtId="0" fontId="3" fillId="4" borderId="1" xfId="0" applyFont="1" applyFill="1" applyBorder="1" applyAlignment="1">
      <alignment vertical="top" wrapText="1"/>
    </xf>
    <xf numFmtId="0" fontId="5" fillId="6" borderId="2" xfId="0" applyFont="1" applyFill="1" applyBorder="1" applyAlignment="1">
      <alignment vertical="center" wrapText="1"/>
    </xf>
    <xf numFmtId="0" fontId="6" fillId="0" borderId="0" xfId="0" applyFont="1" applyAlignment="1">
      <alignment wrapText="1"/>
    </xf>
    <xf numFmtId="164" fontId="0" fillId="0" borderId="0" xfId="0" applyNumberFormat="1"/>
    <xf numFmtId="165" fontId="0" fillId="0" borderId="0" xfId="0" applyNumberFormat="1"/>
    <xf numFmtId="166" fontId="0" fillId="0" borderId="0" xfId="0" applyNumberFormat="1"/>
    <xf numFmtId="10" fontId="0" fillId="0" borderId="0" xfId="0" applyNumberFormat="1"/>
    <xf numFmtId="2" fontId="0" fillId="0" borderId="0" xfId="0" applyNumberFormat="1"/>
    <xf numFmtId="167" fontId="0" fillId="0" borderId="0" xfId="0" applyNumberFormat="1"/>
    <xf numFmtId="0" fontId="8" fillId="0" borderId="0" xfId="0" applyFont="1" applyAlignment="1">
      <alignment wrapText="1"/>
    </xf>
    <xf numFmtId="0" fontId="10" fillId="6" borderId="0" xfId="0" applyFont="1" applyFill="1"/>
    <xf numFmtId="10" fontId="10" fillId="6" borderId="0" xfId="0" applyNumberFormat="1" applyFont="1" applyFill="1"/>
    <xf numFmtId="10" fontId="3" fillId="4" borderId="1" xfId="0" applyNumberFormat="1" applyFont="1" applyFill="1" applyBorder="1" applyAlignment="1">
      <alignment vertical="top" wrapText="1"/>
    </xf>
    <xf numFmtId="167" fontId="10" fillId="6" borderId="0" xfId="0" applyNumberFormat="1" applyFont="1" applyFill="1"/>
    <xf numFmtId="167" fontId="3" fillId="4" borderId="1" xfId="0" applyNumberFormat="1" applyFont="1" applyFill="1" applyBorder="1" applyAlignment="1">
      <alignment vertical="top" wrapText="1"/>
    </xf>
    <xf numFmtId="10" fontId="11" fillId="6" borderId="1" xfId="0" applyNumberFormat="1" applyFont="1" applyFill="1" applyBorder="1" applyAlignment="1">
      <alignment vertical="top" wrapText="1"/>
    </xf>
    <xf numFmtId="167" fontId="11" fillId="6" borderId="1" xfId="0" applyNumberFormat="1" applyFont="1" applyFill="1" applyBorder="1" applyAlignment="1">
      <alignment vertical="top" wrapText="1"/>
    </xf>
    <xf numFmtId="0" fontId="9" fillId="6" borderId="0" xfId="0" applyFont="1" applyFill="1"/>
    <xf numFmtId="10" fontId="9" fillId="6" borderId="0" xfId="0" applyNumberFormat="1" applyFont="1" applyFill="1"/>
    <xf numFmtId="167" fontId="9" fillId="6" borderId="0" xfId="0" applyNumberFormat="1" applyFont="1" applyFill="1"/>
    <xf numFmtId="0" fontId="8" fillId="0" borderId="0" xfId="0" applyFont="1" applyAlignment="1">
      <alignment wrapText="1"/>
    </xf>
    <xf numFmtId="0" fontId="4" fillId="5" borderId="0" xfId="0" applyFont="1" applyFill="1" applyAlignment="1">
      <alignment vertical="center" wrapText="1"/>
    </xf>
    <xf numFmtId="0" fontId="1" fillId="2" borderId="0" xfId="0" applyFont="1" applyFill="1" applyAlignment="1">
      <alignment vertical="center"/>
    </xf>
    <xf numFmtId="0" fontId="2" fillId="3" borderId="0" xfId="0" applyFont="1" applyFill="1" applyAlignment="1">
      <alignment vertical="center" wrapText="1"/>
    </xf>
    <xf numFmtId="0" fontId="7" fillId="3" borderId="0" xfId="0" applyFont="1" applyFill="1"/>
    <xf numFmtId="0" fontId="3" fillId="4" borderId="1" xfId="0" applyFont="1" applyFill="1" applyBorder="1" applyAlignment="1">
      <alignment vertical="top" wrapText="1"/>
    </xf>
    <xf numFmtId="0" fontId="0" fillId="0" borderId="0" xfId="0" applyAlignment="1">
      <alignment horizontal="center" vertical="center"/>
    </xf>
    <xf numFmtId="0" fontId="9" fillId="0" borderId="0" xfId="0" applyFont="1" applyAlignment="1">
      <alignment vertical="center" wrapText="1"/>
    </xf>
    <xf numFmtId="0" fontId="0" fillId="0" borderId="0" xfId="0" applyAlignment="1">
      <alignment vertical="center"/>
    </xf>
    <xf numFmtId="10" fontId="0" fillId="0" borderId="0" xfId="0" applyNumberFormat="1" applyAlignment="1">
      <alignment horizontal="center" vertical="center"/>
    </xf>
    <xf numFmtId="2" fontId="0" fillId="0" borderId="0" xfId="0" applyNumberFormat="1" applyAlignment="1">
      <alignment horizontal="center" vertical="center"/>
    </xf>
    <xf numFmtId="167" fontId="0" fillId="0" borderId="0" xfId="0" applyNumberForma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2"/>
  <sheetViews>
    <sheetView showGridLines="0" workbookViewId="0">
      <pane ySplit="7" topLeftCell="A8" activePane="bottomLeft" state="frozen"/>
      <selection pane="bottomLeft" sqref="A1:F1"/>
    </sheetView>
  </sheetViews>
  <sheetFormatPr baseColWidth="10" defaultColWidth="8.83203125" defaultRowHeight="14"/>
  <cols>
    <col min="1" max="1" width="32" customWidth="1"/>
    <col min="2" max="2" width="30" customWidth="1"/>
    <col min="3" max="3" width="25" customWidth="1"/>
    <col min="4" max="4" width="34" customWidth="1"/>
    <col min="5" max="5" width="28" customWidth="1"/>
    <col min="6" max="6" width="25" customWidth="1"/>
  </cols>
  <sheetData>
    <row r="1" spans="1:6" ht="35" customHeight="1">
      <c r="A1" s="23" t="s">
        <v>0</v>
      </c>
      <c r="B1" s="23"/>
      <c r="C1" s="23"/>
      <c r="D1" s="23"/>
      <c r="E1" s="23"/>
      <c r="F1" s="23"/>
    </row>
    <row r="2" spans="1:6" ht="38" customHeight="1">
      <c r="A2" s="24" t="s">
        <v>1</v>
      </c>
      <c r="B2" s="24"/>
      <c r="C2" s="24"/>
      <c r="D2" s="24"/>
      <c r="E2" s="24"/>
      <c r="F2" s="24"/>
    </row>
    <row r="4" spans="1:6">
      <c r="A4" t="s">
        <v>2</v>
      </c>
      <c r="B4" s="26"/>
      <c r="C4" s="26"/>
    </row>
    <row r="5" spans="1:6">
      <c r="A5" t="s">
        <v>3</v>
      </c>
      <c r="B5" s="1"/>
    </row>
    <row r="6" spans="1:6" ht="39" customHeight="1">
      <c r="A6" s="22" t="s">
        <v>4</v>
      </c>
      <c r="B6" s="22"/>
      <c r="C6" s="22"/>
      <c r="D6" s="22"/>
      <c r="E6" s="22"/>
      <c r="F6" s="22"/>
    </row>
    <row r="7" spans="1:6" ht="31" customHeight="1">
      <c r="A7" s="2" t="s">
        <v>5</v>
      </c>
      <c r="B7" s="2" t="s">
        <v>6</v>
      </c>
      <c r="C7" s="2" t="s">
        <v>7</v>
      </c>
    </row>
    <row r="8" spans="1:6" ht="30" customHeight="1">
      <c r="A8" t="s">
        <v>8</v>
      </c>
      <c r="B8" s="1"/>
      <c r="C8" s="1"/>
    </row>
    <row r="9" spans="1:6" ht="30" customHeight="1">
      <c r="A9" t="s">
        <v>9</v>
      </c>
      <c r="B9" s="1"/>
      <c r="C9" s="1"/>
    </row>
    <row r="10" spans="1:6" ht="30" customHeight="1">
      <c r="A10" t="s">
        <v>10</v>
      </c>
      <c r="B10" s="1"/>
      <c r="C10" s="1"/>
    </row>
    <row r="11" spans="1:6" ht="30" customHeight="1">
      <c r="A11" t="s">
        <v>11</v>
      </c>
      <c r="B11" s="1"/>
      <c r="C11" s="1"/>
    </row>
    <row r="12" spans="1:6" ht="30" customHeight="1">
      <c r="A12" t="s">
        <v>12</v>
      </c>
      <c r="B12" s="1"/>
      <c r="C12" s="1"/>
    </row>
    <row r="15" spans="1:6" ht="31" customHeight="1">
      <c r="A15" s="2" t="s">
        <v>13</v>
      </c>
      <c r="B15" s="2" t="s">
        <v>14</v>
      </c>
      <c r="C15" s="2" t="s">
        <v>15</v>
      </c>
    </row>
    <row r="16" spans="1:6" ht="45" customHeight="1">
      <c r="A16" t="s">
        <v>16</v>
      </c>
      <c r="B16" s="1"/>
      <c r="C16" t="s">
        <v>17</v>
      </c>
    </row>
    <row r="17" spans="1:6" ht="45" customHeight="1">
      <c r="A17" t="s">
        <v>18</v>
      </c>
      <c r="B17" s="1"/>
      <c r="C17" t="s">
        <v>19</v>
      </c>
    </row>
    <row r="18" spans="1:6" ht="45" customHeight="1">
      <c r="A18" t="s">
        <v>20</v>
      </c>
      <c r="B18" s="1"/>
      <c r="C18" t="s">
        <v>21</v>
      </c>
    </row>
    <row r="19" spans="1:6" ht="45" customHeight="1">
      <c r="A19" t="s">
        <v>22</v>
      </c>
      <c r="B19" s="1"/>
      <c r="C19" t="s">
        <v>23</v>
      </c>
    </row>
    <row r="20" spans="1:6" ht="45" customHeight="1">
      <c r="A20" t="s">
        <v>24</v>
      </c>
      <c r="B20" s="1"/>
      <c r="C20" t="s">
        <v>25</v>
      </c>
    </row>
    <row r="22" spans="1:6" ht="39" customHeight="1">
      <c r="A22" s="22" t="s">
        <v>26</v>
      </c>
      <c r="B22" s="22"/>
      <c r="C22" s="22"/>
      <c r="D22" s="22"/>
      <c r="E22" s="22"/>
      <c r="F22" s="22"/>
    </row>
  </sheetData>
  <mergeCells count="5">
    <mergeCell ref="A1:F1"/>
    <mergeCell ref="A2:F2"/>
    <mergeCell ref="B4:C4"/>
    <mergeCell ref="A6:F6"/>
    <mergeCell ref="A22:F22"/>
  </mergeCells>
  <dataValidations count="1">
    <dataValidation type="list" sqref="B5" xr:uid="{00000000-0002-0000-0000-000000000000}">
      <formula1>"4,5"</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1"/>
  <sheetViews>
    <sheetView showGridLines="0" workbookViewId="0">
      <pane ySplit="4" topLeftCell="A5" activePane="bottomLeft" state="frozen"/>
      <selection pane="bottomLeft"/>
    </sheetView>
  </sheetViews>
  <sheetFormatPr baseColWidth="10" defaultColWidth="8.83203125" defaultRowHeight="14"/>
  <cols>
    <col min="1" max="1" width="32" customWidth="1"/>
    <col min="2" max="2" width="44" customWidth="1"/>
    <col min="3" max="3" width="42" customWidth="1"/>
    <col min="4" max="4" width="33" customWidth="1"/>
  </cols>
  <sheetData>
    <row r="1" spans="1:4" ht="35" customHeight="1">
      <c r="A1" s="23" t="s">
        <v>27</v>
      </c>
      <c r="B1" s="23"/>
      <c r="C1" s="23"/>
      <c r="D1" s="23"/>
    </row>
    <row r="2" spans="1:4" ht="38" customHeight="1">
      <c r="A2" s="24" t="s">
        <v>28</v>
      </c>
      <c r="B2" s="24"/>
      <c r="C2" s="24"/>
      <c r="D2" s="24"/>
    </row>
    <row r="4" spans="1:4" ht="31" customHeight="1">
      <c r="A4" s="2" t="s">
        <v>29</v>
      </c>
      <c r="B4" s="2" t="s">
        <v>30</v>
      </c>
      <c r="C4" s="2" t="s">
        <v>31</v>
      </c>
      <c r="D4" s="2" t="s">
        <v>32</v>
      </c>
    </row>
    <row r="5" spans="1:4" ht="52" customHeight="1">
      <c r="A5" s="3" t="s">
        <v>16</v>
      </c>
      <c r="B5" s="3" t="s">
        <v>33</v>
      </c>
      <c r="C5" s="3" t="s">
        <v>34</v>
      </c>
      <c r="D5" s="3" t="s">
        <v>35</v>
      </c>
    </row>
    <row r="6" spans="1:4" ht="52" customHeight="1">
      <c r="A6" s="3" t="s">
        <v>18</v>
      </c>
      <c r="B6" s="3" t="s">
        <v>36</v>
      </c>
      <c r="C6" s="3" t="s">
        <v>37</v>
      </c>
      <c r="D6" s="3" t="s">
        <v>35</v>
      </c>
    </row>
    <row r="7" spans="1:4" ht="52" customHeight="1">
      <c r="A7" s="3" t="s">
        <v>20</v>
      </c>
      <c r="B7" s="3" t="s">
        <v>38</v>
      </c>
      <c r="C7" s="3" t="s">
        <v>39</v>
      </c>
      <c r="D7" s="3" t="s">
        <v>35</v>
      </c>
    </row>
    <row r="8" spans="1:4" ht="52" customHeight="1">
      <c r="A8" s="3" t="s">
        <v>22</v>
      </c>
      <c r="B8" s="3" t="s">
        <v>40</v>
      </c>
      <c r="C8" s="3" t="s">
        <v>41</v>
      </c>
      <c r="D8" s="3" t="s">
        <v>35</v>
      </c>
    </row>
    <row r="9" spans="1:4" ht="52" customHeight="1">
      <c r="A9" s="3" t="s">
        <v>24</v>
      </c>
      <c r="B9" s="3" t="s">
        <v>42</v>
      </c>
      <c r="C9" s="3" t="s">
        <v>43</v>
      </c>
      <c r="D9" s="3" t="s">
        <v>44</v>
      </c>
    </row>
    <row r="11" spans="1:4" ht="39" customHeight="1">
      <c r="A11" s="22" t="s">
        <v>45</v>
      </c>
      <c r="B11" s="22"/>
      <c r="C11" s="22"/>
      <c r="D11" s="22"/>
    </row>
  </sheetData>
  <mergeCells count="3">
    <mergeCell ref="A1:D1"/>
    <mergeCell ref="A2:D2"/>
    <mergeCell ref="A11:D1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73"/>
  <sheetViews>
    <sheetView showGridLines="0" workbookViewId="0">
      <pane ySplit="4" topLeftCell="A5" activePane="bottomLeft" state="frozen"/>
      <selection pane="bottomLeft" activeCell="E3" sqref="E1:E1048576"/>
    </sheetView>
  </sheetViews>
  <sheetFormatPr baseColWidth="10" defaultColWidth="8.83203125" defaultRowHeight="14"/>
  <cols>
    <col min="1" max="1" width="13" customWidth="1"/>
    <col min="2" max="2" width="19" customWidth="1"/>
    <col min="3" max="4" width="17" customWidth="1"/>
    <col min="5" max="5" width="3" customWidth="1"/>
    <col min="6" max="6" width="14" customWidth="1"/>
    <col min="7" max="9" width="15" customWidth="1"/>
    <col min="10" max="11" width="18" customWidth="1"/>
    <col min="12" max="13" width="17" customWidth="1"/>
  </cols>
  <sheetData>
    <row r="1" spans="1:13" ht="35" customHeight="1">
      <c r="A1" s="23" t="s">
        <v>46</v>
      </c>
      <c r="B1" s="23"/>
      <c r="C1" s="23"/>
      <c r="D1" s="23"/>
      <c r="E1" s="23"/>
      <c r="F1" s="23"/>
      <c r="G1" s="23"/>
      <c r="H1" s="23"/>
      <c r="I1" s="23"/>
      <c r="J1" s="23"/>
      <c r="K1" s="23"/>
      <c r="L1" s="23"/>
      <c r="M1" s="23"/>
    </row>
    <row r="2" spans="1:13" ht="38" customHeight="1">
      <c r="A2" s="24" t="s">
        <v>47</v>
      </c>
      <c r="B2" s="24"/>
      <c r="C2" s="24"/>
      <c r="D2" s="24"/>
      <c r="E2" s="24"/>
      <c r="F2" s="24"/>
      <c r="G2" s="24"/>
      <c r="H2" s="24"/>
      <c r="I2" s="24"/>
      <c r="J2" s="24"/>
      <c r="K2" s="24"/>
      <c r="L2" s="24"/>
      <c r="M2" s="24"/>
    </row>
    <row r="4" spans="1:13" ht="31" customHeight="1">
      <c r="A4" s="2" t="s">
        <v>48</v>
      </c>
      <c r="B4" s="2" t="s">
        <v>49</v>
      </c>
      <c r="C4" s="2" t="s">
        <v>50</v>
      </c>
      <c r="D4" s="2" t="s">
        <v>51</v>
      </c>
      <c r="F4" s="2" t="s">
        <v>52</v>
      </c>
      <c r="G4" s="2" t="s">
        <v>53</v>
      </c>
      <c r="H4" s="2" t="s">
        <v>54</v>
      </c>
      <c r="I4" s="2" t="s">
        <v>55</v>
      </c>
      <c r="J4" s="2" t="s">
        <v>56</v>
      </c>
      <c r="K4" s="2" t="s">
        <v>57</v>
      </c>
      <c r="L4" s="2" t="s">
        <v>58</v>
      </c>
      <c r="M4" s="2" t="s">
        <v>59</v>
      </c>
    </row>
    <row r="5" spans="1:13" ht="20" customHeight="1">
      <c r="A5" t="s">
        <v>60</v>
      </c>
      <c r="B5" s="4">
        <v>20558.879000000001</v>
      </c>
      <c r="F5" t="s">
        <v>61</v>
      </c>
      <c r="G5" s="6">
        <v>274.31</v>
      </c>
      <c r="H5" s="6">
        <v>260.27999999999997</v>
      </c>
      <c r="I5" s="7">
        <f t="shared" ref="I5:I36" si="0">IF(OR(G5="",H5=""),"",G5/H5-1)</f>
        <v>5.3903488550791634E-2</v>
      </c>
      <c r="J5" s="8">
        <v>1.1338095238095238</v>
      </c>
      <c r="K5" s="9">
        <v>72.8</v>
      </c>
      <c r="L5" s="7">
        <v>8.0000000000000004E-4</v>
      </c>
      <c r="M5" t="str">
        <f t="shared" ref="M5:M36" si="1">IF(J5&lt;0,"Yes","No")</f>
        <v>No</v>
      </c>
    </row>
    <row r="6" spans="1:13" ht="20" customHeight="1">
      <c r="A6" t="s">
        <v>62</v>
      </c>
      <c r="B6" s="4">
        <v>20791.917000000001</v>
      </c>
      <c r="C6" s="5">
        <f t="shared" ref="C6:C28" si="2">(B6/B5)^4-1</f>
        <v>4.6117360446157107E-2</v>
      </c>
      <c r="D6" s="5"/>
      <c r="F6" t="s">
        <v>63</v>
      </c>
      <c r="G6" s="6">
        <v>276.589</v>
      </c>
      <c r="H6" s="6">
        <v>260.38799999999998</v>
      </c>
      <c r="I6" s="7">
        <f t="shared" si="0"/>
        <v>6.2218689033288976E-2</v>
      </c>
      <c r="J6" s="8">
        <v>1.19</v>
      </c>
      <c r="K6" s="9">
        <v>71.7</v>
      </c>
      <c r="L6" s="7">
        <v>8.0000000000000004E-4</v>
      </c>
      <c r="M6" t="str">
        <f t="shared" si="1"/>
        <v>No</v>
      </c>
    </row>
    <row r="7" spans="1:13" ht="20" customHeight="1">
      <c r="A7" t="s">
        <v>64</v>
      </c>
      <c r="B7" s="4">
        <v>21082.133999999998</v>
      </c>
      <c r="C7" s="5">
        <f t="shared" si="2"/>
        <v>5.7012556442734841E-2</v>
      </c>
      <c r="D7" s="5"/>
      <c r="F7" t="s">
        <v>65</v>
      </c>
      <c r="G7" s="6">
        <v>277.94799999999998</v>
      </c>
      <c r="H7" s="6">
        <v>260.22899999999998</v>
      </c>
      <c r="I7" s="7">
        <f t="shared" si="0"/>
        <v>6.8090028398064772E-2</v>
      </c>
      <c r="J7" s="8">
        <v>1.0515000000000003</v>
      </c>
      <c r="K7" s="9">
        <v>67.400000000000006</v>
      </c>
      <c r="L7" s="7">
        <v>8.0000000000000004E-4</v>
      </c>
      <c r="M7" t="str">
        <f t="shared" si="1"/>
        <v>No</v>
      </c>
    </row>
    <row r="8" spans="1:13" ht="20" customHeight="1">
      <c r="A8" t="s">
        <v>66</v>
      </c>
      <c r="B8" s="4">
        <v>21440.929</v>
      </c>
      <c r="C8" s="5">
        <f t="shared" si="2"/>
        <v>6.983331307653895E-2</v>
      </c>
      <c r="D8" s="5"/>
      <c r="F8" t="s">
        <v>67</v>
      </c>
      <c r="G8" s="6">
        <v>278.80200000000002</v>
      </c>
      <c r="H8" s="6">
        <v>260.47399999999999</v>
      </c>
      <c r="I8" s="7">
        <f t="shared" si="0"/>
        <v>7.0364028655451438E-2</v>
      </c>
      <c r="J8" s="8">
        <v>0.78500000000000003</v>
      </c>
      <c r="K8" s="9">
        <v>70.599999999999994</v>
      </c>
      <c r="L8" s="7">
        <v>8.0000000000000004E-4</v>
      </c>
      <c r="M8" t="str">
        <f t="shared" si="1"/>
        <v>No</v>
      </c>
    </row>
    <row r="9" spans="1:13" ht="20" customHeight="1">
      <c r="A9" t="s">
        <v>68</v>
      </c>
      <c r="B9" s="4">
        <v>21617.828000000001</v>
      </c>
      <c r="C9" s="5">
        <f t="shared" si="2"/>
        <v>3.341279325778812E-2</v>
      </c>
      <c r="D9" s="5">
        <f t="shared" ref="D9:D28" si="3">B9/B5-1</f>
        <v>5.1508109950936465E-2</v>
      </c>
      <c r="F9" t="s">
        <v>69</v>
      </c>
      <c r="G9" s="6">
        <v>281.14800000000002</v>
      </c>
      <c r="H9" s="6">
        <v>261.58199999999999</v>
      </c>
      <c r="I9" s="7">
        <f t="shared" si="0"/>
        <v>7.4798724682891171E-2</v>
      </c>
      <c r="J9" s="8">
        <v>0.78350000000000009</v>
      </c>
      <c r="K9" s="9">
        <v>67.2</v>
      </c>
      <c r="L9" s="7">
        <v>8.0000000000000004E-4</v>
      </c>
      <c r="M9" t="str">
        <f t="shared" si="1"/>
        <v>No</v>
      </c>
    </row>
    <row r="10" spans="1:13" ht="20" customHeight="1">
      <c r="A10" t="s">
        <v>70</v>
      </c>
      <c r="B10" s="4">
        <v>21988.737000000001</v>
      </c>
      <c r="C10" s="5">
        <f t="shared" si="2"/>
        <v>7.0416786109130936E-2</v>
      </c>
      <c r="D10" s="5">
        <f t="shared" si="3"/>
        <v>5.7561791921350913E-2</v>
      </c>
      <c r="F10" t="s">
        <v>71</v>
      </c>
      <c r="G10" s="6">
        <v>283.71600000000001</v>
      </c>
      <c r="H10" s="6">
        <v>263.01400000000001</v>
      </c>
      <c r="I10" s="7">
        <f t="shared" si="0"/>
        <v>7.8710638977392833E-2</v>
      </c>
      <c r="J10" s="8">
        <v>0.49894736842105264</v>
      </c>
      <c r="K10" s="9">
        <v>62.8</v>
      </c>
      <c r="L10" s="7">
        <v>8.0000000000000004E-4</v>
      </c>
      <c r="M10" t="str">
        <f t="shared" si="1"/>
        <v>No</v>
      </c>
    </row>
    <row r="11" spans="1:13" ht="20" customHeight="1">
      <c r="A11" t="s">
        <v>72</v>
      </c>
      <c r="B11" s="4">
        <v>21932.71</v>
      </c>
      <c r="C11" s="5">
        <f t="shared" si="2"/>
        <v>-1.0153057807451127E-2</v>
      </c>
      <c r="D11" s="5">
        <f t="shared" si="3"/>
        <v>4.0345820778864283E-2</v>
      </c>
      <c r="F11" t="s">
        <v>73</v>
      </c>
      <c r="G11" s="6">
        <v>287.50400000000002</v>
      </c>
      <c r="H11" s="6">
        <v>264.87700000000001</v>
      </c>
      <c r="I11" s="7">
        <f t="shared" si="0"/>
        <v>8.5424555548424319E-2</v>
      </c>
      <c r="J11" s="8">
        <v>0.21826086956521737</v>
      </c>
      <c r="K11" s="9">
        <v>59.4</v>
      </c>
      <c r="L11" s="7">
        <v>2E-3</v>
      </c>
      <c r="M11" t="str">
        <f t="shared" si="1"/>
        <v>No</v>
      </c>
    </row>
    <row r="12" spans="1:13" ht="20" customHeight="1">
      <c r="A12" t="s">
        <v>74</v>
      </c>
      <c r="B12" s="4">
        <v>21967.044999999998</v>
      </c>
      <c r="C12" s="5">
        <f t="shared" si="2"/>
        <v>6.276599617172085E-3</v>
      </c>
      <c r="D12" s="5">
        <f t="shared" si="3"/>
        <v>2.4537929303342976E-2</v>
      </c>
      <c r="F12" t="s">
        <v>75</v>
      </c>
      <c r="G12" s="6">
        <v>289.10899999999998</v>
      </c>
      <c r="H12" s="6">
        <v>267.05399999999997</v>
      </c>
      <c r="I12" s="7">
        <f t="shared" si="0"/>
        <v>8.258629340882373E-2</v>
      </c>
      <c r="J12" s="8">
        <v>0.20950000000000002</v>
      </c>
      <c r="K12" s="9">
        <v>65.2</v>
      </c>
      <c r="L12" s="7">
        <v>3.3E-3</v>
      </c>
      <c r="M12" t="str">
        <f t="shared" si="1"/>
        <v>No</v>
      </c>
    </row>
    <row r="13" spans="1:13" ht="20" customHeight="1">
      <c r="A13" t="s">
        <v>76</v>
      </c>
      <c r="B13" s="4">
        <v>22125.625</v>
      </c>
      <c r="C13" s="5">
        <f t="shared" si="2"/>
        <v>2.9190173117405793E-2</v>
      </c>
      <c r="D13" s="5">
        <f t="shared" si="3"/>
        <v>2.3489732641040373E-2</v>
      </c>
      <c r="F13" t="s">
        <v>77</v>
      </c>
      <c r="G13" s="6">
        <v>292.29599999999999</v>
      </c>
      <c r="H13" s="6">
        <v>269.19499999999999</v>
      </c>
      <c r="I13" s="7">
        <f t="shared" si="0"/>
        <v>8.5815115436765232E-2</v>
      </c>
      <c r="J13" s="8">
        <v>0.28142857142857142</v>
      </c>
      <c r="K13" s="9">
        <v>58.4</v>
      </c>
      <c r="L13" s="7">
        <v>7.7000000000000002E-3</v>
      </c>
      <c r="M13" t="str">
        <f t="shared" si="1"/>
        <v>No</v>
      </c>
    </row>
    <row r="14" spans="1:13" ht="20" customHeight="1">
      <c r="A14" t="s">
        <v>78</v>
      </c>
      <c r="B14" s="4">
        <v>22278.345000000001</v>
      </c>
      <c r="C14" s="5">
        <f t="shared" si="2"/>
        <v>2.7896792303830464E-2</v>
      </c>
      <c r="D14" s="5">
        <f t="shared" si="3"/>
        <v>1.3170742821654535E-2</v>
      </c>
      <c r="F14" t="s">
        <v>79</v>
      </c>
      <c r="G14" s="6">
        <v>296.31099999999998</v>
      </c>
      <c r="H14" s="6">
        <v>271.69600000000003</v>
      </c>
      <c r="I14" s="7">
        <f t="shared" si="0"/>
        <v>9.0597579647841542E-2</v>
      </c>
      <c r="J14" s="8">
        <v>0.14523809523809528</v>
      </c>
      <c r="K14" s="9">
        <v>50</v>
      </c>
      <c r="L14" s="7">
        <v>1.21E-2</v>
      </c>
      <c r="M14" t="str">
        <f t="shared" si="1"/>
        <v>No</v>
      </c>
    </row>
    <row r="15" spans="1:13" ht="20" customHeight="1">
      <c r="A15" t="s">
        <v>80</v>
      </c>
      <c r="B15" s="4">
        <v>22439.607</v>
      </c>
      <c r="C15" s="5">
        <f t="shared" si="2"/>
        <v>2.9269931752128775E-2</v>
      </c>
      <c r="D15" s="5">
        <f t="shared" si="3"/>
        <v>2.3111462286238282E-2</v>
      </c>
      <c r="F15" t="s">
        <v>81</v>
      </c>
      <c r="G15" s="6">
        <v>296.27600000000001</v>
      </c>
      <c r="H15" s="6">
        <v>273.00299999999999</v>
      </c>
      <c r="I15" s="7">
        <f t="shared" si="0"/>
        <v>8.5248147456255197E-2</v>
      </c>
      <c r="J15" s="8">
        <v>-0.14000000000000001</v>
      </c>
      <c r="K15" s="9">
        <v>51.5</v>
      </c>
      <c r="L15" s="7">
        <v>1.6799999999999999E-2</v>
      </c>
      <c r="M15" t="str">
        <f t="shared" si="1"/>
        <v>Yes</v>
      </c>
    </row>
    <row r="16" spans="1:13" ht="20" customHeight="1">
      <c r="A16" t="s">
        <v>82</v>
      </c>
      <c r="B16" s="4">
        <v>22580.499</v>
      </c>
      <c r="C16" s="5">
        <f t="shared" si="2"/>
        <v>2.5352403907615395E-2</v>
      </c>
      <c r="D16" s="5">
        <f t="shared" si="3"/>
        <v>2.7926104762839188E-2</v>
      </c>
      <c r="F16" t="s">
        <v>83</v>
      </c>
      <c r="G16" s="6">
        <v>296.17099999999999</v>
      </c>
      <c r="H16" s="6">
        <v>273.56700000000001</v>
      </c>
      <c r="I16" s="7">
        <f t="shared" si="0"/>
        <v>8.2626925031162424E-2</v>
      </c>
      <c r="J16" s="8">
        <v>-0.35217391304347823</v>
      </c>
      <c r="K16" s="9">
        <v>58.2</v>
      </c>
      <c r="L16" s="7">
        <v>2.3300000000000001E-2</v>
      </c>
      <c r="M16" t="str">
        <f t="shared" si="1"/>
        <v>Yes</v>
      </c>
    </row>
    <row r="17" spans="1:13" ht="20" customHeight="1">
      <c r="A17" t="s">
        <v>84</v>
      </c>
      <c r="B17" s="4">
        <v>22840.989000000001</v>
      </c>
      <c r="C17" s="5">
        <f t="shared" si="2"/>
        <v>4.6948884295479276E-2</v>
      </c>
      <c r="D17" s="5">
        <f t="shared" si="3"/>
        <v>3.2331922827038895E-2</v>
      </c>
      <c r="F17" t="s">
        <v>85</v>
      </c>
      <c r="G17" s="6">
        <v>296.80799999999999</v>
      </c>
      <c r="H17" s="6">
        <v>274.31</v>
      </c>
      <c r="I17" s="7">
        <f t="shared" si="0"/>
        <v>8.2016696438336201E-2</v>
      </c>
      <c r="J17" s="8">
        <v>-0.3376190476190476</v>
      </c>
      <c r="K17" s="9">
        <v>58.6</v>
      </c>
      <c r="L17" s="7">
        <v>2.5600000000000001E-2</v>
      </c>
      <c r="M17" t="str">
        <f t="shared" si="1"/>
        <v>Yes</v>
      </c>
    </row>
    <row r="18" spans="1:13" ht="20" customHeight="1">
      <c r="A18" t="s">
        <v>86</v>
      </c>
      <c r="B18" s="4">
        <v>23033.78</v>
      </c>
      <c r="C18" s="5">
        <f t="shared" si="2"/>
        <v>3.4192155752948095E-2</v>
      </c>
      <c r="D18" s="5">
        <f t="shared" si="3"/>
        <v>3.3908937131550632E-2</v>
      </c>
      <c r="F18" t="s">
        <v>87</v>
      </c>
      <c r="G18" s="6">
        <v>298.012</v>
      </c>
      <c r="H18" s="6">
        <v>276.589</v>
      </c>
      <c r="I18" s="7">
        <f t="shared" si="0"/>
        <v>7.7454273308049215E-2</v>
      </c>
      <c r="J18" s="8">
        <v>-0.39150000000000001</v>
      </c>
      <c r="K18" s="9">
        <v>59.9</v>
      </c>
      <c r="L18" s="7">
        <v>3.0800000000000001E-2</v>
      </c>
      <c r="M18" t="str">
        <f t="shared" si="1"/>
        <v>Yes</v>
      </c>
    </row>
    <row r="19" spans="1:13" ht="20" customHeight="1">
      <c r="A19" t="s">
        <v>88</v>
      </c>
      <c r="B19" s="4">
        <v>23082.118999999999</v>
      </c>
      <c r="C19" s="5">
        <f t="shared" si="2"/>
        <v>8.420915771010673E-3</v>
      </c>
      <c r="D19" s="5">
        <f t="shared" si="3"/>
        <v>2.8632943527041155E-2</v>
      </c>
      <c r="F19" t="s">
        <v>89</v>
      </c>
      <c r="G19" s="6">
        <v>297.71100000000001</v>
      </c>
      <c r="H19" s="6">
        <v>277.94799999999998</v>
      </c>
      <c r="I19" s="7">
        <f t="shared" si="0"/>
        <v>7.1103227941917257E-2</v>
      </c>
      <c r="J19" s="8">
        <v>-0.61249999999999993</v>
      </c>
      <c r="K19" s="9">
        <v>56.7</v>
      </c>
      <c r="L19" s="7">
        <v>3.78E-2</v>
      </c>
      <c r="M19" t="str">
        <f t="shared" si="1"/>
        <v>Yes</v>
      </c>
    </row>
    <row r="20" spans="1:13" ht="20" customHeight="1">
      <c r="A20" t="s">
        <v>90</v>
      </c>
      <c r="B20" s="4">
        <v>23286.508000000002</v>
      </c>
      <c r="C20" s="5">
        <f t="shared" si="2"/>
        <v>3.5892686664036999E-2</v>
      </c>
      <c r="D20" s="5">
        <f t="shared" si="3"/>
        <v>3.1266315239534936E-2</v>
      </c>
      <c r="F20" t="s">
        <v>91</v>
      </c>
      <c r="G20" s="6">
        <v>296.79700000000003</v>
      </c>
      <c r="H20" s="6">
        <v>278.80200000000002</v>
      </c>
      <c r="I20" s="7">
        <f t="shared" si="0"/>
        <v>6.4544013314108195E-2</v>
      </c>
      <c r="J20" s="8">
        <v>-0.6723809523809523</v>
      </c>
      <c r="K20" s="9">
        <v>59.8</v>
      </c>
      <c r="L20" s="7">
        <v>4.0999999999999995E-2</v>
      </c>
      <c r="M20" t="str">
        <f t="shared" si="1"/>
        <v>Yes</v>
      </c>
    </row>
    <row r="21" spans="1:13" ht="20" customHeight="1">
      <c r="A21" t="s">
        <v>92</v>
      </c>
      <c r="B21" s="4">
        <v>23478.57</v>
      </c>
      <c r="C21" s="5">
        <f t="shared" si="2"/>
        <v>3.3401525015594791E-2</v>
      </c>
      <c r="D21" s="5">
        <f t="shared" si="3"/>
        <v>2.7913896372876001E-2</v>
      </c>
      <c r="F21" t="s">
        <v>93</v>
      </c>
      <c r="G21" s="6">
        <v>299.17</v>
      </c>
      <c r="H21" s="6">
        <v>281.14800000000002</v>
      </c>
      <c r="I21" s="7">
        <f t="shared" si="0"/>
        <v>6.4101469688562673E-2</v>
      </c>
      <c r="J21" s="8">
        <v>-0.67599999999999993</v>
      </c>
      <c r="K21" s="9">
        <v>64.900000000000006</v>
      </c>
      <c r="L21" s="7">
        <v>4.3299999999999998E-2</v>
      </c>
      <c r="M21" t="str">
        <f t="shared" si="1"/>
        <v>Yes</v>
      </c>
    </row>
    <row r="22" spans="1:13" ht="20" customHeight="1">
      <c r="A22" t="s">
        <v>94</v>
      </c>
      <c r="B22" s="4">
        <v>23586.542000000001</v>
      </c>
      <c r="C22" s="5">
        <f t="shared" si="2"/>
        <v>1.8522267738050546E-2</v>
      </c>
      <c r="D22" s="5">
        <f t="shared" si="3"/>
        <v>2.3997884845648576E-2</v>
      </c>
      <c r="F22" t="s">
        <v>95</v>
      </c>
      <c r="G22" s="6">
        <v>300.83999999999997</v>
      </c>
      <c r="H22" s="6">
        <v>283.71600000000001</v>
      </c>
      <c r="I22" s="7">
        <f t="shared" si="0"/>
        <v>6.0356130778665973E-2</v>
      </c>
      <c r="J22" s="8">
        <v>-0.7868421052631579</v>
      </c>
      <c r="K22" s="9">
        <v>66.900000000000006</v>
      </c>
      <c r="L22" s="7">
        <v>4.5700000000000005E-2</v>
      </c>
      <c r="M22" t="str">
        <f t="shared" si="1"/>
        <v>Yes</v>
      </c>
    </row>
    <row r="23" spans="1:13" ht="20" customHeight="1">
      <c r="A23" t="s">
        <v>96</v>
      </c>
      <c r="B23" s="4">
        <v>23548.21</v>
      </c>
      <c r="C23" s="5">
        <f t="shared" si="2"/>
        <v>-6.4848263925239014E-3</v>
      </c>
      <c r="D23" s="5">
        <f t="shared" si="3"/>
        <v>2.0192730138857806E-2</v>
      </c>
      <c r="F23" t="s">
        <v>97</v>
      </c>
      <c r="G23" s="6">
        <v>301.83600000000001</v>
      </c>
      <c r="H23" s="6">
        <v>287.50400000000002</v>
      </c>
      <c r="I23" s="7">
        <f t="shared" si="0"/>
        <v>4.9849741220991728E-2</v>
      </c>
      <c r="J23" s="8">
        <v>-0.63956521739130456</v>
      </c>
      <c r="K23" s="9">
        <v>62</v>
      </c>
      <c r="L23" s="7">
        <v>4.6500000000000007E-2</v>
      </c>
      <c r="M23" t="str">
        <f t="shared" si="1"/>
        <v>Yes</v>
      </c>
    </row>
    <row r="24" spans="1:13" ht="20" customHeight="1">
      <c r="A24" t="s">
        <v>98</v>
      </c>
      <c r="B24" s="4">
        <v>23770.975999999999</v>
      </c>
      <c r="C24" s="5">
        <f t="shared" si="2"/>
        <v>3.8380332333819878E-2</v>
      </c>
      <c r="D24" s="5">
        <f t="shared" si="3"/>
        <v>2.0804665087611918E-2</v>
      </c>
      <c r="F24" t="s">
        <v>99</v>
      </c>
      <c r="G24" s="6">
        <v>303.363</v>
      </c>
      <c r="H24" s="6">
        <v>289.10899999999998</v>
      </c>
      <c r="I24" s="7">
        <f t="shared" si="0"/>
        <v>4.9303203981889254E-2</v>
      </c>
      <c r="J24" s="8">
        <v>-0.55599999999999994</v>
      </c>
      <c r="K24" s="9">
        <v>63.7</v>
      </c>
      <c r="L24" s="7">
        <v>4.8300000000000003E-2</v>
      </c>
      <c r="M24" t="str">
        <f t="shared" si="1"/>
        <v>Yes</v>
      </c>
    </row>
    <row r="25" spans="1:13" ht="20" customHeight="1">
      <c r="A25" t="s">
        <v>100</v>
      </c>
      <c r="B25" s="4">
        <v>24026.833999999999</v>
      </c>
      <c r="C25" s="5">
        <f t="shared" si="2"/>
        <v>4.3753962528715995E-2</v>
      </c>
      <c r="D25" s="5">
        <f t="shared" si="3"/>
        <v>2.3351677721428432E-2</v>
      </c>
      <c r="F25" t="s">
        <v>101</v>
      </c>
      <c r="G25" s="6">
        <v>304.12700000000001</v>
      </c>
      <c r="H25" s="6">
        <v>292.29599999999999</v>
      </c>
      <c r="I25" s="7">
        <f t="shared" si="0"/>
        <v>4.0476092727919744E-2</v>
      </c>
      <c r="J25" s="8">
        <v>-0.55818181818181811</v>
      </c>
      <c r="K25" s="9">
        <v>59</v>
      </c>
      <c r="L25" s="7">
        <v>5.0599999999999999E-2</v>
      </c>
      <c r="M25" t="str">
        <f t="shared" si="1"/>
        <v>Yes</v>
      </c>
    </row>
    <row r="26" spans="1:13" ht="20" customHeight="1">
      <c r="A26" t="s">
        <v>102</v>
      </c>
      <c r="B26" s="4">
        <v>24055.749</v>
      </c>
      <c r="C26" s="5">
        <f t="shared" si="2"/>
        <v>4.8224811236059484E-3</v>
      </c>
      <c r="D26" s="5">
        <f t="shared" si="3"/>
        <v>1.9892996607980828E-2</v>
      </c>
      <c r="F26" t="s">
        <v>103</v>
      </c>
      <c r="G26" s="6">
        <v>305.10899999999998</v>
      </c>
      <c r="H26" s="6">
        <v>296.31099999999998</v>
      </c>
      <c r="I26" s="7">
        <f t="shared" si="0"/>
        <v>2.9691776545588855E-2</v>
      </c>
      <c r="J26" s="8">
        <v>-0.89142857142857135</v>
      </c>
      <c r="K26" s="9">
        <v>64.2</v>
      </c>
      <c r="L26" s="7">
        <v>5.0799999999999998E-2</v>
      </c>
      <c r="M26" t="str">
        <f t="shared" si="1"/>
        <v>Yes</v>
      </c>
    </row>
    <row r="27" spans="1:13" ht="20" customHeight="1">
      <c r="A27" t="s">
        <v>104</v>
      </c>
      <c r="B27" s="4">
        <v>24180.419000000002</v>
      </c>
      <c r="C27" s="5">
        <f t="shared" si="2"/>
        <v>2.0891889857350465E-2</v>
      </c>
      <c r="D27" s="5">
        <f t="shared" si="3"/>
        <v>2.6847433414259658E-2</v>
      </c>
      <c r="F27" t="s">
        <v>105</v>
      </c>
      <c r="G27" s="6">
        <v>305.69099999999997</v>
      </c>
      <c r="H27" s="6">
        <v>296.27600000000001</v>
      </c>
      <c r="I27" s="7">
        <f t="shared" si="0"/>
        <v>3.1777801779421688E-2</v>
      </c>
      <c r="J27" s="8">
        <v>-0.92899999999999994</v>
      </c>
      <c r="K27" s="9">
        <v>71.5</v>
      </c>
      <c r="L27" s="7">
        <v>5.1200000000000002E-2</v>
      </c>
      <c r="M27" t="str">
        <f t="shared" si="1"/>
        <v>Yes</v>
      </c>
    </row>
    <row r="28" spans="1:13" ht="20" customHeight="1">
      <c r="A28" t="s">
        <v>106</v>
      </c>
      <c r="B28" s="4">
        <v>24269.613000000001</v>
      </c>
      <c r="C28" s="5">
        <f t="shared" si="2"/>
        <v>1.4836587880023622E-2</v>
      </c>
      <c r="D28" s="5">
        <f t="shared" si="3"/>
        <v>2.0976715470160112E-2</v>
      </c>
      <c r="F28" t="s">
        <v>107</v>
      </c>
      <c r="G28" s="6">
        <v>307.02600000000001</v>
      </c>
      <c r="H28" s="6">
        <v>296.17099999999999</v>
      </c>
      <c r="I28" s="7">
        <f t="shared" si="0"/>
        <v>3.6651123843995492E-2</v>
      </c>
      <c r="J28" s="8">
        <v>-0.73391304347826081</v>
      </c>
      <c r="K28" s="9">
        <v>69.400000000000006</v>
      </c>
      <c r="L28" s="7">
        <v>5.33E-2</v>
      </c>
      <c r="M28" t="str">
        <f t="shared" si="1"/>
        <v>Yes</v>
      </c>
    </row>
    <row r="29" spans="1:13" ht="20" customHeight="1">
      <c r="F29" t="s">
        <v>108</v>
      </c>
      <c r="G29" s="6">
        <v>307.78899999999999</v>
      </c>
      <c r="H29" s="6">
        <v>296.80799999999999</v>
      </c>
      <c r="I29" s="7">
        <f t="shared" si="0"/>
        <v>3.6996981213444302E-2</v>
      </c>
      <c r="J29" s="8">
        <v>-0.64300000000000002</v>
      </c>
      <c r="K29" s="9">
        <v>67.8</v>
      </c>
      <c r="L29" s="7">
        <v>5.33E-2</v>
      </c>
      <c r="M29" t="str">
        <f t="shared" si="1"/>
        <v>Yes</v>
      </c>
    </row>
    <row r="30" spans="1:13" ht="20" customHeight="1">
      <c r="F30" t="s">
        <v>109</v>
      </c>
      <c r="G30" s="6">
        <v>307.67099999999999</v>
      </c>
      <c r="H30" s="6">
        <v>298.012</v>
      </c>
      <c r="I30" s="7">
        <f t="shared" si="0"/>
        <v>3.2411446518932019E-2</v>
      </c>
      <c r="J30" s="8">
        <v>-0.26952380952380961</v>
      </c>
      <c r="K30" s="9">
        <v>63.8</v>
      </c>
      <c r="L30" s="7">
        <v>5.33E-2</v>
      </c>
      <c r="M30" t="str">
        <f t="shared" si="1"/>
        <v>Yes</v>
      </c>
    </row>
    <row r="31" spans="1:13" ht="20" customHeight="1">
      <c r="F31" t="s">
        <v>110</v>
      </c>
      <c r="G31" s="6">
        <v>307.05099999999999</v>
      </c>
      <c r="H31" s="6">
        <v>297.71100000000001</v>
      </c>
      <c r="I31" s="7">
        <f t="shared" si="0"/>
        <v>3.1372707088417773E-2</v>
      </c>
      <c r="J31" s="8">
        <v>-0.37952380952380954</v>
      </c>
      <c r="K31" s="9">
        <v>61.3</v>
      </c>
      <c r="L31" s="7">
        <v>5.33E-2</v>
      </c>
      <c r="M31" t="str">
        <f t="shared" si="1"/>
        <v>Yes</v>
      </c>
    </row>
    <row r="32" spans="1:13" ht="20" customHeight="1">
      <c r="F32" t="s">
        <v>111</v>
      </c>
      <c r="G32" s="6">
        <v>306.74599999999998</v>
      </c>
      <c r="H32" s="6">
        <v>296.79700000000003</v>
      </c>
      <c r="I32" s="7">
        <f t="shared" si="0"/>
        <v>3.3521228314302265E-2</v>
      </c>
      <c r="J32" s="8">
        <v>-0.43700000000000011</v>
      </c>
      <c r="K32" s="9">
        <v>69.7</v>
      </c>
      <c r="L32" s="7">
        <v>5.33E-2</v>
      </c>
      <c r="M32" t="str">
        <f t="shared" si="1"/>
        <v>Yes</v>
      </c>
    </row>
    <row r="33" spans="6:13" ht="20" customHeight="1">
      <c r="F33" t="s">
        <v>112</v>
      </c>
      <c r="G33" s="6">
        <v>308.41699999999997</v>
      </c>
      <c r="H33" s="6">
        <v>299.17</v>
      </c>
      <c r="I33" s="7">
        <f t="shared" si="0"/>
        <v>3.0908847812280538E-2</v>
      </c>
      <c r="J33" s="8">
        <v>-0.26476190476190481</v>
      </c>
      <c r="K33" s="9">
        <v>79</v>
      </c>
      <c r="L33" s="7">
        <v>5.33E-2</v>
      </c>
      <c r="M33" t="str">
        <f t="shared" si="1"/>
        <v>Yes</v>
      </c>
    </row>
    <row r="34" spans="6:13" ht="20" customHeight="1">
      <c r="F34" t="s">
        <v>113</v>
      </c>
      <c r="G34" s="6">
        <v>310.32600000000002</v>
      </c>
      <c r="H34" s="6">
        <v>300.83999999999997</v>
      </c>
      <c r="I34" s="7">
        <f t="shared" si="0"/>
        <v>3.1531711208615976E-2</v>
      </c>
      <c r="J34" s="8">
        <v>-0.33650000000000002</v>
      </c>
      <c r="K34" s="9">
        <v>76.900000000000006</v>
      </c>
      <c r="L34" s="7">
        <v>5.33E-2</v>
      </c>
      <c r="M34" t="str">
        <f t="shared" si="1"/>
        <v>Yes</v>
      </c>
    </row>
    <row r="35" spans="6:13" ht="20" customHeight="1">
      <c r="F35" t="s">
        <v>114</v>
      </c>
      <c r="G35" s="6">
        <v>312.33199999999999</v>
      </c>
      <c r="H35" s="6">
        <v>301.83600000000001</v>
      </c>
      <c r="I35" s="7">
        <f t="shared" si="0"/>
        <v>3.4773850700380304E-2</v>
      </c>
      <c r="J35" s="8">
        <v>-0.37949999999999995</v>
      </c>
      <c r="K35" s="9">
        <v>79.400000000000006</v>
      </c>
      <c r="L35" s="7">
        <v>5.33E-2</v>
      </c>
      <c r="M35" t="str">
        <f t="shared" si="1"/>
        <v>Yes</v>
      </c>
    </row>
    <row r="36" spans="6:13" ht="20" customHeight="1">
      <c r="F36" t="s">
        <v>115</v>
      </c>
      <c r="G36" s="6">
        <v>313.548</v>
      </c>
      <c r="H36" s="6">
        <v>303.363</v>
      </c>
      <c r="I36" s="7">
        <f t="shared" si="0"/>
        <v>3.3573639501191632E-2</v>
      </c>
      <c r="J36" s="8">
        <v>-0.33409090909090905</v>
      </c>
      <c r="K36" s="9">
        <v>77.2</v>
      </c>
      <c r="L36" s="7">
        <v>5.33E-2</v>
      </c>
      <c r="M36" t="str">
        <f t="shared" si="1"/>
        <v>Yes</v>
      </c>
    </row>
    <row r="37" spans="6:13" ht="20" customHeight="1">
      <c r="F37" t="s">
        <v>116</v>
      </c>
      <c r="G37" s="6">
        <v>314.06900000000002</v>
      </c>
      <c r="H37" s="6">
        <v>304.12700000000001</v>
      </c>
      <c r="I37" s="7">
        <f t="shared" ref="I37:I64" si="4">IF(OR(G37="",H37=""),"",G37/H37-1)</f>
        <v>3.2690290569400204E-2</v>
      </c>
      <c r="J37" s="8">
        <v>-0.37409090909090909</v>
      </c>
      <c r="K37" s="9">
        <v>69.099999999999994</v>
      </c>
      <c r="L37" s="7">
        <v>5.33E-2</v>
      </c>
      <c r="M37" t="str">
        <f t="shared" ref="M37:M64" si="5">IF(J37&lt;0,"Yes","No")</f>
        <v>Yes</v>
      </c>
    </row>
    <row r="38" spans="6:13" ht="20" customHeight="1">
      <c r="F38" t="s">
        <v>117</v>
      </c>
      <c r="G38" s="6">
        <v>314.17500000000001</v>
      </c>
      <c r="H38" s="6">
        <v>305.10899999999998</v>
      </c>
      <c r="I38" s="7">
        <f t="shared" si="4"/>
        <v>2.9713971072633072E-2</v>
      </c>
      <c r="J38" s="8">
        <v>-0.43157894736842101</v>
      </c>
      <c r="K38" s="9">
        <v>68.2</v>
      </c>
      <c r="L38" s="7">
        <v>5.33E-2</v>
      </c>
      <c r="M38" t="str">
        <f t="shared" si="5"/>
        <v>Yes</v>
      </c>
    </row>
    <row r="39" spans="6:13" ht="20" customHeight="1">
      <c r="F39" t="s">
        <v>118</v>
      </c>
      <c r="G39" s="6">
        <v>314.54000000000002</v>
      </c>
      <c r="H39" s="6">
        <v>305.69099999999997</v>
      </c>
      <c r="I39" s="7">
        <f t="shared" si="4"/>
        <v>2.8947531984913066E-2</v>
      </c>
      <c r="J39" s="8">
        <v>-0.24727272727272728</v>
      </c>
      <c r="K39" s="9">
        <v>66.400000000000006</v>
      </c>
      <c r="L39" s="7">
        <v>5.33E-2</v>
      </c>
      <c r="M39" t="str">
        <f t="shared" si="5"/>
        <v>Yes</v>
      </c>
    </row>
    <row r="40" spans="6:13" ht="20" customHeight="1">
      <c r="F40" t="s">
        <v>119</v>
      </c>
      <c r="G40" s="6">
        <v>314.79599999999999</v>
      </c>
      <c r="H40" s="6">
        <v>307.02600000000001</v>
      </c>
      <c r="I40" s="7">
        <f t="shared" si="4"/>
        <v>2.5307302964569622E-2</v>
      </c>
      <c r="J40" s="8">
        <v>-9.4545454545454544E-2</v>
      </c>
      <c r="K40" s="9">
        <v>67.900000000000006</v>
      </c>
      <c r="L40" s="7">
        <v>5.33E-2</v>
      </c>
      <c r="M40" t="str">
        <f t="shared" si="5"/>
        <v>Yes</v>
      </c>
    </row>
    <row r="41" spans="6:13" ht="20" customHeight="1">
      <c r="F41" t="s">
        <v>120</v>
      </c>
      <c r="G41" s="6">
        <v>315.30099999999999</v>
      </c>
      <c r="H41" s="6">
        <v>307.78899999999999</v>
      </c>
      <c r="I41" s="7">
        <f t="shared" si="4"/>
        <v>2.4406330310699831E-2</v>
      </c>
      <c r="J41" s="8">
        <v>0.10100000000000001</v>
      </c>
      <c r="K41" s="9">
        <v>70.099999999999994</v>
      </c>
      <c r="L41" s="7">
        <v>5.1299999999999998E-2</v>
      </c>
      <c r="M41" t="str">
        <f t="shared" si="5"/>
        <v>No</v>
      </c>
    </row>
    <row r="42" spans="6:13" ht="20" customHeight="1">
      <c r="F42" t="s">
        <v>121</v>
      </c>
      <c r="G42" s="6">
        <v>315.66399999999999</v>
      </c>
      <c r="H42" s="6">
        <v>307.67099999999999</v>
      </c>
      <c r="I42" s="7">
        <f t="shared" si="4"/>
        <v>2.5979049049146719E-2</v>
      </c>
      <c r="J42" s="8">
        <v>0.1231818181818182</v>
      </c>
      <c r="K42" s="9">
        <v>70.5</v>
      </c>
      <c r="L42" s="7">
        <v>4.8300000000000003E-2</v>
      </c>
      <c r="M42" t="str">
        <f t="shared" si="5"/>
        <v>No</v>
      </c>
    </row>
    <row r="43" spans="6:13" ht="20" customHeight="1">
      <c r="F43" t="s">
        <v>122</v>
      </c>
      <c r="G43" s="6">
        <v>315.49299999999999</v>
      </c>
      <c r="H43" s="6">
        <v>307.05099999999999</v>
      </c>
      <c r="I43" s="7">
        <f t="shared" si="4"/>
        <v>2.7493803960905616E-2</v>
      </c>
      <c r="J43" s="8">
        <v>9.8421052631578965E-2</v>
      </c>
      <c r="K43" s="9">
        <v>71.8</v>
      </c>
      <c r="L43" s="7">
        <v>4.6399999999999997E-2</v>
      </c>
      <c r="M43" t="str">
        <f t="shared" si="5"/>
        <v>No</v>
      </c>
    </row>
    <row r="44" spans="6:13" ht="20" customHeight="1">
      <c r="F44" t="s">
        <v>123</v>
      </c>
      <c r="G44" s="6">
        <v>315.60500000000002</v>
      </c>
      <c r="H44" s="6">
        <v>306.74599999999998</v>
      </c>
      <c r="I44" s="7">
        <f t="shared" si="4"/>
        <v>2.8880572199800669E-2</v>
      </c>
      <c r="J44" s="8">
        <v>0.16571428571428573</v>
      </c>
      <c r="K44" s="9">
        <v>74</v>
      </c>
      <c r="L44" s="7">
        <v>4.4800000000000006E-2</v>
      </c>
      <c r="M44" t="str">
        <f t="shared" si="5"/>
        <v>No</v>
      </c>
    </row>
    <row r="45" spans="6:13" ht="20" customHeight="1">
      <c r="F45" t="s">
        <v>124</v>
      </c>
      <c r="G45" s="6">
        <v>317.67099999999999</v>
      </c>
      <c r="H45" s="6">
        <v>308.41699999999997</v>
      </c>
      <c r="I45" s="7">
        <f t="shared" si="4"/>
        <v>3.0004831121501097E-2</v>
      </c>
      <c r="J45" s="8">
        <v>0.35714285714285721</v>
      </c>
      <c r="K45" s="9">
        <v>71.7</v>
      </c>
      <c r="L45" s="7">
        <v>4.3299999999999998E-2</v>
      </c>
      <c r="M45" t="str">
        <f t="shared" si="5"/>
        <v>No</v>
      </c>
    </row>
    <row r="46" spans="6:13" ht="20" customHeight="1">
      <c r="F46" t="s">
        <v>125</v>
      </c>
      <c r="G46" s="6">
        <v>319.08199999999999</v>
      </c>
      <c r="H46" s="6">
        <v>310.32600000000002</v>
      </c>
      <c r="I46" s="7">
        <f t="shared" si="4"/>
        <v>2.8215489517475101E-2</v>
      </c>
      <c r="J46" s="8">
        <v>0.24105263157894738</v>
      </c>
      <c r="K46" s="9">
        <v>64.7</v>
      </c>
      <c r="L46" s="7">
        <v>4.3299999999999998E-2</v>
      </c>
      <c r="M46" t="str">
        <f t="shared" si="5"/>
        <v>No</v>
      </c>
    </row>
    <row r="47" spans="6:13" ht="20" customHeight="1">
      <c r="F47" t="s">
        <v>126</v>
      </c>
      <c r="G47" s="6">
        <v>319.79899999999998</v>
      </c>
      <c r="H47" s="6">
        <v>312.33199999999999</v>
      </c>
      <c r="I47" s="7">
        <f t="shared" si="4"/>
        <v>2.3907252538964974E-2</v>
      </c>
      <c r="J47" s="8">
        <v>0.31047619047619046</v>
      </c>
      <c r="K47" s="9">
        <v>57</v>
      </c>
      <c r="L47" s="7">
        <v>4.3299999999999998E-2</v>
      </c>
      <c r="M47" t="str">
        <f t="shared" si="5"/>
        <v>No</v>
      </c>
    </row>
    <row r="48" spans="6:13" ht="20" customHeight="1">
      <c r="F48" t="s">
        <v>127</v>
      </c>
      <c r="G48" s="6">
        <v>320.79500000000002</v>
      </c>
      <c r="H48" s="6">
        <v>313.548</v>
      </c>
      <c r="I48" s="7">
        <f t="shared" si="4"/>
        <v>2.3112888616734883E-2</v>
      </c>
      <c r="J48" s="8">
        <v>0.50142857142857145</v>
      </c>
      <c r="K48" s="9">
        <v>52.2</v>
      </c>
      <c r="L48" s="7">
        <v>4.3299999999999998E-2</v>
      </c>
      <c r="M48" t="str">
        <f t="shared" si="5"/>
        <v>No</v>
      </c>
    </row>
    <row r="49" spans="6:13" ht="20" customHeight="1">
      <c r="F49" t="s">
        <v>128</v>
      </c>
      <c r="G49" s="6">
        <v>321.46499999999997</v>
      </c>
      <c r="H49" s="6">
        <v>314.06900000000002</v>
      </c>
      <c r="I49" s="7">
        <f t="shared" si="4"/>
        <v>2.3548965354746709E-2</v>
      </c>
      <c r="J49" s="8">
        <v>0.50380952380952371</v>
      </c>
      <c r="K49" s="9">
        <v>52.2</v>
      </c>
      <c r="L49" s="7">
        <v>4.3299999999999998E-2</v>
      </c>
      <c r="M49" t="str">
        <f t="shared" si="5"/>
        <v>No</v>
      </c>
    </row>
    <row r="50" spans="6:13" ht="20" customHeight="1">
      <c r="F50" t="s">
        <v>129</v>
      </c>
      <c r="G50" s="6">
        <v>322.56099999999998</v>
      </c>
      <c r="H50" s="6">
        <v>314.17500000000001</v>
      </c>
      <c r="I50" s="7">
        <f t="shared" si="4"/>
        <v>2.6692130182223162E-2</v>
      </c>
      <c r="J50" s="8">
        <v>0.49450000000000005</v>
      </c>
      <c r="K50" s="9">
        <v>60.7</v>
      </c>
      <c r="L50" s="7">
        <v>4.3299999999999998E-2</v>
      </c>
      <c r="M50" t="str">
        <f t="shared" si="5"/>
        <v>No</v>
      </c>
    </row>
    <row r="51" spans="6:13" ht="20" customHeight="1">
      <c r="F51" t="s">
        <v>130</v>
      </c>
      <c r="G51" s="6">
        <v>323.048</v>
      </c>
      <c r="H51" s="6">
        <v>314.54000000000002</v>
      </c>
      <c r="I51" s="7">
        <f t="shared" si="4"/>
        <v>2.7049023971513986E-2</v>
      </c>
      <c r="J51" s="8">
        <v>0.50954545454545463</v>
      </c>
      <c r="K51" s="9">
        <v>61.7</v>
      </c>
      <c r="L51" s="7">
        <v>4.3299999999999998E-2</v>
      </c>
      <c r="M51" t="str">
        <f t="shared" si="5"/>
        <v>No</v>
      </c>
    </row>
    <row r="52" spans="6:13" ht="20" customHeight="1">
      <c r="F52" t="s">
        <v>131</v>
      </c>
      <c r="G52" s="6">
        <v>323.976</v>
      </c>
      <c r="H52" s="6">
        <v>314.79599999999999</v>
      </c>
      <c r="I52" s="7">
        <f t="shared" si="4"/>
        <v>2.9161742842984006E-2</v>
      </c>
      <c r="J52" s="8">
        <v>0.56095238095238098</v>
      </c>
      <c r="K52" s="9">
        <v>58.2</v>
      </c>
      <c r="L52" s="7">
        <v>4.3299999999999998E-2</v>
      </c>
      <c r="M52" t="str">
        <f t="shared" si="5"/>
        <v>No</v>
      </c>
    </row>
    <row r="53" spans="6:13" ht="20" customHeight="1">
      <c r="F53" t="s">
        <v>132</v>
      </c>
      <c r="G53" s="6">
        <v>324.8</v>
      </c>
      <c r="H53" s="6">
        <v>315.30099999999999</v>
      </c>
      <c r="I53" s="7">
        <f t="shared" si="4"/>
        <v>3.0126767755256134E-2</v>
      </c>
      <c r="J53" s="8">
        <v>0.55190476190476201</v>
      </c>
      <c r="K53" s="9">
        <v>55.1</v>
      </c>
      <c r="L53" s="7">
        <v>4.2199999999999994E-2</v>
      </c>
      <c r="M53" t="str">
        <f t="shared" si="5"/>
        <v>No</v>
      </c>
    </row>
    <row r="54" spans="6:13" ht="20" customHeight="1">
      <c r="F54" t="s">
        <v>133</v>
      </c>
      <c r="G54" s="6"/>
      <c r="H54" s="6">
        <v>315.66399999999999</v>
      </c>
      <c r="I54" s="7" t="str">
        <f t="shared" si="4"/>
        <v/>
      </c>
      <c r="J54" s="8">
        <v>0.54045454545454541</v>
      </c>
      <c r="K54" s="9">
        <v>53.6</v>
      </c>
      <c r="L54" s="7">
        <v>4.0899999999999999E-2</v>
      </c>
      <c r="M54" t="str">
        <f t="shared" si="5"/>
        <v>No</v>
      </c>
    </row>
    <row r="55" spans="6:13" ht="20" customHeight="1">
      <c r="F55" t="s">
        <v>134</v>
      </c>
      <c r="G55" s="6">
        <v>324.12200000000001</v>
      </c>
      <c r="H55" s="6">
        <v>315.49299999999999</v>
      </c>
      <c r="I55" s="7">
        <f t="shared" si="4"/>
        <v>2.7350844551226272E-2</v>
      </c>
      <c r="J55" s="8">
        <v>0.54388888888888898</v>
      </c>
      <c r="K55" s="9">
        <v>51</v>
      </c>
      <c r="L55" s="7">
        <v>3.8800000000000001E-2</v>
      </c>
      <c r="M55" t="str">
        <f t="shared" si="5"/>
        <v>No</v>
      </c>
    </row>
    <row r="56" spans="6:13" ht="20" customHeight="1">
      <c r="F56" t="s">
        <v>135</v>
      </c>
      <c r="G56" s="6">
        <v>324.05399999999997</v>
      </c>
      <c r="H56" s="6">
        <v>315.60500000000002</v>
      </c>
      <c r="I56" s="7">
        <f t="shared" si="4"/>
        <v>2.6770805278750087E-2</v>
      </c>
      <c r="J56" s="8">
        <v>0.64227272727272722</v>
      </c>
      <c r="K56" s="9">
        <v>52.9</v>
      </c>
      <c r="L56" s="7">
        <v>3.7200000000000004E-2</v>
      </c>
      <c r="M56" t="str">
        <f t="shared" si="5"/>
        <v>No</v>
      </c>
    </row>
    <row r="57" spans="6:13" ht="20" customHeight="1">
      <c r="F57" t="s">
        <v>136</v>
      </c>
      <c r="G57" s="6">
        <v>325.25200000000001</v>
      </c>
      <c r="H57" s="6">
        <v>317.67099999999999</v>
      </c>
      <c r="I57" s="7">
        <f t="shared" si="4"/>
        <v>2.386431244904319E-2</v>
      </c>
      <c r="J57" s="8">
        <v>0.6765000000000001</v>
      </c>
      <c r="K57" s="9">
        <v>56.4</v>
      </c>
      <c r="L57" s="7">
        <v>3.6400000000000002E-2</v>
      </c>
      <c r="M57" t="str">
        <f t="shared" si="5"/>
        <v>No</v>
      </c>
    </row>
    <row r="58" spans="6:13" ht="20" customHeight="1">
      <c r="F58" t="s">
        <v>137</v>
      </c>
      <c r="G58" s="6">
        <v>326.78500000000003</v>
      </c>
      <c r="H58" s="6">
        <v>319.08199999999999</v>
      </c>
      <c r="I58" s="7">
        <f t="shared" si="4"/>
        <v>2.4141129866304123E-2</v>
      </c>
      <c r="J58" s="8">
        <v>0.65421052631578924</v>
      </c>
      <c r="K58" s="9">
        <v>56.6</v>
      </c>
      <c r="L58" s="7">
        <v>3.6400000000000002E-2</v>
      </c>
      <c r="M58" t="str">
        <f t="shared" si="5"/>
        <v>No</v>
      </c>
    </row>
    <row r="59" spans="6:13" ht="20" customHeight="1">
      <c r="F59" t="s">
        <v>138</v>
      </c>
      <c r="G59" s="6">
        <v>330.21300000000002</v>
      </c>
      <c r="H59" s="6">
        <v>319.79899999999998</v>
      </c>
      <c r="I59" s="7">
        <f t="shared" si="4"/>
        <v>3.2564204390883145E-2</v>
      </c>
      <c r="J59" s="8">
        <v>0.53136363636363637</v>
      </c>
      <c r="K59" s="9">
        <v>53.3</v>
      </c>
      <c r="L59" s="7">
        <v>3.6400000000000002E-2</v>
      </c>
      <c r="M59" t="str">
        <f t="shared" si="5"/>
        <v>No</v>
      </c>
    </row>
    <row r="60" spans="6:13" ht="20" customHeight="1">
      <c r="F60" t="s">
        <v>139</v>
      </c>
      <c r="G60" s="6">
        <v>333.02</v>
      </c>
      <c r="H60" s="6">
        <v>320.79500000000002</v>
      </c>
      <c r="I60" s="7">
        <f t="shared" si="4"/>
        <v>3.8108449321217597E-2</v>
      </c>
      <c r="J60" s="8">
        <v>0.51999999999999991</v>
      </c>
      <c r="K60" s="9">
        <v>49.8</v>
      </c>
      <c r="L60" s="7">
        <v>3.6400000000000002E-2</v>
      </c>
      <c r="M60" t="str">
        <f t="shared" si="5"/>
        <v>No</v>
      </c>
    </row>
    <row r="61" spans="6:13" ht="20" customHeight="1">
      <c r="F61" t="s">
        <v>140</v>
      </c>
      <c r="G61" s="6">
        <v>335.12299999999999</v>
      </c>
      <c r="H61" s="6">
        <v>321.46499999999997</v>
      </c>
      <c r="I61" s="7">
        <f t="shared" si="4"/>
        <v>4.2486740391644462E-2</v>
      </c>
      <c r="J61" s="8">
        <v>0.48900000000000016</v>
      </c>
      <c r="K61" s="9">
        <v>44.8</v>
      </c>
      <c r="L61" s="7">
        <v>3.6299999999999999E-2</v>
      </c>
      <c r="M61" t="str">
        <f t="shared" si="5"/>
        <v>No</v>
      </c>
    </row>
    <row r="62" spans="6:13" ht="20" customHeight="1">
      <c r="F62" t="s">
        <v>141</v>
      </c>
      <c r="G62" s="6">
        <v>333.952</v>
      </c>
      <c r="H62" s="6">
        <v>322.56099999999998</v>
      </c>
      <c r="I62" s="7">
        <f t="shared" si="4"/>
        <v>3.5314250637863864E-2</v>
      </c>
      <c r="J62" s="8">
        <v>0.35761904761904756</v>
      </c>
      <c r="K62" s="9">
        <v>49.5</v>
      </c>
      <c r="L62" s="7">
        <v>3.6299999999999999E-2</v>
      </c>
      <c r="M62" t="str">
        <f t="shared" si="5"/>
        <v>No</v>
      </c>
    </row>
    <row r="63" spans="6:13" ht="20" customHeight="1">
      <c r="F63" t="s">
        <v>142</v>
      </c>
      <c r="G63" s="6">
        <v>333.91800000000001</v>
      </c>
      <c r="H63" s="6">
        <v>323.048</v>
      </c>
      <c r="I63" s="7">
        <f t="shared" si="4"/>
        <v>3.3648250414799019E-2</v>
      </c>
      <c r="J63" s="8">
        <v>0.37681818181818177</v>
      </c>
      <c r="K63" s="9">
        <v>55.2</v>
      </c>
      <c r="L63" s="7">
        <v>3.6299999999999999E-2</v>
      </c>
      <c r="M63" t="str">
        <f t="shared" si="5"/>
        <v>No</v>
      </c>
    </row>
    <row r="64" spans="6:13" ht="20" customHeight="1">
      <c r="F64" t="s">
        <v>143</v>
      </c>
      <c r="G64" s="6">
        <v>334.98</v>
      </c>
      <c r="H64" s="6">
        <v>323.976</v>
      </c>
      <c r="I64" s="7">
        <f t="shared" si="4"/>
        <v>3.3965478924364856E-2</v>
      </c>
      <c r="J64" s="8">
        <v>0.46809523809523829</v>
      </c>
      <c r="K64" s="9">
        <v>51.7</v>
      </c>
      <c r="L64" s="7">
        <v>3.6299999999999999E-2</v>
      </c>
      <c r="M64" t="str">
        <f t="shared" si="5"/>
        <v>No</v>
      </c>
    </row>
    <row r="66" spans="1:13" ht="24" customHeight="1">
      <c r="A66" s="25" t="s">
        <v>144</v>
      </c>
      <c r="B66" s="25"/>
      <c r="C66" s="25"/>
      <c r="D66" s="25"/>
      <c r="E66" s="25"/>
      <c r="F66" s="25"/>
      <c r="G66" s="25"/>
      <c r="H66" s="25"/>
      <c r="I66" s="25"/>
      <c r="J66" s="25"/>
      <c r="K66" s="25"/>
      <c r="L66" s="25"/>
      <c r="M66" s="25"/>
    </row>
    <row r="67" spans="1:13" ht="43" customHeight="1">
      <c r="A67" s="10" t="s">
        <v>145</v>
      </c>
      <c r="B67" s="21" t="s">
        <v>146</v>
      </c>
      <c r="C67" s="21"/>
      <c r="D67" s="21"/>
      <c r="E67" s="21"/>
      <c r="F67" s="21"/>
      <c r="G67" s="21"/>
      <c r="H67" s="21"/>
      <c r="I67" s="21"/>
      <c r="J67" s="21" t="s">
        <v>147</v>
      </c>
      <c r="K67" s="21"/>
      <c r="L67" s="21"/>
      <c r="M67" s="21"/>
    </row>
    <row r="68" spans="1:13" ht="43" customHeight="1">
      <c r="A68" s="10" t="s">
        <v>148</v>
      </c>
      <c r="B68" s="21" t="s">
        <v>149</v>
      </c>
      <c r="C68" s="21"/>
      <c r="D68" s="21"/>
      <c r="E68" s="21"/>
      <c r="F68" s="21"/>
      <c r="G68" s="21"/>
      <c r="H68" s="21"/>
      <c r="I68" s="21"/>
      <c r="J68" s="21" t="s">
        <v>150</v>
      </c>
      <c r="K68" s="21"/>
      <c r="L68" s="21"/>
      <c r="M68" s="21"/>
    </row>
    <row r="69" spans="1:13" ht="43" customHeight="1">
      <c r="A69" s="10" t="s">
        <v>151</v>
      </c>
      <c r="B69" s="21" t="s">
        <v>152</v>
      </c>
      <c r="C69" s="21"/>
      <c r="D69" s="21"/>
      <c r="E69" s="21"/>
      <c r="F69" s="21"/>
      <c r="G69" s="21"/>
      <c r="H69" s="21"/>
      <c r="I69" s="21"/>
      <c r="J69" s="21" t="s">
        <v>153</v>
      </c>
      <c r="K69" s="21"/>
      <c r="L69" s="21"/>
      <c r="M69" s="21"/>
    </row>
    <row r="70" spans="1:13" ht="43" customHeight="1">
      <c r="A70" s="10" t="s">
        <v>154</v>
      </c>
      <c r="B70" s="21" t="s">
        <v>155</v>
      </c>
      <c r="C70" s="21"/>
      <c r="D70" s="21"/>
      <c r="E70" s="21"/>
      <c r="F70" s="21"/>
      <c r="G70" s="21"/>
      <c r="H70" s="21"/>
      <c r="I70" s="21"/>
      <c r="J70" s="21" t="s">
        <v>156</v>
      </c>
      <c r="K70" s="21"/>
      <c r="L70" s="21"/>
      <c r="M70" s="21"/>
    </row>
    <row r="71" spans="1:13" ht="43" customHeight="1">
      <c r="A71" s="10" t="s">
        <v>157</v>
      </c>
      <c r="B71" s="21" t="s">
        <v>158</v>
      </c>
      <c r="C71" s="21"/>
      <c r="D71" s="21"/>
      <c r="E71" s="21"/>
      <c r="F71" s="21"/>
      <c r="G71" s="21"/>
      <c r="H71" s="21"/>
      <c r="I71" s="21"/>
      <c r="J71" s="21" t="s">
        <v>159</v>
      </c>
      <c r="K71" s="21"/>
      <c r="L71" s="21"/>
      <c r="M71" s="21"/>
    </row>
    <row r="73" spans="1:13" ht="39" customHeight="1">
      <c r="A73" s="22" t="s">
        <v>160</v>
      </c>
      <c r="B73" s="22"/>
      <c r="C73" s="22"/>
      <c r="D73" s="22"/>
      <c r="E73" s="22"/>
      <c r="F73" s="22"/>
      <c r="G73" s="22"/>
      <c r="H73" s="22"/>
      <c r="I73" s="22"/>
      <c r="J73" s="22"/>
      <c r="K73" s="22"/>
      <c r="L73" s="22"/>
      <c r="M73" s="22"/>
    </row>
  </sheetData>
  <mergeCells count="14">
    <mergeCell ref="A1:M1"/>
    <mergeCell ref="A2:M2"/>
    <mergeCell ref="A66:M66"/>
    <mergeCell ref="B67:I67"/>
    <mergeCell ref="J67:M67"/>
    <mergeCell ref="B71:I71"/>
    <mergeCell ref="J71:M71"/>
    <mergeCell ref="A73:M73"/>
    <mergeCell ref="B68:I68"/>
    <mergeCell ref="J68:M68"/>
    <mergeCell ref="B69:I69"/>
    <mergeCell ref="J69:M69"/>
    <mergeCell ref="B70:I70"/>
    <mergeCell ref="J70:M7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5"/>
  <sheetViews>
    <sheetView showGridLines="0" workbookViewId="0">
      <pane ySplit="4" topLeftCell="A5" activePane="bottomLeft" state="frozen"/>
      <selection pane="bottomLeft" activeCell="B6" sqref="B6"/>
    </sheetView>
  </sheetViews>
  <sheetFormatPr baseColWidth="10" defaultColWidth="8.83203125" defaultRowHeight="14"/>
  <cols>
    <col min="1" max="1" width="52" customWidth="1"/>
    <col min="2" max="2" width="42" customWidth="1"/>
    <col min="3" max="3" width="31" customWidth="1"/>
    <col min="4" max="4" width="44" customWidth="1"/>
    <col min="5" max="5" width="31" customWidth="1"/>
  </cols>
  <sheetData>
    <row r="1" spans="1:5" ht="35" customHeight="1">
      <c r="A1" s="23" t="s">
        <v>161</v>
      </c>
      <c r="B1" s="23"/>
      <c r="C1" s="23"/>
      <c r="D1" s="23"/>
      <c r="E1" s="23"/>
    </row>
    <row r="2" spans="1:5" ht="38" customHeight="1">
      <c r="A2" s="24" t="s">
        <v>162</v>
      </c>
      <c r="B2" s="24"/>
      <c r="C2" s="24"/>
      <c r="D2" s="24"/>
      <c r="E2" s="24"/>
    </row>
    <row r="4" spans="1:5" ht="31" customHeight="1">
      <c r="A4" s="2" t="s">
        <v>163</v>
      </c>
      <c r="B4" s="2" t="s">
        <v>164</v>
      </c>
      <c r="C4" s="2" t="s">
        <v>165</v>
      </c>
      <c r="D4" s="2" t="s">
        <v>166</v>
      </c>
      <c r="E4" s="2" t="s">
        <v>167</v>
      </c>
    </row>
    <row r="5" spans="1:5" ht="62" customHeight="1">
      <c r="A5" s="28" t="s">
        <v>168</v>
      </c>
      <c r="B5" s="1"/>
      <c r="C5" s="1"/>
      <c r="D5" s="1"/>
      <c r="E5" s="1"/>
    </row>
    <row r="6" spans="1:5" ht="62" customHeight="1">
      <c r="A6" s="28" t="s">
        <v>169</v>
      </c>
      <c r="B6" s="1"/>
      <c r="C6" s="1"/>
      <c r="D6" s="1"/>
      <c r="E6" s="1"/>
    </row>
    <row r="7" spans="1:5" ht="62" customHeight="1">
      <c r="A7" s="28" t="s">
        <v>170</v>
      </c>
      <c r="B7" s="1"/>
      <c r="C7" s="1"/>
      <c r="D7" s="1"/>
      <c r="E7" s="1"/>
    </row>
    <row r="8" spans="1:5" ht="62" customHeight="1">
      <c r="A8" s="28" t="s">
        <v>171</v>
      </c>
      <c r="B8" s="1"/>
      <c r="C8" s="1"/>
      <c r="D8" s="1"/>
      <c r="E8" s="1"/>
    </row>
    <row r="9" spans="1:5" ht="62" customHeight="1">
      <c r="A9" s="28" t="s">
        <v>172</v>
      </c>
      <c r="B9" s="1"/>
      <c r="C9" s="1"/>
      <c r="D9" s="1"/>
      <c r="E9" s="1"/>
    </row>
    <row r="10" spans="1:5" ht="62" customHeight="1">
      <c r="A10" s="28" t="s">
        <v>173</v>
      </c>
      <c r="B10" s="1"/>
      <c r="C10" s="1"/>
      <c r="D10" s="1"/>
      <c r="E10" s="1"/>
    </row>
    <row r="11" spans="1:5" ht="62" customHeight="1">
      <c r="A11" s="28" t="s">
        <v>174</v>
      </c>
      <c r="B11" s="1"/>
      <c r="C11" s="1"/>
      <c r="D11" s="1"/>
      <c r="E11" s="1"/>
    </row>
    <row r="12" spans="1:5" ht="62" customHeight="1">
      <c r="A12" s="28" t="s">
        <v>175</v>
      </c>
      <c r="B12" s="1"/>
      <c r="C12" s="1"/>
      <c r="D12" s="1"/>
      <c r="E12" s="1"/>
    </row>
    <row r="13" spans="1:5" ht="62" customHeight="1">
      <c r="A13" s="28" t="s">
        <v>176</v>
      </c>
      <c r="B13" s="1"/>
      <c r="C13" s="1"/>
      <c r="D13" s="1"/>
      <c r="E13" s="1"/>
    </row>
    <row r="15" spans="1:5" ht="39" customHeight="1">
      <c r="A15" s="22" t="s">
        <v>177</v>
      </c>
      <c r="B15" s="22"/>
      <c r="C15" s="22"/>
      <c r="D15" s="22"/>
      <c r="E15" s="22"/>
    </row>
  </sheetData>
  <mergeCells count="3">
    <mergeCell ref="A1:E1"/>
    <mergeCell ref="A2:E2"/>
    <mergeCell ref="A15:E1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2"/>
  <sheetViews>
    <sheetView showGridLines="0" workbookViewId="0">
      <pane ySplit="4" topLeftCell="A5" activePane="bottomLeft" state="frozen"/>
      <selection pane="bottomLeft" activeCell="A5" sqref="A5:A10"/>
    </sheetView>
  </sheetViews>
  <sheetFormatPr baseColWidth="10" defaultColWidth="8.83203125" defaultRowHeight="14"/>
  <cols>
    <col min="1" max="1" width="22" customWidth="1"/>
    <col min="2" max="3" width="35" customWidth="1"/>
    <col min="4" max="4" width="32" customWidth="1"/>
    <col min="5" max="5" width="39" customWidth="1"/>
    <col min="6" max="6" width="25" customWidth="1"/>
    <col min="7" max="7" width="42" customWidth="1"/>
    <col min="8" max="8" width="22" customWidth="1"/>
  </cols>
  <sheetData>
    <row r="1" spans="1:8" ht="35" customHeight="1">
      <c r="A1" s="23" t="s">
        <v>178</v>
      </c>
      <c r="B1" s="23"/>
      <c r="C1" s="23"/>
      <c r="D1" s="23"/>
      <c r="E1" s="23"/>
      <c r="F1" s="23"/>
      <c r="G1" s="23"/>
      <c r="H1" s="23"/>
    </row>
    <row r="2" spans="1:8" ht="38" customHeight="1">
      <c r="A2" s="24" t="s">
        <v>179</v>
      </c>
      <c r="B2" s="24"/>
      <c r="C2" s="24"/>
      <c r="D2" s="24"/>
      <c r="E2" s="24"/>
      <c r="F2" s="24"/>
      <c r="G2" s="24"/>
      <c r="H2" s="24"/>
    </row>
    <row r="4" spans="1:8" ht="31" customHeight="1">
      <c r="A4" s="2" t="s">
        <v>180</v>
      </c>
      <c r="B4" s="2" t="s">
        <v>181</v>
      </c>
      <c r="C4" s="2" t="s">
        <v>182</v>
      </c>
      <c r="D4" s="2" t="s">
        <v>183</v>
      </c>
      <c r="E4" s="2" t="s">
        <v>184</v>
      </c>
      <c r="F4" s="2" t="s">
        <v>185</v>
      </c>
      <c r="G4" s="2" t="s">
        <v>186</v>
      </c>
      <c r="H4" s="2" t="s">
        <v>187</v>
      </c>
    </row>
    <row r="5" spans="1:8" ht="65" customHeight="1">
      <c r="A5" s="27" t="s">
        <v>188</v>
      </c>
      <c r="B5" s="1"/>
      <c r="C5" s="1"/>
      <c r="D5" s="1"/>
      <c r="E5" s="1"/>
      <c r="F5" s="1"/>
      <c r="G5" s="1"/>
      <c r="H5" s="1"/>
    </row>
    <row r="6" spans="1:8" ht="65" customHeight="1">
      <c r="A6" s="27" t="s">
        <v>189</v>
      </c>
      <c r="B6" s="1"/>
      <c r="C6" s="1"/>
      <c r="D6" s="1"/>
      <c r="E6" s="1"/>
      <c r="F6" s="1"/>
      <c r="G6" s="1"/>
      <c r="H6" s="1"/>
    </row>
    <row r="7" spans="1:8" ht="65" customHeight="1">
      <c r="A7" s="27" t="s">
        <v>190</v>
      </c>
      <c r="B7" s="1"/>
      <c r="C7" s="1"/>
      <c r="D7" s="1"/>
      <c r="E7" s="1"/>
      <c r="F7" s="1"/>
      <c r="G7" s="1"/>
      <c r="H7" s="1"/>
    </row>
    <row r="8" spans="1:8" ht="65" customHeight="1">
      <c r="A8" s="27" t="s">
        <v>191</v>
      </c>
      <c r="B8" s="1"/>
      <c r="C8" s="1"/>
      <c r="D8" s="1"/>
      <c r="E8" s="1"/>
      <c r="F8" s="1"/>
      <c r="G8" s="1"/>
      <c r="H8" s="1"/>
    </row>
    <row r="9" spans="1:8" ht="65" customHeight="1">
      <c r="A9" s="27" t="s">
        <v>192</v>
      </c>
      <c r="B9" s="1"/>
      <c r="C9" s="1"/>
      <c r="D9" s="1"/>
      <c r="E9" s="1"/>
      <c r="F9" s="1"/>
      <c r="G9" s="1"/>
      <c r="H9" s="1"/>
    </row>
    <row r="10" spans="1:8" ht="65" customHeight="1">
      <c r="A10" s="27" t="s">
        <v>193</v>
      </c>
      <c r="B10" s="1"/>
      <c r="C10" s="1"/>
      <c r="D10" s="1"/>
      <c r="E10" s="1"/>
      <c r="F10" s="1"/>
      <c r="G10" s="1"/>
      <c r="H10" s="1"/>
    </row>
    <row r="12" spans="1:8" ht="39" customHeight="1">
      <c r="A12" s="22" t="s">
        <v>194</v>
      </c>
      <c r="B12" s="22"/>
      <c r="C12" s="22"/>
      <c r="D12" s="22"/>
      <c r="E12" s="22"/>
      <c r="F12" s="22"/>
      <c r="G12" s="22"/>
      <c r="H12" s="22"/>
    </row>
  </sheetData>
  <mergeCells count="3">
    <mergeCell ref="A1:H1"/>
    <mergeCell ref="A2:H2"/>
    <mergeCell ref="A12:H1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11"/>
  <sheetViews>
    <sheetView showGridLines="0" workbookViewId="0">
      <pane ySplit="4" topLeftCell="A5" activePane="bottomLeft" state="frozen"/>
      <selection pane="bottomLeft" activeCell="E5" sqref="E5"/>
    </sheetView>
  </sheetViews>
  <sheetFormatPr baseColWidth="10" defaultColWidth="8.83203125" defaultRowHeight="14"/>
  <cols>
    <col min="1" max="1" width="25" customWidth="1"/>
    <col min="2" max="2" width="17" customWidth="1"/>
    <col min="3" max="4" width="19" customWidth="1"/>
    <col min="5" max="5" width="34" customWidth="1"/>
    <col min="6" max="6" width="20" customWidth="1"/>
    <col min="7" max="7" width="27" customWidth="1"/>
    <col min="8" max="8" width="18" customWidth="1"/>
    <col min="9" max="9" width="43" customWidth="1"/>
    <col min="10" max="10" width="25" customWidth="1"/>
  </cols>
  <sheetData>
    <row r="1" spans="1:10" ht="35" customHeight="1">
      <c r="A1" s="23" t="s">
        <v>195</v>
      </c>
      <c r="B1" s="23"/>
      <c r="C1" s="23"/>
      <c r="D1" s="23"/>
      <c r="E1" s="23"/>
      <c r="F1" s="23"/>
      <c r="G1" s="23"/>
      <c r="H1" s="23"/>
      <c r="I1" s="23"/>
      <c r="J1" s="23"/>
    </row>
    <row r="2" spans="1:10" ht="38" customHeight="1">
      <c r="A2" s="24" t="s">
        <v>196</v>
      </c>
      <c r="B2" s="24"/>
      <c r="C2" s="24"/>
      <c r="D2" s="24"/>
      <c r="E2" s="24"/>
      <c r="F2" s="24"/>
      <c r="G2" s="24"/>
      <c r="H2" s="24"/>
      <c r="I2" s="24"/>
      <c r="J2" s="24"/>
    </row>
    <row r="4" spans="1:10" ht="31" customHeight="1">
      <c r="A4" s="2" t="s">
        <v>197</v>
      </c>
      <c r="B4" s="2" t="s">
        <v>198</v>
      </c>
      <c r="C4" s="2" t="s">
        <v>199</v>
      </c>
      <c r="D4" s="2" t="s">
        <v>200</v>
      </c>
      <c r="E4" s="2" t="s">
        <v>201</v>
      </c>
      <c r="F4" s="2" t="s">
        <v>202</v>
      </c>
      <c r="G4" s="2" t="s">
        <v>203</v>
      </c>
      <c r="H4" s="2" t="s">
        <v>204</v>
      </c>
      <c r="I4" s="2" t="s">
        <v>205</v>
      </c>
      <c r="J4" s="2" t="s">
        <v>206</v>
      </c>
    </row>
    <row r="5" spans="1:10" ht="71" customHeight="1">
      <c r="A5" s="29" t="s">
        <v>207</v>
      </c>
      <c r="B5" s="12">
        <f>'Historical Data'!D28</f>
        <v>2.0976715470160112E-2</v>
      </c>
      <c r="C5" s="11" t="s">
        <v>106</v>
      </c>
      <c r="D5" s="13"/>
      <c r="E5" s="1"/>
      <c r="F5" s="1"/>
      <c r="G5" s="1"/>
      <c r="H5" s="13"/>
      <c r="I5" s="1"/>
      <c r="J5" s="1"/>
    </row>
    <row r="6" spans="1:10" ht="71" customHeight="1">
      <c r="A6" s="29" t="s">
        <v>208</v>
      </c>
      <c r="B6" s="12">
        <f>'Historical Data'!I64</f>
        <v>3.3965478924364856E-2</v>
      </c>
      <c r="C6" s="11" t="s">
        <v>143</v>
      </c>
      <c r="D6" s="13"/>
      <c r="E6" s="1"/>
      <c r="F6" s="1"/>
      <c r="G6" s="1"/>
      <c r="H6" s="13"/>
      <c r="I6" s="1"/>
      <c r="J6" s="1"/>
    </row>
    <row r="7" spans="1:10" ht="71" customHeight="1">
      <c r="A7" s="29" t="s">
        <v>209</v>
      </c>
      <c r="B7" s="12">
        <f>'Historical Data'!L64</f>
        <v>3.6299999999999999E-2</v>
      </c>
      <c r="C7" s="11" t="s">
        <v>143</v>
      </c>
      <c r="D7" s="13"/>
      <c r="E7" s="1"/>
      <c r="F7" s="1"/>
      <c r="G7" s="1"/>
      <c r="H7" s="13"/>
      <c r="I7" s="1"/>
      <c r="J7" s="1"/>
    </row>
    <row r="8" spans="1:10" ht="71" customHeight="1">
      <c r="A8" s="29" t="s">
        <v>210</v>
      </c>
      <c r="B8" s="14">
        <f>'Historical Data'!K64</f>
        <v>51.7</v>
      </c>
      <c r="C8" s="11" t="s">
        <v>143</v>
      </c>
      <c r="D8" s="15"/>
      <c r="E8" s="1"/>
      <c r="F8" s="1"/>
      <c r="G8" s="1"/>
      <c r="H8" s="15"/>
      <c r="I8" s="1"/>
      <c r="J8" s="1"/>
    </row>
    <row r="10" spans="1:10" ht="39" customHeight="1">
      <c r="A10" s="22" t="s">
        <v>211</v>
      </c>
      <c r="B10" s="22"/>
      <c r="C10" s="22"/>
      <c r="D10" s="22"/>
      <c r="E10" s="22"/>
      <c r="F10" s="22"/>
      <c r="G10" s="22"/>
      <c r="H10" s="22"/>
      <c r="I10" s="22"/>
      <c r="J10" s="22"/>
    </row>
    <row r="11" spans="1:10" ht="39" customHeight="1">
      <c r="A11" s="22" t="s">
        <v>212</v>
      </c>
      <c r="B11" s="22"/>
      <c r="C11" s="22"/>
      <c r="D11" s="22"/>
      <c r="E11" s="22"/>
      <c r="F11" s="22"/>
      <c r="G11" s="22"/>
      <c r="H11" s="22"/>
      <c r="I11" s="22"/>
      <c r="J11" s="22"/>
    </row>
  </sheetData>
  <mergeCells count="4">
    <mergeCell ref="A1:J1"/>
    <mergeCell ref="A2:J2"/>
    <mergeCell ref="A10:J10"/>
    <mergeCell ref="A11:J1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1"/>
  <sheetViews>
    <sheetView showGridLines="0" workbookViewId="0">
      <pane ySplit="4" topLeftCell="A5" activePane="bottomLeft" state="frozen"/>
      <selection pane="bottomLeft" activeCell="C16" sqref="C16:C17"/>
    </sheetView>
  </sheetViews>
  <sheetFormatPr baseColWidth="10" defaultColWidth="8.83203125" defaultRowHeight="14"/>
  <cols>
    <col min="1" max="1" width="24" customWidth="1"/>
    <col min="2" max="2" width="21" customWidth="1"/>
    <col min="3" max="3" width="34" customWidth="1"/>
    <col min="4" max="6" width="25" customWidth="1"/>
    <col min="7" max="7" width="31" customWidth="1"/>
    <col min="8" max="8" width="38" customWidth="1"/>
    <col min="9" max="9" width="25" customWidth="1"/>
  </cols>
  <sheetData>
    <row r="1" spans="1:9" ht="35" customHeight="1">
      <c r="A1" s="23" t="s">
        <v>213</v>
      </c>
      <c r="B1" s="23"/>
      <c r="C1" s="23"/>
      <c r="D1" s="23"/>
      <c r="E1" s="23"/>
      <c r="F1" s="23"/>
      <c r="G1" s="23"/>
      <c r="H1" s="23"/>
      <c r="I1" s="23"/>
    </row>
    <row r="2" spans="1:9" ht="38" customHeight="1">
      <c r="A2" s="24" t="s">
        <v>214</v>
      </c>
      <c r="B2" s="24"/>
      <c r="C2" s="24"/>
      <c r="D2" s="24"/>
      <c r="E2" s="24"/>
      <c r="F2" s="24"/>
      <c r="G2" s="24"/>
      <c r="H2" s="24"/>
      <c r="I2" s="24"/>
    </row>
    <row r="4" spans="1:9" ht="31" customHeight="1">
      <c r="A4" s="2" t="s">
        <v>215</v>
      </c>
      <c r="B4" s="2" t="s">
        <v>216</v>
      </c>
      <c r="C4" s="2" t="s">
        <v>217</v>
      </c>
      <c r="D4" s="2" t="s">
        <v>218</v>
      </c>
      <c r="E4" s="2" t="s">
        <v>219</v>
      </c>
      <c r="F4" s="2" t="s">
        <v>220</v>
      </c>
      <c r="G4" s="2" t="s">
        <v>221</v>
      </c>
      <c r="H4" s="2" t="s">
        <v>222</v>
      </c>
      <c r="I4" s="2" t="s">
        <v>223</v>
      </c>
    </row>
    <row r="5" spans="1:9" ht="67" customHeight="1">
      <c r="A5" s="29" t="s">
        <v>224</v>
      </c>
      <c r="B5" s="30">
        <f>'Historical Data'!I64</f>
        <v>3.3965478924364856E-2</v>
      </c>
      <c r="C5" s="27" t="s">
        <v>225</v>
      </c>
      <c r="D5" s="1"/>
      <c r="E5" s="1"/>
      <c r="F5" s="1"/>
      <c r="G5" s="1"/>
      <c r="H5" s="1"/>
      <c r="I5" s="1"/>
    </row>
    <row r="6" spans="1:9" ht="67" customHeight="1">
      <c r="A6" s="29" t="s">
        <v>226</v>
      </c>
      <c r="B6" s="30">
        <f>'Historical Data'!D28</f>
        <v>2.0976715470160112E-2</v>
      </c>
      <c r="C6" s="27" t="s">
        <v>227</v>
      </c>
      <c r="D6" s="1"/>
      <c r="E6" s="1"/>
      <c r="F6" s="1"/>
      <c r="G6" s="1"/>
      <c r="H6" s="1"/>
      <c r="I6" s="1"/>
    </row>
    <row r="7" spans="1:9" ht="67" customHeight="1">
      <c r="A7" s="29" t="s">
        <v>228</v>
      </c>
      <c r="B7" s="31">
        <f>'Historical Data'!J64</f>
        <v>0.46809523809523829</v>
      </c>
      <c r="C7" s="27" t="s">
        <v>229</v>
      </c>
      <c r="D7" s="1"/>
      <c r="E7" s="1"/>
      <c r="F7" s="1"/>
      <c r="G7" s="1"/>
      <c r="H7" s="1"/>
      <c r="I7" s="1"/>
    </row>
    <row r="8" spans="1:9" ht="67" customHeight="1">
      <c r="A8" s="29" t="s">
        <v>230</v>
      </c>
      <c r="B8" s="32">
        <f>'Historical Data'!K64</f>
        <v>51.7</v>
      </c>
      <c r="C8" s="27" t="s">
        <v>231</v>
      </c>
      <c r="D8" s="1"/>
      <c r="E8" s="1"/>
      <c r="F8" s="1"/>
      <c r="G8" s="1"/>
      <c r="H8" s="1"/>
      <c r="I8" s="1"/>
    </row>
    <row r="9" spans="1:9" ht="67" customHeight="1">
      <c r="A9" s="29" t="s">
        <v>209</v>
      </c>
      <c r="B9" s="30">
        <f>'Historical Data'!L64</f>
        <v>3.6299999999999999E-2</v>
      </c>
      <c r="C9" s="27" t="s">
        <v>232</v>
      </c>
      <c r="D9" s="1"/>
      <c r="E9" s="1"/>
      <c r="F9" s="1"/>
      <c r="G9" s="1"/>
      <c r="H9" s="1"/>
      <c r="I9" s="1"/>
    </row>
    <row r="11" spans="1:9" ht="39" customHeight="1">
      <c r="A11" s="22" t="s">
        <v>233</v>
      </c>
      <c r="B11" s="22"/>
      <c r="C11" s="22"/>
      <c r="D11" s="22"/>
      <c r="E11" s="22"/>
      <c r="F11" s="22"/>
      <c r="G11" s="22"/>
      <c r="H11" s="22"/>
      <c r="I11" s="22"/>
    </row>
  </sheetData>
  <mergeCells count="3">
    <mergeCell ref="A1:I1"/>
    <mergeCell ref="A2:I2"/>
    <mergeCell ref="A11:I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2"/>
  <sheetViews>
    <sheetView showGridLines="0" tabSelected="1" workbookViewId="0">
      <pane ySplit="4" topLeftCell="A5" activePane="bottomLeft" state="frozen"/>
      <selection pane="bottomLeft" sqref="A1:J1"/>
    </sheetView>
  </sheetViews>
  <sheetFormatPr baseColWidth="10" defaultColWidth="8.83203125" defaultRowHeight="14"/>
  <cols>
    <col min="1" max="2" width="16" customWidth="1"/>
    <col min="3" max="4" width="20" customWidth="1"/>
    <col min="5" max="5" width="18" customWidth="1"/>
    <col min="6" max="6" width="19" customWidth="1"/>
    <col min="7" max="7" width="31" customWidth="1"/>
    <col min="8" max="8" width="43" customWidth="1"/>
    <col min="9" max="9" width="36" customWidth="1"/>
    <col min="10" max="10" width="34" customWidth="1"/>
  </cols>
  <sheetData>
    <row r="1" spans="1:10" ht="35" customHeight="1">
      <c r="A1" s="23" t="s">
        <v>234</v>
      </c>
      <c r="B1" s="23"/>
      <c r="C1" s="23"/>
      <c r="D1" s="23"/>
      <c r="E1" s="23"/>
      <c r="F1" s="23"/>
      <c r="G1" s="23"/>
      <c r="H1" s="23"/>
      <c r="I1" s="23"/>
      <c r="J1" s="23"/>
    </row>
    <row r="2" spans="1:10" ht="38" customHeight="1">
      <c r="A2" s="24" t="s">
        <v>235</v>
      </c>
      <c r="B2" s="24"/>
      <c r="C2" s="24"/>
      <c r="D2" s="24"/>
      <c r="E2" s="24"/>
      <c r="F2" s="24"/>
      <c r="G2" s="24"/>
      <c r="H2" s="24"/>
      <c r="I2" s="24"/>
      <c r="J2" s="24"/>
    </row>
    <row r="4" spans="1:10" ht="31" customHeight="1">
      <c r="A4" s="2" t="s">
        <v>236</v>
      </c>
      <c r="B4" s="2" t="s">
        <v>237</v>
      </c>
      <c r="C4" s="2" t="s">
        <v>238</v>
      </c>
      <c r="D4" s="2" t="s">
        <v>55</v>
      </c>
      <c r="E4" s="2" t="s">
        <v>239</v>
      </c>
      <c r="F4" s="2" t="s">
        <v>240</v>
      </c>
      <c r="G4" s="2" t="s">
        <v>241</v>
      </c>
      <c r="H4" s="2" t="s">
        <v>242</v>
      </c>
      <c r="I4" s="2" t="s">
        <v>243</v>
      </c>
      <c r="J4" s="2" t="s">
        <v>244</v>
      </c>
    </row>
    <row r="5" spans="1:10" ht="82" customHeight="1">
      <c r="A5" t="s">
        <v>245</v>
      </c>
      <c r="B5" s="13"/>
      <c r="C5" s="13"/>
      <c r="D5" s="13"/>
      <c r="E5" s="13"/>
      <c r="F5" s="15"/>
      <c r="G5" s="1"/>
      <c r="H5" s="1"/>
      <c r="I5" s="1"/>
      <c r="J5" s="1"/>
    </row>
    <row r="6" spans="1:10" ht="82" customHeight="1">
      <c r="A6" t="s">
        <v>246</v>
      </c>
      <c r="B6" s="13"/>
      <c r="C6" s="16" t="str">
        <f>IF('Numerical Expectations'!H5="","",'Numerical Expectations'!H5)</f>
        <v/>
      </c>
      <c r="D6" s="16" t="str">
        <f>IF('Numerical Expectations'!H6="","",'Numerical Expectations'!H6)</f>
        <v/>
      </c>
      <c r="E6" s="16" t="str">
        <f>IF('Numerical Expectations'!H7="","",'Numerical Expectations'!H7)</f>
        <v/>
      </c>
      <c r="F6" s="17" t="str">
        <f>IF('Numerical Expectations'!H8="","",'Numerical Expectations'!H8)</f>
        <v/>
      </c>
      <c r="G6" s="1"/>
      <c r="H6" s="1"/>
      <c r="I6" s="1"/>
      <c r="J6" s="1"/>
    </row>
    <row r="7" spans="1:10" ht="82" customHeight="1">
      <c r="A7" t="s">
        <v>247</v>
      </c>
      <c r="B7" s="13"/>
      <c r="C7" s="13"/>
      <c r="D7" s="13"/>
      <c r="E7" s="13"/>
      <c r="F7" s="15"/>
      <c r="G7" s="1"/>
      <c r="H7" s="1"/>
      <c r="I7" s="1"/>
      <c r="J7" s="1"/>
    </row>
    <row r="9" spans="1:10" ht="31" customHeight="1">
      <c r="A9" s="18" t="s">
        <v>248</v>
      </c>
      <c r="B9" s="19" t="str">
        <f>IF(COUNT(B5:B7)=0,"",SUM(B5:B7))</f>
        <v/>
      </c>
      <c r="C9" s="19" t="str">
        <f>IF(OR(COUNT($B$5:$B$7)&lt;&gt;3,ABS(SUM($B$5:$B$7)-1)&gt;0.000001,COUNT(C5:C7)&lt;&gt;3),"",SUMPRODUCT($B$5:$B$7,C5:C7))</f>
        <v/>
      </c>
      <c r="D9" s="19" t="str">
        <f>IF(OR(COUNT($B$5:$B$7)&lt;&gt;3,ABS(SUM($B$5:$B$7)-1)&gt;0.000001,COUNT(D5:D7)&lt;&gt;3),"",SUMPRODUCT($B$5:$B$7,D5:D7))</f>
        <v/>
      </c>
      <c r="E9" s="19" t="str">
        <f>IF(OR(COUNT($B$5:$B$7)&lt;&gt;3,ABS(SUM($B$5:$B$7)-1)&gt;0.000001,COUNT(E5:E7)&lt;&gt;3),"",SUMPRODUCT($B$5:$B$7,E5:E7))</f>
        <v/>
      </c>
      <c r="F9" s="20" t="str">
        <f>IF(OR(COUNT($B$5:$B$7)&lt;&gt;3,ABS(SUM($B$5:$B$7)-1)&gt;0.000001,COUNT(F5:F7)&lt;&gt;3),"",SUMPRODUCT($B$5:$B$7,F5:F7))</f>
        <v/>
      </c>
      <c r="G9" s="18"/>
      <c r="H9" s="18"/>
      <c r="I9" s="18"/>
      <c r="J9" s="18"/>
    </row>
    <row r="10" spans="1:10" ht="31" customHeight="1">
      <c r="A10" s="18" t="s">
        <v>249</v>
      </c>
      <c r="B10" s="18" t="str">
        <f>IF(COUNT(B5:B7)&lt;&gt;3,"ENTER 3 PROBABILITIES",IF(ABS(SUM(B5:B7)-1)&lt;0.000001,"READY: 100%","CHECK: MUST TOTAL 100%"))</f>
        <v>ENTER 3 PROBABILITIES</v>
      </c>
      <c r="C10" s="18"/>
      <c r="D10" s="18"/>
      <c r="E10" s="18"/>
      <c r="F10" s="18"/>
      <c r="G10" s="18"/>
      <c r="H10" s="18"/>
      <c r="I10" s="18"/>
      <c r="J10" s="18"/>
    </row>
    <row r="12" spans="1:10" ht="39" customHeight="1">
      <c r="A12" s="22" t="s">
        <v>250</v>
      </c>
      <c r="B12" s="22"/>
      <c r="C12" s="22"/>
      <c r="D12" s="22"/>
      <c r="E12" s="22"/>
      <c r="F12" s="22"/>
      <c r="G12" s="22"/>
      <c r="H12" s="22"/>
      <c r="I12" s="22"/>
      <c r="J12" s="22"/>
    </row>
  </sheetData>
  <mergeCells count="3">
    <mergeCell ref="A1:J1"/>
    <mergeCell ref="A2:J2"/>
    <mergeCell ref="A12:J1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Team Information</vt:lpstr>
      <vt:lpstr>Economic Outlook Roles</vt:lpstr>
      <vt:lpstr>Historical Data</vt:lpstr>
      <vt:lpstr>Phase 1 Worksheet</vt:lpstr>
      <vt:lpstr>Initial Estimate vs AI</vt:lpstr>
      <vt:lpstr>Numerical Expectations</vt:lpstr>
      <vt:lpstr>Risk Matrix</vt:lpstr>
      <vt:lpstr>Bull Base Bear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Bethany Evitts</cp:lastModifiedBy>
  <dcterms:modified xsi:type="dcterms:W3CDTF">2026-09-27T14:36:30Z</dcterms:modified>
</cp:coreProperties>
</file>