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b7c7e5f13043be" /></Relationships>
</file>

<file path=xl/workbook.xml><?xml version="1.0" encoding="utf-8"?>
<x:workbook xmlns:x="http://schemas.openxmlformats.org/spreadsheetml/2006/main">
  <x:sheets>
    <x:sheet xmlns:r="http://schemas.openxmlformats.org/officeDocument/2006/relationships" name="Team Information" sheetId="1" r:id="R75a11ab006e4471e"/>
    <x:sheet xmlns:r="http://schemas.openxmlformats.org/officeDocument/2006/relationships" name="Economic Outlook Roles" sheetId="2" r:id="R997f9547105643e4"/>
    <x:sheet xmlns:r="http://schemas.openxmlformats.org/officeDocument/2006/relationships" name="Historical Data" sheetId="3" r:id="R27262ea8d35e47fb"/>
    <x:sheet xmlns:r="http://schemas.openxmlformats.org/officeDocument/2006/relationships" name="Phase 1 Worksheet" sheetId="4" r:id="Re159065b4de94fbb"/>
    <x:sheet xmlns:r="http://schemas.openxmlformats.org/officeDocument/2006/relationships" name="Initial Estimate vs AI" sheetId="5" r:id="Rd7237b1722954b33"/>
    <x:sheet xmlns:r="http://schemas.openxmlformats.org/officeDocument/2006/relationships" name="Numerical Expectations" sheetId="6" r:id="R6143c530b4a84df9"/>
    <x:sheet xmlns:r="http://schemas.openxmlformats.org/officeDocument/2006/relationships" name="Risk Matrix" sheetId="7" r:id="R4d0570afcb4a4786"/>
    <x:sheet xmlns:r="http://schemas.openxmlformats.org/officeDocument/2006/relationships" name="Bull Base Bear Cases" sheetId="8" r:id="Re604e937bfef40e3"/>
    <x:sheet xmlns:r="http://schemas.openxmlformats.org/officeDocument/2006/relationships" name="10-2 Spread Explanation" sheetId="9" r:id="R433c44430fa4400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0.000"/>
    <x:numFmt numFmtId="203" formatCode="0.00%"/>
    <x:numFmt numFmtId="204" formatCode="0.00"/>
    <x:numFmt numFmtId="205" formatCode="0.0"/>
  </x:numFmts>
  <x:fonts count="12">
    <x:font>
      <x:sz val="11"/>
      <x:name val="Carlito"/>
    </x:font>
    <x:font>
      <x:b/>
      <x:sz val="19"/>
      <x:color rgb="FFFFFFFF"/>
      <x:name val="Aptos Display"/>
    </x:font>
    <x:font>
      <x:sz val="10"/>
      <x:color rgb="FFE9EFF4"/>
      <x:name val="Aptos"/>
    </x:font>
    <x:font>
      <x:sz val="10"/>
      <x:color rgb="FF0000FF"/>
      <x:name val="Aptos"/>
    </x:font>
    <x:font>
      <x:sz val="10"/>
      <x:color rgb="FF4B6073"/>
      <x:name val="Aptos"/>
    </x:font>
    <x:font>
      <x:b/>
      <x:sz val="10"/>
      <x:color rgb="FF102238"/>
      <x:name val="Aptos"/>
    </x:font>
    <x:font>
      <x:sz val="10"/>
      <x:color rgb="FF102238"/>
      <x:name val="Aptos"/>
    </x:font>
    <x:font>
      <x:b/>
      <x:sz val="11"/>
      <x:color rgb="FFFFFFFF"/>
      <x:name val="Carlito"/>
    </x:font>
    <x:font>
      <x:sz val="9"/>
      <x:color rgb="FF102238"/>
      <x:name val="Aptos"/>
    </x:font>
    <x:font>
      <x:b/>
      <x:sz val="11"/>
      <x:color rgb="FF102238"/>
      <x:name val="Carlito"/>
    </x:font>
    <x:font>
      <x:sz val="11"/>
      <x:color rgb="FF102238"/>
      <x:name val="Carlito"/>
    </x:font>
    <x:font>
      <x:sz val="10"/>
      <x:color rgb="FF17623E"/>
      <x:name val="Aptos"/>
    </x:font>
  </x:fonts>
  <x:fills count="7">
    <x:fill>
      <x:patternFill patternType="none"/>
    </x:fill>
    <x:fill>
      <x:patternFill patternType="gray125"/>
    </x:fill>
    <x:fill>
      <x:patternFill patternType="solid">
        <x:fgColor rgb="FF0B1F35"/>
      </x:patternFill>
    </x:fill>
    <x:fill>
      <x:patternFill patternType="solid">
        <x:fgColor rgb="FF17344F"/>
      </x:patternFill>
    </x:fill>
    <x:fill>
      <x:patternFill patternType="solid">
        <x:fgColor rgb="FFFFF4DE"/>
      </x:patternFill>
    </x:fill>
    <x:fill>
      <x:patternFill patternType="solid">
        <x:fgColor rgb="FFF4F7FA"/>
      </x:patternFill>
    </x:fill>
    <x:fill>
      <x:patternFill patternType="solid">
        <x:fgColor rgb="FFE9EFF4"/>
      </x:patternFill>
    </x:fill>
  </x:fills>
  <x:borders count="3">
    <x:border/>
    <x:border>
      <x:left style="thin">
        <x:color rgb="FFE0C68F"/>
      </x:left>
      <x:right style="thin">
        <x:color rgb="FFE0C68F"/>
      </x:right>
      <x:top style="thin">
        <x:color rgb="FFE0C68F"/>
      </x:top>
      <x:bottom style="thin">
        <x:color rgb="FFE0C68F"/>
      </x:bottom>
    </x:border>
    <x:border>
      <x:left style="thin">
        <x:color rgb="FFCCD7DF"/>
      </x:left>
      <x:right style="thin">
        <x:color rgb="FFCCD7DF"/>
      </x:right>
      <x:top style="thin">
        <x:color rgb="FFCCD7DF"/>
      </x:top>
      <x:bottom style="thin">
        <x:color rgb="FFCCD7DF"/>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2" xfId="0" applyNumberFormat="1" applyFont="1" applyFill="1" applyBorder="1" applyAlignment="1">
      <x:alignment wrapText="1"/>
    </x:xf>
    <x:xf numFmtId="0" fontId="5" fillId="6" borderId="2"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5" fontId="0" fillId="0" borderId="0" xfId="0" applyNumberFormat="1" applyFont="1" applyFill="1" applyBorder="1"/>
    <x:xf numFmtId="0" fontId="7" fillId="3"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10" fillId="6" borderId="0" xfId="0" applyNumberFormat="1" applyFont="1" applyFill="1" applyBorder="1"/>
    <x:xf numFmtId="203" fontId="10" fillId="6" borderId="0" xfId="0" applyNumberFormat="1" applyFont="1" applyFill="1" applyBorder="1"/>
    <x:xf numFmtId="203" fontId="3" fillId="4" borderId="1" xfId="0" applyNumberFormat="1" applyFont="1" applyFill="1" applyBorder="1" applyAlignment="1">
      <x:alignment vertical="top" wrapText="1"/>
    </x:xf>
    <x:xf numFmtId="205" fontId="10" fillId="6" borderId="0" xfId="0" applyNumberFormat="1" applyFont="1" applyFill="1" applyBorder="1"/>
    <x:xf numFmtId="205" fontId="3" fillId="4"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11" fillId="6" borderId="1" xfId="0" applyNumberFormat="1" applyFont="1" applyFill="1" applyBorder="1" applyAlignment="1">
      <x:alignment vertical="top" wrapText="1"/>
    </x:xf>
    <x:xf numFmtId="203" fontId="11" fillId="6" borderId="1" xfId="0" applyNumberFormat="1" applyFont="1" applyFill="1" applyBorder="1" applyAlignment="1">
      <x:alignment vertical="top" wrapText="1"/>
    </x:xf>
    <x:xf numFmtId="205" fontId="11" fillId="6" borderId="1" xfId="0" applyNumberFormat="1" applyFont="1" applyFill="1" applyBorder="1" applyAlignment="1">
      <x:alignment vertical="top" wrapText="1"/>
    </x:xf>
    <x:xf numFmtId="203" fontId="0" fillId="6" borderId="0" xfId="0" applyNumberFormat="1" applyFont="1" applyFill="1" applyBorder="1"/>
    <x:xf numFmtId="205" fontId="0" fillId="6" borderId="0" xfId="0" applyNumberFormat="1" applyFont="1" applyFill="1" applyBorder="1"/>
    <x:xf numFmtId="0" fontId="9" fillId="6" borderId="0" xfId="0" applyNumberFormat="1" applyFont="1" applyFill="1" applyBorder="1"/>
    <x:xf numFmtId="203" fontId="9" fillId="6" borderId="0" xfId="0" applyNumberFormat="1" applyFont="1" applyFill="1" applyBorder="1"/>
    <x:xf numFmtId="205" fontId="9"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50e909b94f4784" /><Relationship Type="http://schemas.openxmlformats.org/officeDocument/2006/relationships/theme" Target="/xl/theme/theme1.xml" Id="Rdfbb3fb9c7ca4ba7" /><Relationship Type="http://schemas.openxmlformats.org/officeDocument/2006/relationships/sharedStrings" Target="/xl/sharedStrings.xml" Id="R054314fd33c94f62" /><Relationship Type="http://schemas.openxmlformats.org/officeDocument/2006/relationships/worksheet" Target="/xl/worksheets/sheet1.xml" Id="R75a11ab006e4471e" /><Relationship Type="http://schemas.openxmlformats.org/officeDocument/2006/relationships/worksheet" Target="/xl/worksheets/sheet2.xml" Id="R997f9547105643e4" /><Relationship Type="http://schemas.openxmlformats.org/officeDocument/2006/relationships/worksheet" Target="/xl/worksheets/sheet3.xml" Id="R27262ea8d35e47fb" /><Relationship Type="http://schemas.openxmlformats.org/officeDocument/2006/relationships/worksheet" Target="/xl/worksheets/sheet4.xml" Id="Re159065b4de94fbb" /><Relationship Type="http://schemas.openxmlformats.org/officeDocument/2006/relationships/worksheet" Target="/xl/worksheets/sheet5.xml" Id="Rd7237b1722954b33" /><Relationship Type="http://schemas.openxmlformats.org/officeDocument/2006/relationships/worksheet" Target="/xl/worksheets/sheet6.xml" Id="R6143c530b4a84df9" /><Relationship Type="http://schemas.openxmlformats.org/officeDocument/2006/relationships/worksheet" Target="/xl/worksheets/sheet7.xml" Id="R4d0570afcb4a4786" /><Relationship Type="http://schemas.openxmlformats.org/officeDocument/2006/relationships/worksheet" Target="/xl/worksheets/sheet8.xml" Id="Re604e937bfef40e3" /><Relationship Type="http://schemas.openxmlformats.org/officeDocument/2006/relationships/worksheet" Target="/xl/worksheets/sheet9.xml" Id="R433c44430fa440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2" hidden="0" customWidth="1"/>
    <x:col min="2" max="2" width="30" hidden="0" customWidth="1"/>
    <x:col min="3" max="3" width="25" hidden="0" customWidth="1"/>
    <x:col min="4" max="4" width="34" hidden="0" customWidth="1"/>
    <x:col min="5" max="5" width="28" hidden="0" customWidth="1"/>
    <x:col min="6" max="6" width="25" hidden="0" customWidth="1"/>
  </x:cols>
  <x:sheetData>
    <x:row r="1" ht="35" customHeight="1">
      <x:c r="A1" s="3" t="str">
        <x:v>Team information</x:v>
      </x:c>
      <x:c r="B1" s="3"/>
      <x:c r="C1" s="3"/>
      <x:c r="D1" s="3"/>
      <x:c r="E1" s="3"/>
      <x:c r="F1" s="3"/>
    </x:row>
    <x:row r="2" ht="38" customHeight="1">
      <x:c r="A2" s="7" t="str">
        <x:v>Enter four or five distinct members. Assign every official role to one owner. On a four-person team, one person owns two roles but remains one voting member.</x:v>
      </x:c>
      <x:c r="B2" s="7"/>
      <x:c r="C2" s="7"/>
      <x:c r="D2" s="7"/>
      <x:c r="E2" s="7"/>
      <x:c r="F2" s="7"/>
    </x:row>
    <x:row r="4">
      <x:c r="A4" t="str">
        <x:v>Team name</x:v>
      </x:c>
      <x:c r="B4" s="12"/>
      <x:c r="C4" s="12"/>
    </x:row>
    <x:row r="5">
      <x:c r="A5" t="str">
        <x:v>Number of people</x:v>
      </x:c>
      <x:c r="B5" s="12"/>
    </x:row>
    <x:row r="6" ht="39" customHeight="1">
      <x:c r="A6" s="16" t="str">
        <x:v>List each person once below. Member 5 is blank for a four-person team. The five role owners can repeat one name, but a person casts only one committee vote.</x:v>
      </x:c>
      <x:c r="B6" s="16"/>
      <x:c r="C6" s="16"/>
      <x:c r="D6" s="16"/>
      <x:c r="E6" s="16"/>
      <x:c r="F6" s="16"/>
    </x:row>
    <x:row r="7" ht="31" customHeight="1">
      <x:c r="A7" s="21" t="str">
        <x:v>Member slot</x:v>
      </x:c>
      <x:c r="B7" s="21" t="str">
        <x:v>Student name</x:v>
      </x:c>
      <x:c r="C7" s="21" t="str">
        <x:v>Official role(s) held</x:v>
      </x:c>
    </x:row>
    <x:row r="8" ht="30" customHeight="1">
      <x:c r="A8" t="str">
        <x:v>Member 1</x:v>
      </x:c>
      <x:c r="B8" s="12"/>
      <x:c r="C8" s="12"/>
    </x:row>
    <x:row r="9" ht="30" customHeight="1">
      <x:c r="A9" t="str">
        <x:v>Member 2</x:v>
      </x:c>
      <x:c r="B9" s="12"/>
      <x:c r="C9" s="12"/>
    </x:row>
    <x:row r="10" ht="30" customHeight="1">
      <x:c r="A10" t="str">
        <x:v>Member 3</x:v>
      </x:c>
      <x:c r="B10" s="12"/>
      <x:c r="C10" s="12"/>
    </x:row>
    <x:row r="11" ht="30" customHeight="1">
      <x:c r="A11" t="str">
        <x:v>Member 4</x:v>
      </x:c>
      <x:c r="B11" s="12"/>
      <x:c r="C11" s="12"/>
    </x:row>
    <x:row r="12" ht="30" customHeight="1">
      <x:c r="A12" t="str">
        <x:v>Member 5 (optional)</x:v>
      </x:c>
      <x:c r="B12" s="12"/>
      <x:c r="C12" s="12"/>
    </x:row>
    <x:row r="15" ht="31" customHeight="1">
      <x:c r="A15" s="21" t="str">
        <x:v>Official committee role</x:v>
      </x:c>
      <x:c r="B15" s="21" t="str">
        <x:v>Owner (from roster above)</x:v>
      </x:c>
      <x:c r="C15" s="21" t="str">
        <x:v>Macro forecast responsibility</x:v>
      </x:c>
    </x:row>
    <x:row r="16" ht="45" customHeight="1">
      <x:c r="A16" t="str">
        <x:v>Client and Macro Strategist</x:v>
      </x:c>
      <x:c r="B16" s="12"/>
      <x:c r="C16" t="str">
        <x:v>Lead the common macro narrative and later client implications.</x:v>
      </x:c>
    </x:row>
    <x:row r="17" ht="45" customHeight="1">
      <x:c r="A17" t="str">
        <x:v>Fixed-Income Analyst</x:v>
      </x:c>
      <x:c r="B17" s="12"/>
      <x:c r="C17" t="str">
        <x:v>Interpret the fed funds path, yield curve, and inflation-sensitive income risks.</x:v>
      </x:c>
    </x:row>
    <x:row r="18" ht="45" customHeight="1">
      <x:c r="A18" t="str">
        <x:v>Equity Analyst</x:v>
      </x:c>
      <x:c r="B18" s="12"/>
      <x:c r="C18" t="str">
        <x:v>Interpret real growth, sentiment, and equity-market implications.</x:v>
      </x:c>
    </x:row>
    <x:row r="19" ht="45" customHeight="1">
      <x:c r="A19" t="str">
        <x:v>Portfolio Manager</x:v>
      </x:c>
      <x:c r="B19" s="12"/>
      <x:c r="C19" t="str">
        <x:v>Integrate bull/base/bear probabilities and the weighted forecast.</x:v>
      </x:c>
    </x:row>
    <x:row r="20" ht="45" customHeight="1">
      <x:c r="A20" t="str">
        <x:v>Risk and Derivatives Analyst</x:v>
      </x:c>
      <x:c r="B20" s="12"/>
      <x:c r="C20" t="str">
        <x:v>Challenge scenario assumptions, signals, and downside responses.</x:v>
      </x:c>
    </x:row>
    <x:row r="22" ht="39" customHeight="1">
      <x:c r="A22" s="16" t="str">
        <x:v>Complete the human-first worksheet before using AI. Record sources and dates for any external forecast. Submit this workbook once in the Macro Forecast assignment.</x:v>
      </x:c>
      <x:c r="B22" s="16"/>
      <x:c r="C22" s="16"/>
      <x:c r="D22" s="16"/>
      <x:c r="E22" s="16"/>
      <x:c r="F22" s="16"/>
    </x:row>
  </x:sheetData>
  <x:mergeCells>
    <x:mergeCell ref="A1:F1"/>
    <x:mergeCell ref="A2:F2"/>
    <x:mergeCell ref="B4:C4"/>
    <x:mergeCell ref="A6:F6"/>
    <x:mergeCell ref="A22:F22"/>
  </x:mergeCells>
  <x:dataValidations count="1">
    <x:dataValidation type="list" sqref="B5">
      <x:formula1>"4,5"</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44" hidden="0" customWidth="1"/>
    <x:col min="3" max="3" width="42" hidden="0" customWidth="1"/>
    <x:col min="4" max="4" width="33" hidden="0" customWidth="1"/>
  </x:cols>
  <x:sheetData>
    <x:row r="1" ht="35" customHeight="1">
      <x:c r="A1" s="3" t="str">
        <x:v>Economic outlook roles</x:v>
      </x:c>
      <x:c r="B1" s="3"/>
      <x:c r="C1" s="3"/>
      <x:c r="D1" s="3"/>
    </x:row>
    <x:row r="2" ht="38" customHeight="1">
      <x:c r="A2" s="7" t="str">
        <x:v>The five official committee roles govern the macro assignment. They are responsibilities, not five required people.</x:v>
      </x:c>
      <x:c r="B2" s="7"/>
      <x:c r="C2" s="7"/>
      <x:c r="D2" s="7"/>
    </x:row>
    <x:row r="4" ht="31" customHeight="1">
      <x:c r="A4" s="21" t="str">
        <x:v>Committee role</x:v>
      </x:c>
      <x:c r="B4" s="21" t="str">
        <x:v>Macro task</x:v>
      </x:c>
      <x:c r="C4" s="21" t="str">
        <x:v>Required evidence or handoff</x:v>
      </x:c>
      <x:c r="D4" s="21" t="str">
        <x:v>Four-person team rule</x:v>
      </x:c>
    </x:row>
    <x:row r="5" ht="52" customHeight="1">
      <x:c r="A5" s="23" t="str">
        <x:v>Client and Macro Strategist</x:v>
      </x:c>
      <x:c r="B5" s="23" t="str">
        <x:v>Write the 12-month market narrative.</x:v>
      </x:c>
      <x:c r="C5" s="23" t="str">
        <x:v>Connect growth, inflation, rates, and sentiment to client questions.</x:v>
      </x:c>
      <x:c r="D5" s="23" t="str">
        <x:v>A role may share an owner with one other role.</x:v>
      </x:c>
    </x:row>
    <x:row r="6" ht="52" customHeight="1">
      <x:c r="A6" s="23" t="str">
        <x:v>Fixed-Income Analyst</x:v>
      </x:c>
      <x:c r="B6" s="23" t="str">
        <x:v>Evaluate policy and the 10Y–2Y spread.</x:v>
      </x:c>
      <x:c r="C6" s="23" t="str">
        <x:v>Use the historical monthly series and a dated rate expectation.</x:v>
      </x:c>
      <x:c r="D6" s="23" t="str">
        <x:v>A role may share an owner with one other role.</x:v>
      </x:c>
    </x:row>
    <x:row r="7" ht="52" customHeight="1">
      <x:c r="A7" s="23" t="str">
        <x:v>Equity Analyst</x:v>
      </x:c>
      <x:c r="B7" s="23" t="str">
        <x:v>Evaluate growth and sentiment.</x:v>
      </x:c>
      <x:c r="C7" s="23" t="str">
        <x:v>Use quarterly GDP, monthly sentiment, and a comparable forecast.</x:v>
      </x:c>
      <x:c r="D7" s="23" t="str">
        <x:v>A role may share an owner with one other role.</x:v>
      </x:c>
    </x:row>
    <x:row r="8" ht="52" customHeight="1">
      <x:c r="A8" s="23" t="str">
        <x:v>Portfolio Manager</x:v>
      </x:c>
      <x:c r="B8" s="23" t="str">
        <x:v>Set scenario probabilities and weighted outcomes.</x:v>
      </x:c>
      <x:c r="C8" s="23" t="str">
        <x:v>Check 100% probability total and the same horizon/units in all cases.</x:v>
      </x:c>
      <x:c r="D8" s="23" t="str">
        <x:v>A role may share an owner with one other role.</x:v>
      </x:c>
    </x:row>
    <x:row r="9" ht="52" customHeight="1">
      <x:c r="A9" s="23" t="str">
        <x:v>Risk and Derivatives Analyst</x:v>
      </x:c>
      <x:c r="B9" s="23" t="str">
        <x:v>Red-team bull/base/bear assumptions.</x:v>
      </x:c>
      <x:c r="C9" s="23" t="str">
        <x:v>Name disconfirming evidence, triggers, and downside client effects.</x:v>
      </x:c>
      <x:c r="D9" s="23" t="str">
        <x:v>One member may hold this and another role; vote once.</x:v>
      </x:c>
    </x:row>
    <x:row r="11" ht="39" customHeight="1">
      <x:c r="A11" s="16" t="str">
        <x:v>The roles above replace the older four-person Data Architect / Consensus Analyst / AI Orchestrator / Strategy Lead list. Assign all five official roles in Team Information.</x:v>
      </x:c>
      <x:c r="B11" s="16"/>
      <x:c r="C11" s="16"/>
      <x:c r="D11" s="16"/>
    </x:row>
  </x:sheetData>
  <x:mergeCells>
    <x:mergeCell ref="A1:D1"/>
    <x:mergeCell ref="A2:D2"/>
    <x:mergeCell ref="A11:D11"/>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19" hidden="0" customWidth="1"/>
    <x:col min="3" max="3" width="17" hidden="0" customWidth="1"/>
    <x:col min="4" max="4" width="17" hidden="0" customWidth="1"/>
    <x:col min="5" max="5" width="14" hidden="0" customWidth="1"/>
    <x:col min="6" max="6" width="3" hidden="0" customWidth="1"/>
    <x:col min="7" max="7" width="14" hidden="0" customWidth="1"/>
    <x:col min="8" max="8" width="15" hidden="0" customWidth="1"/>
    <x:col min="9" max="9" width="15" hidden="0" customWidth="1"/>
    <x:col min="10" max="10" width="15" hidden="0" customWidth="1"/>
    <x:col min="11" max="11" width="18" hidden="0" customWidth="1"/>
    <x:col min="12" max="12" width="18" hidden="0" customWidth="1"/>
    <x:col min="13" max="13" width="17" hidden="0" customWidth="1"/>
    <x:col min="14" max="14" width="17" hidden="0" customWidth="1"/>
  </x:cols>
  <x:sheetData>
    <x:row r="1" ht="35" customHeight="1">
      <x:c r="A1" s="3" t="str">
        <x:v>Historical data | five-year review</x:v>
      </x:c>
      <x:c r="B1" s="3"/>
      <x:c r="C1" s="3"/>
      <x:c r="D1" s="3"/>
      <x:c r="E1" s="3"/>
      <x:c r="F1" s="3"/>
      <x:c r="G1" s="3"/>
      <x:c r="H1" s="3"/>
      <x:c r="I1" s="3"/>
      <x:c r="J1" s="3"/>
      <x:c r="K1" s="3"/>
      <x:c r="L1" s="3"/>
      <x:c r="M1" s="3"/>
      <x:c r="N1" s="3"/>
    </x:row>
    <x:row r="2" ht="38" customHeight="1">
      <x:c r="A2" s="7" t="str">
        <x:v>FRED observations retrieved 27 Sep 2026. GDP is quarterly; CPI, sentiment, and fed funds are monthly; 10Y–2Y is the monthly mean of available daily spreads. Sources and transformations appear below the tables.</x:v>
      </x:c>
      <x:c r="B2" s="7"/>
      <x:c r="C2" s="7"/>
      <x:c r="D2" s="7"/>
      <x:c r="E2" s="7"/>
      <x:c r="F2" s="7"/>
      <x:c r="G2" s="7"/>
      <x:c r="H2" s="7"/>
      <x:c r="I2" s="7"/>
      <x:c r="J2" s="7"/>
      <x:c r="K2" s="7"/>
      <x:c r="L2" s="7"/>
      <x:c r="M2" s="7"/>
      <x:c r="N2" s="7"/>
    </x:row>
    <x:row r="4" ht="31" customHeight="1">
      <x:c r="A4" s="21" t="str">
        <x:v>GDP quarter</x:v>
      </x:c>
      <x:c r="B4" s="21" t="str">
        <x:v>Real GDP level</x:v>
      </x:c>
      <x:c r="C4" s="21" t="str">
        <x:v>QoQ annualized</x:v>
      </x:c>
      <x:c r="D4" s="21" t="str">
        <x:v>4-quarter YoY</x:v>
      </x:c>
      <x:c r="E4" s="21" t="str">
        <x:v>Window</x:v>
      </x:c>
      <x:c r="G4" s="21" t="str">
        <x:v>Month</x:v>
      </x:c>
      <x:c r="H4" s="21" t="str">
        <x:v>CPI-U NSA level</x:v>
      </x:c>
      <x:c r="I4" s="21" t="str">
        <x:v>CPI year ago</x:v>
      </x:c>
      <x:c r="J4" s="21" t="str">
        <x:v>CPI 12-mo YoY</x:v>
      </x:c>
      <x:c r="K4" s="21" t="str">
        <x:v>10Y–2Y mean (pp)</x:v>
      </x:c>
      <x:c r="L4" s="21" t="str">
        <x:v>U-M sentiment</x:v>
      </x:c>
      <x:c r="M4" s="21" t="str">
        <x:v>Effective fed funds</x:v>
      </x:c>
      <x:c r="N4" s="21" t="str">
        <x:v>Inverted mean?</x:v>
      </x:c>
    </x:row>
    <x:row r="5" ht="20" customHeight="1">
      <x:c r="A5" t="str">
        <x:v>2020 Q3</x:v>
      </x:c>
      <x:c r="B5" s="24" t="n">
        <x:v>20558.879</x:v>
      </x:c>
      <x:c r="E5" t="str">
        <x:v>Calculation setup</x:v>
      </x:c>
      <x:c r="G5" t="str">
        <x:v>2021-09</x:v>
      </x:c>
      <x:c r="H5" s="26" t="n">
        <x:v>274.31</x:v>
      </x:c>
      <x:c r="I5" s="26" t="n">
        <x:v>260.28</x:v>
      </x:c>
      <x:c r="J5" s="27" t="n">
        <x:f>IF(OR(H5="",I5=""),"",H5/I5-1)</x:f>
        <x:v>0.053903488550791634</x:v>
      </x:c>
      <x:c r="K5" s="28" t="n">
        <x:v>1.1338095238095238</x:v>
      </x:c>
      <x:c r="L5" s="29" t="n">
        <x:v>72.8</x:v>
      </x:c>
      <x:c r="M5" s="27" t="n">
        <x:v>0.0008</x:v>
      </x:c>
      <x:c r="N5" t="str">
        <x:f>IF(K5&lt;0,"Yes","No")</x:f>
        <x:v>No</x:v>
      </x:c>
    </x:row>
    <x:row r="6" ht="20" customHeight="1">
      <x:c r="A6" t="str">
        <x:v>2020 Q4</x:v>
      </x:c>
      <x:c r="B6" s="24" t="n">
        <x:v>20791.917</x:v>
      </x:c>
      <x:c r="C6" s="25" t="n">
        <x:f>(B6/B5)^4-1</x:f>
        <x:v>0.04611736044615711</x:v>
      </x:c>
      <x:c r="D6" s="25"/>
      <x:c r="E6" t="str">
        <x:v>Calculation setup</x:v>
      </x:c>
      <x:c r="G6" t="str">
        <x:v>2021-10</x:v>
      </x:c>
      <x:c r="H6" s="26" t="n">
        <x:v>276.589</x:v>
      </x:c>
      <x:c r="I6" s="26" t="n">
        <x:v>260.388</x:v>
      </x:c>
      <x:c r="J6" s="27" t="n">
        <x:f>IF(OR(H6="",I6=""),"",H6/I6-1)</x:f>
        <x:v>0.062218689033288976</x:v>
      </x:c>
      <x:c r="K6" s="28" t="n">
        <x:v>1.19</x:v>
      </x:c>
      <x:c r="L6" s="29" t="n">
        <x:v>71.7</x:v>
      </x:c>
      <x:c r="M6" s="27" t="n">
        <x:v>0.0008</x:v>
      </x:c>
      <x:c r="N6" t="str">
        <x:f>IF(K6&lt;0,"Yes","No")</x:f>
        <x:v>No</x:v>
      </x:c>
    </x:row>
    <x:row r="7" ht="20" customHeight="1">
      <x:c r="A7" t="str">
        <x:v>2021 Q1</x:v>
      </x:c>
      <x:c r="B7" s="24" t="n">
        <x:v>21082.134</x:v>
      </x:c>
      <x:c r="C7" s="25" t="n">
        <x:f>(B7/B6)^4-1</x:f>
        <x:v>0.05701255644273506</x:v>
      </x:c>
      <x:c r="D7" s="25"/>
      <x:c r="E7" t="str">
        <x:v>Calculation setup</x:v>
      </x:c>
      <x:c r="G7" t="str">
        <x:v>2021-11</x:v>
      </x:c>
      <x:c r="H7" s="26" t="n">
        <x:v>277.948</x:v>
      </x:c>
      <x:c r="I7" s="26" t="n">
        <x:v>260.229</x:v>
      </x:c>
      <x:c r="J7" s="27" t="n">
        <x:f>IF(OR(H7="",I7=""),"",H7/I7-1)</x:f>
        <x:v>0.06809002839806477</x:v>
      </x:c>
      <x:c r="K7" s="28" t="n">
        <x:v>1.0515000000000003</x:v>
      </x:c>
      <x:c r="L7" s="29" t="n">
        <x:v>67.4</x:v>
      </x:c>
      <x:c r="M7" s="27" t="n">
        <x:v>0.0008</x:v>
      </x:c>
      <x:c r="N7" t="str">
        <x:f>IF(K7&lt;0,"Yes","No")</x:f>
        <x:v>No</x:v>
      </x:c>
    </x:row>
    <x:row r="8" ht="20" customHeight="1">
      <x:c r="A8" t="str">
        <x:v>2021 Q2</x:v>
      </x:c>
      <x:c r="B8" s="24" t="n">
        <x:v>21440.929</x:v>
      </x:c>
      <x:c r="C8" s="25" t="n">
        <x:f>(B8/B7)^4-1</x:f>
        <x:v>0.06983331307653917</x:v>
      </x:c>
      <x:c r="D8" s="25"/>
      <x:c r="E8" t="str">
        <x:v>Calculation setup</x:v>
      </x:c>
      <x:c r="G8" t="str">
        <x:v>2021-12</x:v>
      </x:c>
      <x:c r="H8" s="26" t="n">
        <x:v>278.802</x:v>
      </x:c>
      <x:c r="I8" s="26" t="n">
        <x:v>260.474</x:v>
      </x:c>
      <x:c r="J8" s="27" t="n">
        <x:f>IF(OR(H8="",I8=""),"",H8/I8-1)</x:f>
        <x:v>0.07036402865545144</x:v>
      </x:c>
      <x:c r="K8" s="28" t="n">
        <x:v>0.785</x:v>
      </x:c>
      <x:c r="L8" s="29" t="n">
        <x:v>70.6</x:v>
      </x:c>
      <x:c r="M8" s="27" t="n">
        <x:v>0.0008</x:v>
      </x:c>
      <x:c r="N8" t="str">
        <x:f>IF(K8&lt;0,"Yes","No")</x:f>
        <x:v>No</x:v>
      </x:c>
    </x:row>
    <x:row r="9" ht="20" customHeight="1">
      <x:c r="A9" t="str">
        <x:v>2021 Q3</x:v>
      </x:c>
      <x:c r="B9" s="24" t="n">
        <x:v>21617.828</x:v>
      </x:c>
      <x:c r="C9" s="25" t="n">
        <x:f>(B9/B8)^4-1</x:f>
        <x:v>0.0334127932577879</x:v>
      </x:c>
      <x:c r="D9" s="25" t="n">
        <x:f>B9/B5-1</x:f>
        <x:v>0.051508109950936465</x:v>
      </x:c>
      <x:c r="E9" t="str">
        <x:v>Review</x:v>
      </x:c>
      <x:c r="G9" t="str">
        <x:v>2022-01</x:v>
      </x:c>
      <x:c r="H9" s="26" t="n">
        <x:v>281.148</x:v>
      </x:c>
      <x:c r="I9" s="26" t="n">
        <x:v>261.582</x:v>
      </x:c>
      <x:c r="J9" s="27" t="n">
        <x:f>IF(OR(H9="",I9=""),"",H9/I9-1)</x:f>
        <x:v>0.07479872468289117</x:v>
      </x:c>
      <x:c r="K9" s="28" t="n">
        <x:v>0.7835000000000001</x:v>
      </x:c>
      <x:c r="L9" s="29" t="n">
        <x:v>67.2</x:v>
      </x:c>
      <x:c r="M9" s="27" t="n">
        <x:v>0.0008</x:v>
      </x:c>
      <x:c r="N9" t="str">
        <x:f>IF(K9&lt;0,"Yes","No")</x:f>
        <x:v>No</x:v>
      </x:c>
    </x:row>
    <x:row r="10" ht="20" customHeight="1">
      <x:c r="A10" t="str">
        <x:v>2021 Q4</x:v>
      </x:c>
      <x:c r="B10" s="24" t="n">
        <x:v>21988.737</x:v>
      </x:c>
      <x:c r="C10" s="25" t="n">
        <x:f>(B10/B9)^4-1</x:f>
        <x:v>0.07041678610913094</x:v>
      </x:c>
      <x:c r="D10" s="25" t="n">
        <x:f>B10/B6-1</x:f>
        <x:v>0.05756179192135091</x:v>
      </x:c>
      <x:c r="E10" t="str">
        <x:v>Review</x:v>
      </x:c>
      <x:c r="G10" t="str">
        <x:v>2022-02</x:v>
      </x:c>
      <x:c r="H10" s="26" t="n">
        <x:v>283.716</x:v>
      </x:c>
      <x:c r="I10" s="26" t="n">
        <x:v>263.014</x:v>
      </x:c>
      <x:c r="J10" s="27" t="n">
        <x:f>IF(OR(H10="",I10=""),"",H10/I10-1)</x:f>
        <x:v>0.07871063897739283</x:v>
      </x:c>
      <x:c r="K10" s="28" t="n">
        <x:v>0.49894736842105264</x:v>
      </x:c>
      <x:c r="L10" s="29" t="n">
        <x:v>62.8</x:v>
      </x:c>
      <x:c r="M10" s="27" t="n">
        <x:v>0.0008</x:v>
      </x:c>
      <x:c r="N10" t="str">
        <x:f>IF(K10&lt;0,"Yes","No")</x:f>
        <x:v>No</x:v>
      </x:c>
    </x:row>
    <x:row r="11" ht="20" customHeight="1">
      <x:c r="A11" t="str">
        <x:v>2022 Q1</x:v>
      </x:c>
      <x:c r="B11" s="24" t="n">
        <x:v>21932.71</x:v>
      </x:c>
      <x:c r="C11" s="25" t="n">
        <x:f>(B11/B10)^4-1</x:f>
        <x:v>-0.010153057807451127</x:v>
      </x:c>
      <x:c r="D11" s="25" t="n">
        <x:f>B11/B7-1</x:f>
        <x:v>0.04034582077886428</x:v>
      </x:c>
      <x:c r="E11" t="str">
        <x:v>Review</x:v>
      </x:c>
      <x:c r="G11" t="str">
        <x:v>2022-03</x:v>
      </x:c>
      <x:c r="H11" s="26" t="n">
        <x:v>287.504</x:v>
      </x:c>
      <x:c r="I11" s="26" t="n">
        <x:v>264.877</x:v>
      </x:c>
      <x:c r="J11" s="27" t="n">
        <x:f>IF(OR(H11="",I11=""),"",H11/I11-1)</x:f>
        <x:v>0.08542455554842432</x:v>
      </x:c>
      <x:c r="K11" s="28" t="n">
        <x:v>0.21826086956521737</x:v>
      </x:c>
      <x:c r="L11" s="29" t="n">
        <x:v>59.4</x:v>
      </x:c>
      <x:c r="M11" s="27" t="n">
        <x:v>0.002</x:v>
      </x:c>
      <x:c r="N11" t="str">
        <x:f>IF(K11&lt;0,"Yes","No")</x:f>
        <x:v>No</x:v>
      </x:c>
    </x:row>
    <x:row r="12" ht="20" customHeight="1">
      <x:c r="A12" t="str">
        <x:v>2022 Q2</x:v>
      </x:c>
      <x:c r="B12" s="24" t="n">
        <x:v>21967.045</x:v>
      </x:c>
      <x:c r="C12" s="25" t="n">
        <x:f>(B12/B11)^4-1</x:f>
        <x:v>0.006276599617172085</x:v>
      </x:c>
      <x:c r="D12" s="25" t="n">
        <x:f>B12/B8-1</x:f>
        <x:v>0.024537929303342976</x:v>
      </x:c>
      <x:c r="E12" t="str">
        <x:v>Review</x:v>
      </x:c>
      <x:c r="G12" t="str">
        <x:v>2022-04</x:v>
      </x:c>
      <x:c r="H12" s="26" t="n">
        <x:v>289.109</x:v>
      </x:c>
      <x:c r="I12" s="26" t="n">
        <x:v>267.054</x:v>
      </x:c>
      <x:c r="J12" s="27" t="n">
        <x:f>IF(OR(H12="",I12=""),"",H12/I12-1)</x:f>
        <x:v>0.08258629340882373</x:v>
      </x:c>
      <x:c r="K12" s="28" t="n">
        <x:v>0.20950000000000002</x:v>
      </x:c>
      <x:c r="L12" s="29" t="n">
        <x:v>65.2</x:v>
      </x:c>
      <x:c r="M12" s="27" t="n">
        <x:v>0.0033</x:v>
      </x:c>
      <x:c r="N12" t="str">
        <x:f>IF(K12&lt;0,"Yes","No")</x:f>
        <x:v>No</x:v>
      </x:c>
    </x:row>
    <x:row r="13" ht="20" customHeight="1">
      <x:c r="A13" t="str">
        <x:v>2022 Q3</x:v>
      </x:c>
      <x:c r="B13" s="24" t="n">
        <x:v>22125.625</x:v>
      </x:c>
      <x:c r="C13" s="25" t="n">
        <x:f>(B13/B12)^4-1</x:f>
        <x:v>0.029190173117406015</x:v>
      </x:c>
      <x:c r="D13" s="25" t="n">
        <x:f>B13/B9-1</x:f>
        <x:v>0.023489732641040373</x:v>
      </x:c>
      <x:c r="E13" t="str">
        <x:v>Review</x:v>
      </x:c>
      <x:c r="G13" t="str">
        <x:v>2022-05</x:v>
      </x:c>
      <x:c r="H13" s="26" t="n">
        <x:v>292.296</x:v>
      </x:c>
      <x:c r="I13" s="26" t="n">
        <x:v>269.195</x:v>
      </x:c>
      <x:c r="J13" s="27" t="n">
        <x:f>IF(OR(H13="",I13=""),"",H13/I13-1)</x:f>
        <x:v>0.08581511543676523</x:v>
      </x:c>
      <x:c r="K13" s="28" t="n">
        <x:v>0.2814285714285714</x:v>
      </x:c>
      <x:c r="L13" s="29" t="n">
        <x:v>58.4</x:v>
      </x:c>
      <x:c r="M13" s="27" t="n">
        <x:v>0.0077</x:v>
      </x:c>
      <x:c r="N13" t="str">
        <x:f>IF(K13&lt;0,"Yes","No")</x:f>
        <x:v>No</x:v>
      </x:c>
    </x:row>
    <x:row r="14" ht="20" customHeight="1">
      <x:c r="A14" t="str">
        <x:v>2022 Q4</x:v>
      </x:c>
      <x:c r="B14" s="24" t="n">
        <x:v>22278.345</x:v>
      </x:c>
      <x:c r="C14" s="25" t="n">
        <x:f>(B14/B13)^4-1</x:f>
        <x:v>0.027896792303830242</x:v>
      </x:c>
      <x:c r="D14" s="25" t="n">
        <x:f>B14/B10-1</x:f>
        <x:v>0.013170742821654535</x:v>
      </x:c>
      <x:c r="E14" t="str">
        <x:v>Review</x:v>
      </x:c>
      <x:c r="G14" t="str">
        <x:v>2022-06</x:v>
      </x:c>
      <x:c r="H14" s="26" t="n">
        <x:v>296.311</x:v>
      </x:c>
      <x:c r="I14" s="26" t="n">
        <x:v>271.696</x:v>
      </x:c>
      <x:c r="J14" s="27" t="n">
        <x:f>IF(OR(H14="",I14=""),"",H14/I14-1)</x:f>
        <x:v>0.09059757964784154</x:v>
      </x:c>
      <x:c r="K14" s="28" t="n">
        <x:v>0.14523809523809528</x:v>
      </x:c>
      <x:c r="L14" s="29" t="n">
        <x:v>50</x:v>
      </x:c>
      <x:c r="M14" s="27" t="n">
        <x:v>0.0121</x:v>
      </x:c>
      <x:c r="N14" t="str">
        <x:f>IF(K14&lt;0,"Yes","No")</x:f>
        <x:v>No</x:v>
      </x:c>
    </x:row>
    <x:row r="15" ht="20" customHeight="1">
      <x:c r="A15" t="str">
        <x:v>2023 Q1</x:v>
      </x:c>
      <x:c r="B15" s="24" t="n">
        <x:v>22439.607</x:v>
      </x:c>
      <x:c r="C15" s="25" t="n">
        <x:f>(B15/B14)^4-1</x:f>
        <x:v>0.029269931752128775</x:v>
      </x:c>
      <x:c r="D15" s="25" t="n">
        <x:f>B15/B11-1</x:f>
        <x:v>0.023111462286238282</x:v>
      </x:c>
      <x:c r="E15" t="str">
        <x:v>Review</x:v>
      </x:c>
      <x:c r="G15" t="str">
        <x:v>2022-07</x:v>
      </x:c>
      <x:c r="H15" s="26" t="n">
        <x:v>296.276</x:v>
      </x:c>
      <x:c r="I15" s="26" t="n">
        <x:v>273.003</x:v>
      </x:c>
      <x:c r="J15" s="27" t="n">
        <x:f>IF(OR(H15="",I15=""),"",H15/I15-1)</x:f>
        <x:v>0.0852481474562552</x:v>
      </x:c>
      <x:c r="K15" s="28" t="n">
        <x:v>-0.14</x:v>
      </x:c>
      <x:c r="L15" s="29" t="n">
        <x:v>51.5</x:v>
      </x:c>
      <x:c r="M15" s="27" t="n">
        <x:v>0.0168</x:v>
      </x:c>
      <x:c r="N15" t="str">
        <x:f>IF(K15&lt;0,"Yes","No")</x:f>
        <x:v>Yes</x:v>
      </x:c>
    </x:row>
    <x:row r="16" ht="20" customHeight="1">
      <x:c r="A16" t="str">
        <x:v>2023 Q2</x:v>
      </x:c>
      <x:c r="B16" s="24" t="n">
        <x:v>22580.499</x:v>
      </x:c>
      <x:c r="C16" s="25" t="n">
        <x:f>(B16/B15)^4-1</x:f>
        <x:v>0.025352403907615395</x:v>
      </x:c>
      <x:c r="D16" s="25" t="n">
        <x:f>B16/B12-1</x:f>
        <x:v>0.027926104762839188</x:v>
      </x:c>
      <x:c r="E16" t="str">
        <x:v>Review</x:v>
      </x:c>
      <x:c r="G16" t="str">
        <x:v>2022-08</x:v>
      </x:c>
      <x:c r="H16" s="26" t="n">
        <x:v>296.171</x:v>
      </x:c>
      <x:c r="I16" s="26" t="n">
        <x:v>273.567</x:v>
      </x:c>
      <x:c r="J16" s="27" t="n">
        <x:f>IF(OR(H16="",I16=""),"",H16/I16-1)</x:f>
        <x:v>0.08262692503116242</x:v>
      </x:c>
      <x:c r="K16" s="28" t="n">
        <x:v>-0.3521739130434782</x:v>
      </x:c>
      <x:c r="L16" s="29" t="n">
        <x:v>58.2</x:v>
      </x:c>
      <x:c r="M16" s="27" t="n">
        <x:v>0.0233</x:v>
      </x:c>
      <x:c r="N16" t="str">
        <x:f>IF(K16&lt;0,"Yes","No")</x:f>
        <x:v>Yes</x:v>
      </x:c>
    </x:row>
    <x:row r="17" ht="20" customHeight="1">
      <x:c r="A17" t="str">
        <x:v>2023 Q3</x:v>
      </x:c>
      <x:c r="B17" s="24" t="n">
        <x:v>22840.989</x:v>
      </x:c>
      <x:c r="C17" s="25" t="n">
        <x:f>(B17/B16)^4-1</x:f>
        <x:v>0.046948884295479276</x:v>
      </x:c>
      <x:c r="D17" s="25" t="n">
        <x:f>B17/B13-1</x:f>
        <x:v>0.032331922827038895</x:v>
      </x:c>
      <x:c r="E17" t="str">
        <x:v>Review</x:v>
      </x:c>
      <x:c r="G17" t="str">
        <x:v>2022-09</x:v>
      </x:c>
      <x:c r="H17" s="26" t="n">
        <x:v>296.808</x:v>
      </x:c>
      <x:c r="I17" s="26" t="n">
        <x:v>274.31</x:v>
      </x:c>
      <x:c r="J17" s="27" t="n">
        <x:f>IF(OR(H17="",I17=""),"",H17/I17-1)</x:f>
        <x:v>0.0820166964383362</x:v>
      </x:c>
      <x:c r="K17" s="28" t="n">
        <x:v>-0.3376190476190476</x:v>
      </x:c>
      <x:c r="L17" s="29" t="n">
        <x:v>58.6</x:v>
      </x:c>
      <x:c r="M17" s="27" t="n">
        <x:v>0.0256</x:v>
      </x:c>
      <x:c r="N17" t="str">
        <x:f>IF(K17&lt;0,"Yes","No")</x:f>
        <x:v>Yes</x:v>
      </x:c>
    </x:row>
    <x:row r="18" ht="20" customHeight="1">
      <x:c r="A18" t="str">
        <x:v>2023 Q4</x:v>
      </x:c>
      <x:c r="B18" s="24" t="n">
        <x:v>23033.78</x:v>
      </x:c>
      <x:c r="C18" s="25" t="n">
        <x:f>(B18/B17)^4-1</x:f>
        <x:v>0.034192155752948095</x:v>
      </x:c>
      <x:c r="D18" s="25" t="n">
        <x:f>B18/B14-1</x:f>
        <x:v>0.03390893713155063</x:v>
      </x:c>
      <x:c r="E18" t="str">
        <x:v>Review</x:v>
      </x:c>
      <x:c r="G18" t="str">
        <x:v>2022-10</x:v>
      </x:c>
      <x:c r="H18" s="26" t="n">
        <x:v>298.012</x:v>
      </x:c>
      <x:c r="I18" s="26" t="n">
        <x:v>276.589</x:v>
      </x:c>
      <x:c r="J18" s="27" t="n">
        <x:f>IF(OR(H18="",I18=""),"",H18/I18-1)</x:f>
        <x:v>0.07745427330804922</x:v>
      </x:c>
      <x:c r="K18" s="28" t="n">
        <x:v>-0.3915</x:v>
      </x:c>
      <x:c r="L18" s="29" t="n">
        <x:v>59.9</x:v>
      </x:c>
      <x:c r="M18" s="27" t="n">
        <x:v>0.0308</x:v>
      </x:c>
      <x:c r="N18" t="str">
        <x:f>IF(K18&lt;0,"Yes","No")</x:f>
        <x:v>Yes</x:v>
      </x:c>
    </x:row>
    <x:row r="19" ht="20" customHeight="1">
      <x:c r="A19" t="str">
        <x:v>2024 Q1</x:v>
      </x:c>
      <x:c r="B19" s="24" t="n">
        <x:v>23082.119</x:v>
      </x:c>
      <x:c r="C19" s="25" t="n">
        <x:f>(B19/B18)^4-1</x:f>
        <x:v>0.008420915771010673</x:v>
      </x:c>
      <x:c r="D19" s="25" t="n">
        <x:f>B19/B15-1</x:f>
        <x:v>0.028632943527041155</x:v>
      </x:c>
      <x:c r="E19" t="str">
        <x:v>Review</x:v>
      </x:c>
      <x:c r="G19" t="str">
        <x:v>2022-11</x:v>
      </x:c>
      <x:c r="H19" s="26" t="n">
        <x:v>297.711</x:v>
      </x:c>
      <x:c r="I19" s="26" t="n">
        <x:v>277.948</x:v>
      </x:c>
      <x:c r="J19" s="27" t="n">
        <x:f>IF(OR(H19="",I19=""),"",H19/I19-1)</x:f>
        <x:v>0.07110322794191726</x:v>
      </x:c>
      <x:c r="K19" s="28" t="n">
        <x:v>-0.6124999999999999</x:v>
      </x:c>
      <x:c r="L19" s="29" t="n">
        <x:v>56.7</x:v>
      </x:c>
      <x:c r="M19" s="27" t="n">
        <x:v>0.0378</x:v>
      </x:c>
      <x:c r="N19" t="str">
        <x:f>IF(K19&lt;0,"Yes","No")</x:f>
        <x:v>Yes</x:v>
      </x:c>
    </x:row>
    <x:row r="20" ht="20" customHeight="1">
      <x:c r="A20" t="str">
        <x:v>2024 Q2</x:v>
      </x:c>
      <x:c r="B20" s="24" t="n">
        <x:v>23286.508</x:v>
      </x:c>
      <x:c r="C20" s="25" t="n">
        <x:f>(B20/B19)^4-1</x:f>
        <x:v>0.03589268666403678</x:v>
      </x:c>
      <x:c r="D20" s="25" t="n">
        <x:f>B20/B16-1</x:f>
        <x:v>0.031266315239534936</x:v>
      </x:c>
      <x:c r="E20" t="str">
        <x:v>Review</x:v>
      </x:c>
      <x:c r="G20" t="str">
        <x:v>2022-12</x:v>
      </x:c>
      <x:c r="H20" s="26" t="n">
        <x:v>296.797</x:v>
      </x:c>
      <x:c r="I20" s="26" t="n">
        <x:v>278.802</x:v>
      </x:c>
      <x:c r="J20" s="27" t="n">
        <x:f>IF(OR(H20="",I20=""),"",H20/I20-1)</x:f>
        <x:v>0.0645440133141082</x:v>
      </x:c>
      <x:c r="K20" s="28" t="n">
        <x:v>-0.6723809523809523</x:v>
      </x:c>
      <x:c r="L20" s="29" t="n">
        <x:v>59.8</x:v>
      </x:c>
      <x:c r="M20" s="27" t="n">
        <x:v>0.040999999999999995</x:v>
      </x:c>
      <x:c r="N20" t="str">
        <x:f>IF(K20&lt;0,"Yes","No")</x:f>
        <x:v>Yes</x:v>
      </x:c>
    </x:row>
    <x:row r="21" ht="20" customHeight="1">
      <x:c r="A21" t="str">
        <x:v>2024 Q3</x:v>
      </x:c>
      <x:c r="B21" s="24" t="n">
        <x:v>23478.57</x:v>
      </x:c>
      <x:c r="C21" s="25" t="n">
        <x:f>(B21/B20)^4-1</x:f>
        <x:v>0.03340152501559479</x:v>
      </x:c>
      <x:c r="D21" s="25" t="n">
        <x:f>B21/B17-1</x:f>
        <x:v>0.027913896372876</x:v>
      </x:c>
      <x:c r="E21" t="str">
        <x:v>Review</x:v>
      </x:c>
      <x:c r="G21" t="str">
        <x:v>2023-01</x:v>
      </x:c>
      <x:c r="H21" s="26" t="n">
        <x:v>299.17</x:v>
      </x:c>
      <x:c r="I21" s="26" t="n">
        <x:v>281.148</x:v>
      </x:c>
      <x:c r="J21" s="27" t="n">
        <x:f>IF(OR(H21="",I21=""),"",H21/I21-1)</x:f>
        <x:v>0.06410146968856267</x:v>
      </x:c>
      <x:c r="K21" s="28" t="n">
        <x:v>-0.6759999999999999</x:v>
      </x:c>
      <x:c r="L21" s="29" t="n">
        <x:v>64.9</x:v>
      </x:c>
      <x:c r="M21" s="27" t="n">
        <x:v>0.0433</x:v>
      </x:c>
      <x:c r="N21" t="str">
        <x:f>IF(K21&lt;0,"Yes","No")</x:f>
        <x:v>Yes</x:v>
      </x:c>
    </x:row>
    <x:row r="22" ht="20" customHeight="1">
      <x:c r="A22" t="str">
        <x:v>2024 Q4</x:v>
      </x:c>
      <x:c r="B22" s="24" t="n">
        <x:v>23586.542</x:v>
      </x:c>
      <x:c r="C22" s="25" t="n">
        <x:f>(B22/B21)^4-1</x:f>
        <x:v>0.01852226773805077</x:v>
      </x:c>
      <x:c r="D22" s="25" t="n">
        <x:f>B22/B18-1</x:f>
        <x:v>0.023997884845648576</x:v>
      </x:c>
      <x:c r="E22" t="str">
        <x:v>Review</x:v>
      </x:c>
      <x:c r="G22" t="str">
        <x:v>2023-02</x:v>
      </x:c>
      <x:c r="H22" s="26" t="n">
        <x:v>300.84</x:v>
      </x:c>
      <x:c r="I22" s="26" t="n">
        <x:v>283.716</x:v>
      </x:c>
      <x:c r="J22" s="27" t="n">
        <x:f>IF(OR(H22="",I22=""),"",H22/I22-1)</x:f>
        <x:v>0.06035613077866597</x:v>
      </x:c>
      <x:c r="K22" s="28" t="n">
        <x:v>-0.7868421052631579</x:v>
      </x:c>
      <x:c r="L22" s="29" t="n">
        <x:v>66.9</x:v>
      </x:c>
      <x:c r="M22" s="27" t="n">
        <x:v>0.045700000000000005</x:v>
      </x:c>
      <x:c r="N22" t="str">
        <x:f>IF(K22&lt;0,"Yes","No")</x:f>
        <x:v>Yes</x:v>
      </x:c>
    </x:row>
    <x:row r="23" ht="20" customHeight="1">
      <x:c r="A23" t="str">
        <x:v>2025 Q1</x:v>
      </x:c>
      <x:c r="B23" s="24" t="n">
        <x:v>23548.21</x:v>
      </x:c>
      <x:c r="C23" s="25" t="n">
        <x:f>(B23/B22)^4-1</x:f>
        <x:v>-0.006484826392524012</x:v>
      </x:c>
      <x:c r="D23" s="25" t="n">
        <x:f>B23/B19-1</x:f>
        <x:v>0.020192730138857806</x:v>
      </x:c>
      <x:c r="E23" t="str">
        <x:v>Review</x:v>
      </x:c>
      <x:c r="G23" t="str">
        <x:v>2023-03</x:v>
      </x:c>
      <x:c r="H23" s="26" t="n">
        <x:v>301.836</x:v>
      </x:c>
      <x:c r="I23" s="26" t="n">
        <x:v>287.504</x:v>
      </x:c>
      <x:c r="J23" s="27" t="n">
        <x:f>IF(OR(H23="",I23=""),"",H23/I23-1)</x:f>
        <x:v>0.04984974122099173</x:v>
      </x:c>
      <x:c r="K23" s="28" t="n">
        <x:v>-0.6395652173913046</x:v>
      </x:c>
      <x:c r="L23" s="29" t="n">
        <x:v>62</x:v>
      </x:c>
      <x:c r="M23" s="27" t="n">
        <x:v>0.04650000000000001</x:v>
      </x:c>
      <x:c r="N23" t="str">
        <x:f>IF(K23&lt;0,"Yes","No")</x:f>
        <x:v>Yes</x:v>
      </x:c>
    </x:row>
    <x:row r="24" ht="20" customHeight="1">
      <x:c r="A24" t="str">
        <x:v>2025 Q2</x:v>
      </x:c>
      <x:c r="B24" s="24" t="n">
        <x:v>23770.976</x:v>
      </x:c>
      <x:c r="C24" s="25" t="n">
        <x:f>(B24/B23)^4-1</x:f>
        <x:v>0.03838033233381988</x:v>
      </x:c>
      <x:c r="D24" s="25" t="n">
        <x:f>B24/B20-1</x:f>
        <x:v>0.020804665087611918</x:v>
      </x:c>
      <x:c r="E24" t="str">
        <x:v>Review</x:v>
      </x:c>
      <x:c r="G24" t="str">
        <x:v>2023-04</x:v>
      </x:c>
      <x:c r="H24" s="26" t="n">
        <x:v>303.363</x:v>
      </x:c>
      <x:c r="I24" s="26" t="n">
        <x:v>289.109</x:v>
      </x:c>
      <x:c r="J24" s="27" t="n">
        <x:f>IF(OR(H24="",I24=""),"",H24/I24-1)</x:f>
        <x:v>0.049303203981889254</x:v>
      </x:c>
      <x:c r="K24" s="28" t="n">
        <x:v>-0.5559999999999999</x:v>
      </x:c>
      <x:c r="L24" s="29" t="n">
        <x:v>63.7</x:v>
      </x:c>
      <x:c r="M24" s="27" t="n">
        <x:v>0.0483</x:v>
      </x:c>
      <x:c r="N24" t="str">
        <x:f>IF(K24&lt;0,"Yes","No")</x:f>
        <x:v>Yes</x:v>
      </x:c>
    </x:row>
    <x:row r="25" ht="20" customHeight="1">
      <x:c r="A25" t="str">
        <x:v>2025 Q3</x:v>
      </x:c>
      <x:c r="B25" s="24" t="n">
        <x:v>24026.834</x:v>
      </x:c>
      <x:c r="C25" s="25" t="n">
        <x:f>(B25/B24)^4-1</x:f>
        <x:v>0.043753962528715995</x:v>
      </x:c>
      <x:c r="D25" s="25" t="n">
        <x:f>B25/B21-1</x:f>
        <x:v>0.023351677721428432</x:v>
      </x:c>
      <x:c r="E25" t="str">
        <x:v>Review</x:v>
      </x:c>
      <x:c r="G25" t="str">
        <x:v>2023-05</x:v>
      </x:c>
      <x:c r="H25" s="26" t="n">
        <x:v>304.127</x:v>
      </x:c>
      <x:c r="I25" s="26" t="n">
        <x:v>292.296</x:v>
      </x:c>
      <x:c r="J25" s="27" t="n">
        <x:f>IF(OR(H25="",I25=""),"",H25/I25-1)</x:f>
        <x:v>0.040476092727919744</x:v>
      </x:c>
      <x:c r="K25" s="28" t="n">
        <x:v>-0.5581818181818181</x:v>
      </x:c>
      <x:c r="L25" s="29" t="n">
        <x:v>59</x:v>
      </x:c>
      <x:c r="M25" s="27" t="n">
        <x:v>0.0506</x:v>
      </x:c>
      <x:c r="N25" t="str">
        <x:f>IF(K25&lt;0,"Yes","No")</x:f>
        <x:v>Yes</x:v>
      </x:c>
    </x:row>
    <x:row r="26" ht="20" customHeight="1">
      <x:c r="A26" t="str">
        <x:v>2025 Q4</x:v>
      </x:c>
      <x:c r="B26" s="24" t="n">
        <x:v>24055.749</x:v>
      </x:c>
      <x:c r="C26" s="25" t="n">
        <x:f>(B26/B25)^4-1</x:f>
        <x:v>0.00482248112360617</x:v>
      </x:c>
      <x:c r="D26" s="25" t="n">
        <x:f>B26/B22-1</x:f>
        <x:v>0.01989299660798083</x:v>
      </x:c>
      <x:c r="E26" t="str">
        <x:v>Review</x:v>
      </x:c>
      <x:c r="G26" t="str">
        <x:v>2023-06</x:v>
      </x:c>
      <x:c r="H26" s="26" t="n">
        <x:v>305.109</x:v>
      </x:c>
      <x:c r="I26" s="26" t="n">
        <x:v>296.311</x:v>
      </x:c>
      <x:c r="J26" s="27" t="n">
        <x:f>IF(OR(H26="",I26=""),"",H26/I26-1)</x:f>
        <x:v>0.029691776545588855</x:v>
      </x:c>
      <x:c r="K26" s="28" t="n">
        <x:v>-0.8914285714285713</x:v>
      </x:c>
      <x:c r="L26" s="29" t="n">
        <x:v>64.2</x:v>
      </x:c>
      <x:c r="M26" s="27" t="n">
        <x:v>0.0508</x:v>
      </x:c>
      <x:c r="N26" t="str">
        <x:f>IF(K26&lt;0,"Yes","No")</x:f>
        <x:v>Yes</x:v>
      </x:c>
    </x:row>
    <x:row r="27" ht="20" customHeight="1">
      <x:c r="A27" t="str">
        <x:v>2026 Q1</x:v>
      </x:c>
      <x:c r="B27" s="24" t="n">
        <x:v>24180.419</x:v>
      </x:c>
      <x:c r="C27" s="25" t="n">
        <x:f>(B27/B26)^4-1</x:f>
        <x:v>0.020891889857350465</x:v>
      </x:c>
      <x:c r="D27" s="25" t="n">
        <x:f>B27/B23-1</x:f>
        <x:v>0.026847433414259658</x:v>
      </x:c>
      <x:c r="E27" t="str">
        <x:v>Review</x:v>
      </x:c>
      <x:c r="G27" t="str">
        <x:v>2023-07</x:v>
      </x:c>
      <x:c r="H27" s="26" t="n">
        <x:v>305.691</x:v>
      </x:c>
      <x:c r="I27" s="26" t="n">
        <x:v>296.276</x:v>
      </x:c>
      <x:c r="J27" s="27" t="n">
        <x:f>IF(OR(H27="",I27=""),"",H27/I27-1)</x:f>
        <x:v>0.03177780177942169</x:v>
      </x:c>
      <x:c r="K27" s="28" t="n">
        <x:v>-0.9289999999999999</x:v>
      </x:c>
      <x:c r="L27" s="29" t="n">
        <x:v>71.5</x:v>
      </x:c>
      <x:c r="M27" s="27" t="n">
        <x:v>0.0512</x:v>
      </x:c>
      <x:c r="N27" t="str">
        <x:f>IF(K27&lt;0,"Yes","No")</x:f>
        <x:v>Yes</x:v>
      </x:c>
    </x:row>
    <x:row r="28" ht="20" customHeight="1">
      <x:c r="A28" t="str">
        <x:v>2026 Q2</x:v>
      </x:c>
      <x:c r="B28" s="24" t="n">
        <x:v>24269.613</x:v>
      </x:c>
      <x:c r="C28" s="25" t="n">
        <x:f>(B28/B27)^4-1</x:f>
        <x:v>0.014836587880023622</x:v>
      </x:c>
      <x:c r="D28" s="25" t="n">
        <x:f>B28/B24-1</x:f>
        <x:v>0.020976715470160112</x:v>
      </x:c>
      <x:c r="E28" t="str">
        <x:v>Review</x:v>
      </x:c>
      <x:c r="G28" t="str">
        <x:v>2023-08</x:v>
      </x:c>
      <x:c r="H28" s="26" t="n">
        <x:v>307.026</x:v>
      </x:c>
      <x:c r="I28" s="26" t="n">
        <x:v>296.171</x:v>
      </x:c>
      <x:c r="J28" s="27" t="n">
        <x:f>IF(OR(H28="",I28=""),"",H28/I28-1)</x:f>
        <x:v>0.03665112384399549</x:v>
      </x:c>
      <x:c r="K28" s="28" t="n">
        <x:v>-0.7339130434782608</x:v>
      </x:c>
      <x:c r="L28" s="29" t="n">
        <x:v>69.4</x:v>
      </x:c>
      <x:c r="M28" s="27" t="n">
        <x:v>0.0533</x:v>
      </x:c>
      <x:c r="N28" t="str">
        <x:f>IF(K28&lt;0,"Yes","No")</x:f>
        <x:v>Yes</x:v>
      </x:c>
    </x:row>
    <x:row r="29" ht="20" customHeight="1">
      <x:c r="G29" t="str">
        <x:v>2023-09</x:v>
      </x:c>
      <x:c r="H29" s="26" t="n">
        <x:v>307.789</x:v>
      </x:c>
      <x:c r="I29" s="26" t="n">
        <x:v>296.808</x:v>
      </x:c>
      <x:c r="J29" s="27" t="n">
        <x:f>IF(OR(H29="",I29=""),"",H29/I29-1)</x:f>
        <x:v>0.0369969812134443</x:v>
      </x:c>
      <x:c r="K29" s="28" t="n">
        <x:v>-0.643</x:v>
      </x:c>
      <x:c r="L29" s="29" t="n">
        <x:v>67.8</x:v>
      </x:c>
      <x:c r="M29" s="27" t="n">
        <x:v>0.0533</x:v>
      </x:c>
      <x:c r="N29" t="str">
        <x:f>IF(K29&lt;0,"Yes","No")</x:f>
        <x:v>Yes</x:v>
      </x:c>
    </x:row>
    <x:row r="30" ht="20" customHeight="1">
      <x:c r="G30" t="str">
        <x:v>2023-10</x:v>
      </x:c>
      <x:c r="H30" s="26" t="n">
        <x:v>307.671</x:v>
      </x:c>
      <x:c r="I30" s="26" t="n">
        <x:v>298.012</x:v>
      </x:c>
      <x:c r="J30" s="27" t="n">
        <x:f>IF(OR(H30="",I30=""),"",H30/I30-1)</x:f>
        <x:v>0.03241144651893202</x:v>
      </x:c>
      <x:c r="K30" s="28" t="n">
        <x:v>-0.2695238095238096</x:v>
      </x:c>
      <x:c r="L30" s="29" t="n">
        <x:v>63.8</x:v>
      </x:c>
      <x:c r="M30" s="27" t="n">
        <x:v>0.0533</x:v>
      </x:c>
      <x:c r="N30" t="str">
        <x:f>IF(K30&lt;0,"Yes","No")</x:f>
        <x:v>Yes</x:v>
      </x:c>
    </x:row>
    <x:row r="31" ht="20" customHeight="1">
      <x:c r="G31" t="str">
        <x:v>2023-11</x:v>
      </x:c>
      <x:c r="H31" s="26" t="n">
        <x:v>307.051</x:v>
      </x:c>
      <x:c r="I31" s="26" t="n">
        <x:v>297.711</x:v>
      </x:c>
      <x:c r="J31" s="27" t="n">
        <x:f>IF(OR(H31="",I31=""),"",H31/I31-1)</x:f>
        <x:v>0.03137270708841777</x:v>
      </x:c>
      <x:c r="K31" s="28" t="n">
        <x:v>-0.37952380952380954</x:v>
      </x:c>
      <x:c r="L31" s="29" t="n">
        <x:v>61.3</x:v>
      </x:c>
      <x:c r="M31" s="27" t="n">
        <x:v>0.0533</x:v>
      </x:c>
      <x:c r="N31" t="str">
        <x:f>IF(K31&lt;0,"Yes","No")</x:f>
        <x:v>Yes</x:v>
      </x:c>
    </x:row>
    <x:row r="32" ht="20" customHeight="1">
      <x:c r="G32" t="str">
        <x:v>2023-12</x:v>
      </x:c>
      <x:c r="H32" s="26" t="n">
        <x:v>306.746</x:v>
      </x:c>
      <x:c r="I32" s="26" t="n">
        <x:v>296.797</x:v>
      </x:c>
      <x:c r="J32" s="27" t="n">
        <x:f>IF(OR(H32="",I32=""),"",H32/I32-1)</x:f>
        <x:v>0.033521228314302265</x:v>
      </x:c>
      <x:c r="K32" s="28" t="n">
        <x:v>-0.4370000000000001</x:v>
      </x:c>
      <x:c r="L32" s="29" t="n">
        <x:v>69.7</x:v>
      </x:c>
      <x:c r="M32" s="27" t="n">
        <x:v>0.0533</x:v>
      </x:c>
      <x:c r="N32" t="str">
        <x:f>IF(K32&lt;0,"Yes","No")</x:f>
        <x:v>Yes</x:v>
      </x:c>
    </x:row>
    <x:row r="33" ht="20" customHeight="1">
      <x:c r="G33" t="str">
        <x:v>2024-01</x:v>
      </x:c>
      <x:c r="H33" s="26" t="n">
        <x:v>308.417</x:v>
      </x:c>
      <x:c r="I33" s="26" t="n">
        <x:v>299.17</x:v>
      </x:c>
      <x:c r="J33" s="27" t="n">
        <x:f>IF(OR(H33="",I33=""),"",H33/I33-1)</x:f>
        <x:v>0.030908847812280538</x:v>
      </x:c>
      <x:c r="K33" s="28" t="n">
        <x:v>-0.2647619047619048</x:v>
      </x:c>
      <x:c r="L33" s="29" t="n">
        <x:v>79</x:v>
      </x:c>
      <x:c r="M33" s="27" t="n">
        <x:v>0.0533</x:v>
      </x:c>
      <x:c r="N33" t="str">
        <x:f>IF(K33&lt;0,"Yes","No")</x:f>
        <x:v>Yes</x:v>
      </x:c>
    </x:row>
    <x:row r="34" ht="20" customHeight="1">
      <x:c r="G34" t="str">
        <x:v>2024-02</x:v>
      </x:c>
      <x:c r="H34" s="26" t="n">
        <x:v>310.326</x:v>
      </x:c>
      <x:c r="I34" s="26" t="n">
        <x:v>300.84</x:v>
      </x:c>
      <x:c r="J34" s="27" t="n">
        <x:f>IF(OR(H34="",I34=""),"",H34/I34-1)</x:f>
        <x:v>0.031531711208615976</x:v>
      </x:c>
      <x:c r="K34" s="28" t="n">
        <x:v>-0.3365</x:v>
      </x:c>
      <x:c r="L34" s="29" t="n">
        <x:v>76.9</x:v>
      </x:c>
      <x:c r="M34" s="27" t="n">
        <x:v>0.0533</x:v>
      </x:c>
      <x:c r="N34" t="str">
        <x:f>IF(K34&lt;0,"Yes","No")</x:f>
        <x:v>Yes</x:v>
      </x:c>
    </x:row>
    <x:row r="35" ht="20" customHeight="1">
      <x:c r="G35" t="str">
        <x:v>2024-03</x:v>
      </x:c>
      <x:c r="H35" s="26" t="n">
        <x:v>312.332</x:v>
      </x:c>
      <x:c r="I35" s="26" t="n">
        <x:v>301.836</x:v>
      </x:c>
      <x:c r="J35" s="27" t="n">
        <x:f>IF(OR(H35="",I35=""),"",H35/I35-1)</x:f>
        <x:v>0.034773850700380304</x:v>
      </x:c>
      <x:c r="K35" s="28" t="n">
        <x:v>-0.37949999999999995</x:v>
      </x:c>
      <x:c r="L35" s="29" t="n">
        <x:v>79.4</x:v>
      </x:c>
      <x:c r="M35" s="27" t="n">
        <x:v>0.0533</x:v>
      </x:c>
      <x:c r="N35" t="str">
        <x:f>IF(K35&lt;0,"Yes","No")</x:f>
        <x:v>Yes</x:v>
      </x:c>
    </x:row>
    <x:row r="36" ht="20" customHeight="1">
      <x:c r="G36" t="str">
        <x:v>2024-04</x:v>
      </x:c>
      <x:c r="H36" s="26" t="n">
        <x:v>313.548</x:v>
      </x:c>
      <x:c r="I36" s="26" t="n">
        <x:v>303.363</x:v>
      </x:c>
      <x:c r="J36" s="27" t="n">
        <x:f>IF(OR(H36="",I36=""),"",H36/I36-1)</x:f>
        <x:v>0.03357363950119163</x:v>
      </x:c>
      <x:c r="K36" s="28" t="n">
        <x:v>-0.33409090909090905</x:v>
      </x:c>
      <x:c r="L36" s="29" t="n">
        <x:v>77.2</x:v>
      </x:c>
      <x:c r="M36" s="27" t="n">
        <x:v>0.0533</x:v>
      </x:c>
      <x:c r="N36" t="str">
        <x:f>IF(K36&lt;0,"Yes","No")</x:f>
        <x:v>Yes</x:v>
      </x:c>
    </x:row>
    <x:row r="37" ht="20" customHeight="1">
      <x:c r="G37" t="str">
        <x:v>2024-05</x:v>
      </x:c>
      <x:c r="H37" s="26" t="n">
        <x:v>314.069</x:v>
      </x:c>
      <x:c r="I37" s="26" t="n">
        <x:v>304.127</x:v>
      </x:c>
      <x:c r="J37" s="27" t="n">
        <x:f>IF(OR(H37="",I37=""),"",H37/I37-1)</x:f>
        <x:v>0.032690290569400204</x:v>
      </x:c>
      <x:c r="K37" s="28" t="n">
        <x:v>-0.3740909090909091</x:v>
      </x:c>
      <x:c r="L37" s="29" t="n">
        <x:v>69.1</x:v>
      </x:c>
      <x:c r="M37" s="27" t="n">
        <x:v>0.0533</x:v>
      </x:c>
      <x:c r="N37" t="str">
        <x:f>IF(K37&lt;0,"Yes","No")</x:f>
        <x:v>Yes</x:v>
      </x:c>
    </x:row>
    <x:row r="38" ht="20" customHeight="1">
      <x:c r="G38" t="str">
        <x:v>2024-06</x:v>
      </x:c>
      <x:c r="H38" s="26" t="n">
        <x:v>314.175</x:v>
      </x:c>
      <x:c r="I38" s="26" t="n">
        <x:v>305.109</x:v>
      </x:c>
      <x:c r="J38" s="27" t="n">
        <x:f>IF(OR(H38="",I38=""),"",H38/I38-1)</x:f>
        <x:v>0.029713971072633072</x:v>
      </x:c>
      <x:c r="K38" s="28" t="n">
        <x:v>-0.431578947368421</x:v>
      </x:c>
      <x:c r="L38" s="29" t="n">
        <x:v>68.2</x:v>
      </x:c>
      <x:c r="M38" s="27" t="n">
        <x:v>0.0533</x:v>
      </x:c>
      <x:c r="N38" t="str">
        <x:f>IF(K38&lt;0,"Yes","No")</x:f>
        <x:v>Yes</x:v>
      </x:c>
    </x:row>
    <x:row r="39" ht="20" customHeight="1">
      <x:c r="G39" t="str">
        <x:v>2024-07</x:v>
      </x:c>
      <x:c r="H39" s="26" t="n">
        <x:v>314.54</x:v>
      </x:c>
      <x:c r="I39" s="26" t="n">
        <x:v>305.691</x:v>
      </x:c>
      <x:c r="J39" s="27" t="n">
        <x:f>IF(OR(H39="",I39=""),"",H39/I39-1)</x:f>
        <x:v>0.028947531984913066</x:v>
      </x:c>
      <x:c r="K39" s="28" t="n">
        <x:v>-0.24727272727272728</x:v>
      </x:c>
      <x:c r="L39" s="29" t="n">
        <x:v>66.4</x:v>
      </x:c>
      <x:c r="M39" s="27" t="n">
        <x:v>0.0533</x:v>
      </x:c>
      <x:c r="N39" t="str">
        <x:f>IF(K39&lt;0,"Yes","No")</x:f>
        <x:v>Yes</x:v>
      </x:c>
    </x:row>
    <x:row r="40" ht="20" customHeight="1">
      <x:c r="G40" t="str">
        <x:v>2024-08</x:v>
      </x:c>
      <x:c r="H40" s="26" t="n">
        <x:v>314.796</x:v>
      </x:c>
      <x:c r="I40" s="26" t="n">
        <x:v>307.026</x:v>
      </x:c>
      <x:c r="J40" s="27" t="n">
        <x:f>IF(OR(H40="",I40=""),"",H40/I40-1)</x:f>
        <x:v>0.025307302964569622</x:v>
      </x:c>
      <x:c r="K40" s="28" t="n">
        <x:v>-0.09454545454545454</x:v>
      </x:c>
      <x:c r="L40" s="29" t="n">
        <x:v>67.9</x:v>
      </x:c>
      <x:c r="M40" s="27" t="n">
        <x:v>0.0533</x:v>
      </x:c>
      <x:c r="N40" t="str">
        <x:f>IF(K40&lt;0,"Yes","No")</x:f>
        <x:v>Yes</x:v>
      </x:c>
    </x:row>
    <x:row r="41" ht="20" customHeight="1">
      <x:c r="G41" t="str">
        <x:v>2024-09</x:v>
      </x:c>
      <x:c r="H41" s="26" t="n">
        <x:v>315.301</x:v>
      </x:c>
      <x:c r="I41" s="26" t="n">
        <x:v>307.789</x:v>
      </x:c>
      <x:c r="J41" s="27" t="n">
        <x:f>IF(OR(H41="",I41=""),"",H41/I41-1)</x:f>
        <x:v>0.02440633031069983</x:v>
      </x:c>
      <x:c r="K41" s="28" t="n">
        <x:v>0.101</x:v>
      </x:c>
      <x:c r="L41" s="29" t="n">
        <x:v>70.1</x:v>
      </x:c>
      <x:c r="M41" s="27" t="n">
        <x:v>0.0513</x:v>
      </x:c>
      <x:c r="N41" t="str">
        <x:f>IF(K41&lt;0,"Yes","No")</x:f>
        <x:v>No</x:v>
      </x:c>
    </x:row>
    <x:row r="42" ht="20" customHeight="1">
      <x:c r="G42" t="str">
        <x:v>2024-10</x:v>
      </x:c>
      <x:c r="H42" s="26" t="n">
        <x:v>315.664</x:v>
      </x:c>
      <x:c r="I42" s="26" t="n">
        <x:v>307.671</x:v>
      </x:c>
      <x:c r="J42" s="27" t="n">
        <x:f>IF(OR(H42="",I42=""),"",H42/I42-1)</x:f>
        <x:v>0.02597904904914672</x:v>
      </x:c>
      <x:c r="K42" s="28" t="n">
        <x:v>0.1231818181818182</x:v>
      </x:c>
      <x:c r="L42" s="29" t="n">
        <x:v>70.5</x:v>
      </x:c>
      <x:c r="M42" s="27" t="n">
        <x:v>0.0483</x:v>
      </x:c>
      <x:c r="N42" t="str">
        <x:f>IF(K42&lt;0,"Yes","No")</x:f>
        <x:v>No</x:v>
      </x:c>
    </x:row>
    <x:row r="43" ht="20" customHeight="1">
      <x:c r="G43" t="str">
        <x:v>2024-11</x:v>
      </x:c>
      <x:c r="H43" s="26" t="n">
        <x:v>315.493</x:v>
      </x:c>
      <x:c r="I43" s="26" t="n">
        <x:v>307.051</x:v>
      </x:c>
      <x:c r="J43" s="27" t="n">
        <x:f>IF(OR(H43="",I43=""),"",H43/I43-1)</x:f>
        <x:v>0.027493803960905616</x:v>
      </x:c>
      <x:c r="K43" s="28" t="n">
        <x:v>0.09842105263157896</x:v>
      </x:c>
      <x:c r="L43" s="29" t="n">
        <x:v>71.8</x:v>
      </x:c>
      <x:c r="M43" s="27" t="n">
        <x:v>0.0464</x:v>
      </x:c>
      <x:c r="N43" t="str">
        <x:f>IF(K43&lt;0,"Yes","No")</x:f>
        <x:v>No</x:v>
      </x:c>
    </x:row>
    <x:row r="44" ht="20" customHeight="1">
      <x:c r="G44" t="str">
        <x:v>2024-12</x:v>
      </x:c>
      <x:c r="H44" s="26" t="n">
        <x:v>315.605</x:v>
      </x:c>
      <x:c r="I44" s="26" t="n">
        <x:v>306.746</x:v>
      </x:c>
      <x:c r="J44" s="27" t="n">
        <x:f>IF(OR(H44="",I44=""),"",H44/I44-1)</x:f>
        <x:v>0.02888057219980067</x:v>
      </x:c>
      <x:c r="K44" s="28" t="n">
        <x:v>0.16571428571428573</x:v>
      </x:c>
      <x:c r="L44" s="29" t="n">
        <x:v>74</x:v>
      </x:c>
      <x:c r="M44" s="27" t="n">
        <x:v>0.044800000000000006</x:v>
      </x:c>
      <x:c r="N44" t="str">
        <x:f>IF(K44&lt;0,"Yes","No")</x:f>
        <x:v>No</x:v>
      </x:c>
    </x:row>
    <x:row r="45" ht="20" customHeight="1">
      <x:c r="G45" t="str">
        <x:v>2025-01</x:v>
      </x:c>
      <x:c r="H45" s="26" t="n">
        <x:v>317.671</x:v>
      </x:c>
      <x:c r="I45" s="26" t="n">
        <x:v>308.417</x:v>
      </x:c>
      <x:c r="J45" s="27" t="n">
        <x:f>IF(OR(H45="",I45=""),"",H45/I45-1)</x:f>
        <x:v>0.030004831121501097</x:v>
      </x:c>
      <x:c r="K45" s="28" t="n">
        <x:v>0.3571428571428572</x:v>
      </x:c>
      <x:c r="L45" s="29" t="n">
        <x:v>71.7</x:v>
      </x:c>
      <x:c r="M45" s="27" t="n">
        <x:v>0.0433</x:v>
      </x:c>
      <x:c r="N45" t="str">
        <x:f>IF(K45&lt;0,"Yes","No")</x:f>
        <x:v>No</x:v>
      </x:c>
    </x:row>
    <x:row r="46" ht="20" customHeight="1">
      <x:c r="G46" t="str">
        <x:v>2025-02</x:v>
      </x:c>
      <x:c r="H46" s="26" t="n">
        <x:v>319.082</x:v>
      </x:c>
      <x:c r="I46" s="26" t="n">
        <x:v>310.326</x:v>
      </x:c>
      <x:c r="J46" s="27" t="n">
        <x:f>IF(OR(H46="",I46=""),"",H46/I46-1)</x:f>
        <x:v>0.0282154895174751</x:v>
      </x:c>
      <x:c r="K46" s="28" t="n">
        <x:v>0.24105263157894738</x:v>
      </x:c>
      <x:c r="L46" s="29" t="n">
        <x:v>64.7</x:v>
      </x:c>
      <x:c r="M46" s="27" t="n">
        <x:v>0.0433</x:v>
      </x:c>
      <x:c r="N46" t="str">
        <x:f>IF(K46&lt;0,"Yes","No")</x:f>
        <x:v>No</x:v>
      </x:c>
    </x:row>
    <x:row r="47" ht="20" customHeight="1">
      <x:c r="G47" t="str">
        <x:v>2025-03</x:v>
      </x:c>
      <x:c r="H47" s="26" t="n">
        <x:v>319.799</x:v>
      </x:c>
      <x:c r="I47" s="26" t="n">
        <x:v>312.332</x:v>
      </x:c>
      <x:c r="J47" s="27" t="n">
        <x:f>IF(OR(H47="",I47=""),"",H47/I47-1)</x:f>
        <x:v>0.023907252538964974</x:v>
      </x:c>
      <x:c r="K47" s="28" t="n">
        <x:v>0.31047619047619046</x:v>
      </x:c>
      <x:c r="L47" s="29" t="n">
        <x:v>57</x:v>
      </x:c>
      <x:c r="M47" s="27" t="n">
        <x:v>0.0433</x:v>
      </x:c>
      <x:c r="N47" t="str">
        <x:f>IF(K47&lt;0,"Yes","No")</x:f>
        <x:v>No</x:v>
      </x:c>
    </x:row>
    <x:row r="48" ht="20" customHeight="1">
      <x:c r="G48" t="str">
        <x:v>2025-04</x:v>
      </x:c>
      <x:c r="H48" s="26" t="n">
        <x:v>320.795</x:v>
      </x:c>
      <x:c r="I48" s="26" t="n">
        <x:v>313.548</x:v>
      </x:c>
      <x:c r="J48" s="27" t="n">
        <x:f>IF(OR(H48="",I48=""),"",H48/I48-1)</x:f>
        <x:v>0.023112888616734883</x:v>
      </x:c>
      <x:c r="K48" s="28" t="n">
        <x:v>0.5014285714285714</x:v>
      </x:c>
      <x:c r="L48" s="29" t="n">
        <x:v>52.2</x:v>
      </x:c>
      <x:c r="M48" s="27" t="n">
        <x:v>0.0433</x:v>
      </x:c>
      <x:c r="N48" t="str">
        <x:f>IF(K48&lt;0,"Yes","No")</x:f>
        <x:v>No</x:v>
      </x:c>
    </x:row>
    <x:row r="49" ht="20" customHeight="1">
      <x:c r="G49" t="str">
        <x:v>2025-05</x:v>
      </x:c>
      <x:c r="H49" s="26" t="n">
        <x:v>321.465</x:v>
      </x:c>
      <x:c r="I49" s="26" t="n">
        <x:v>314.069</x:v>
      </x:c>
      <x:c r="J49" s="27" t="n">
        <x:f>IF(OR(H49="",I49=""),"",H49/I49-1)</x:f>
        <x:v>0.02354896535474671</x:v>
      </x:c>
      <x:c r="K49" s="28" t="n">
        <x:v>0.5038095238095237</x:v>
      </x:c>
      <x:c r="L49" s="29" t="n">
        <x:v>52.2</x:v>
      </x:c>
      <x:c r="M49" s="27" t="n">
        <x:v>0.0433</x:v>
      </x:c>
      <x:c r="N49" t="str">
        <x:f>IF(K49&lt;0,"Yes","No")</x:f>
        <x:v>No</x:v>
      </x:c>
    </x:row>
    <x:row r="50" ht="20" customHeight="1">
      <x:c r="G50" t="str">
        <x:v>2025-06</x:v>
      </x:c>
      <x:c r="H50" s="26" t="n">
        <x:v>322.561</x:v>
      </x:c>
      <x:c r="I50" s="26" t="n">
        <x:v>314.175</x:v>
      </x:c>
      <x:c r="J50" s="27" t="n">
        <x:f>IF(OR(H50="",I50=""),"",H50/I50-1)</x:f>
        <x:v>0.02669213018222316</x:v>
      </x:c>
      <x:c r="K50" s="28" t="n">
        <x:v>0.49450000000000005</x:v>
      </x:c>
      <x:c r="L50" s="29" t="n">
        <x:v>60.7</x:v>
      </x:c>
      <x:c r="M50" s="27" t="n">
        <x:v>0.0433</x:v>
      </x:c>
      <x:c r="N50" t="str">
        <x:f>IF(K50&lt;0,"Yes","No")</x:f>
        <x:v>No</x:v>
      </x:c>
    </x:row>
    <x:row r="51" ht="20" customHeight="1">
      <x:c r="G51" t="str">
        <x:v>2025-07</x:v>
      </x:c>
      <x:c r="H51" s="26" t="n">
        <x:v>323.048</x:v>
      </x:c>
      <x:c r="I51" s="26" t="n">
        <x:v>314.54</x:v>
      </x:c>
      <x:c r="J51" s="27" t="n">
        <x:f>IF(OR(H51="",I51=""),"",H51/I51-1)</x:f>
        <x:v>0.027049023971513986</x:v>
      </x:c>
      <x:c r="K51" s="28" t="n">
        <x:v>0.5095454545454546</x:v>
      </x:c>
      <x:c r="L51" s="29" t="n">
        <x:v>61.7</x:v>
      </x:c>
      <x:c r="M51" s="27" t="n">
        <x:v>0.0433</x:v>
      </x:c>
      <x:c r="N51" t="str">
        <x:f>IF(K51&lt;0,"Yes","No")</x:f>
        <x:v>No</x:v>
      </x:c>
    </x:row>
    <x:row r="52" ht="20" customHeight="1">
      <x:c r="G52" t="str">
        <x:v>2025-08</x:v>
      </x:c>
      <x:c r="H52" s="26" t="n">
        <x:v>323.976</x:v>
      </x:c>
      <x:c r="I52" s="26" t="n">
        <x:v>314.796</x:v>
      </x:c>
      <x:c r="J52" s="27" t="n">
        <x:f>IF(OR(H52="",I52=""),"",H52/I52-1)</x:f>
        <x:v>0.029161742842984006</x:v>
      </x:c>
      <x:c r="K52" s="28" t="n">
        <x:v>0.560952380952381</x:v>
      </x:c>
      <x:c r="L52" s="29" t="n">
        <x:v>58.2</x:v>
      </x:c>
      <x:c r="M52" s="27" t="n">
        <x:v>0.0433</x:v>
      </x:c>
      <x:c r="N52" t="str">
        <x:f>IF(K52&lt;0,"Yes","No")</x:f>
        <x:v>No</x:v>
      </x:c>
    </x:row>
    <x:row r="53" ht="20" customHeight="1">
      <x:c r="G53" t="str">
        <x:v>2025-09</x:v>
      </x:c>
      <x:c r="H53" s="26" t="n">
        <x:v>324.8</x:v>
      </x:c>
      <x:c r="I53" s="26" t="n">
        <x:v>315.301</x:v>
      </x:c>
      <x:c r="J53" s="27" t="n">
        <x:f>IF(OR(H53="",I53=""),"",H53/I53-1)</x:f>
        <x:v>0.030126767755256134</x:v>
      </x:c>
      <x:c r="K53" s="28" t="n">
        <x:v>0.551904761904762</x:v>
      </x:c>
      <x:c r="L53" s="29" t="n">
        <x:v>55.1</x:v>
      </x:c>
      <x:c r="M53" s="27" t="n">
        <x:v>0.042199999999999994</x:v>
      </x:c>
      <x:c r="N53" t="str">
        <x:f>IF(K53&lt;0,"Yes","No")</x:f>
        <x:v>No</x:v>
      </x:c>
    </x:row>
    <x:row r="54" ht="20" customHeight="1">
      <x:c r="G54" t="str">
        <x:v>2025-10</x:v>
      </x:c>
      <x:c r="H54" s="26" t="str"/>
      <x:c r="I54" s="26" t="n">
        <x:v>315.664</x:v>
      </x:c>
      <x:c r="J54" s="27" t="str">
        <x:f>IF(OR(H54="",I54=""),"",H54/I54-1)</x:f>
      </x:c>
      <x:c r="K54" s="28" t="n">
        <x:v>0.5404545454545454</x:v>
      </x:c>
      <x:c r="L54" s="29" t="n">
        <x:v>53.6</x:v>
      </x:c>
      <x:c r="M54" s="27" t="n">
        <x:v>0.0409</x:v>
      </x:c>
      <x:c r="N54" t="str">
        <x:f>IF(K54&lt;0,"Yes","No")</x:f>
        <x:v>No</x:v>
      </x:c>
    </x:row>
    <x:row r="55" ht="20" customHeight="1">
      <x:c r="G55" t="str">
        <x:v>2025-11</x:v>
      </x:c>
      <x:c r="H55" s="26" t="n">
        <x:v>324.122</x:v>
      </x:c>
      <x:c r="I55" s="26" t="n">
        <x:v>315.493</x:v>
      </x:c>
      <x:c r="J55" s="27" t="n">
        <x:f>IF(OR(H55="",I55=""),"",H55/I55-1)</x:f>
        <x:v>0.027350844551226272</x:v>
      </x:c>
      <x:c r="K55" s="28" t="n">
        <x:v>0.543888888888889</x:v>
      </x:c>
      <x:c r="L55" s="29" t="n">
        <x:v>51</x:v>
      </x:c>
      <x:c r="M55" s="27" t="n">
        <x:v>0.0388</x:v>
      </x:c>
      <x:c r="N55" t="str">
        <x:f>IF(K55&lt;0,"Yes","No")</x:f>
        <x:v>No</x:v>
      </x:c>
    </x:row>
    <x:row r="56" ht="20" customHeight="1">
      <x:c r="G56" t="str">
        <x:v>2025-12</x:v>
      </x:c>
      <x:c r="H56" s="26" t="n">
        <x:v>324.054</x:v>
      </x:c>
      <x:c r="I56" s="26" t="n">
        <x:v>315.605</x:v>
      </x:c>
      <x:c r="J56" s="27" t="n">
        <x:f>IF(OR(H56="",I56=""),"",H56/I56-1)</x:f>
        <x:v>0.026770805278750087</x:v>
      </x:c>
      <x:c r="K56" s="28" t="n">
        <x:v>0.6422727272727272</x:v>
      </x:c>
      <x:c r="L56" s="29" t="n">
        <x:v>52.9</x:v>
      </x:c>
      <x:c r="M56" s="27" t="n">
        <x:v>0.037200000000000004</x:v>
      </x:c>
      <x:c r="N56" t="str">
        <x:f>IF(K56&lt;0,"Yes","No")</x:f>
        <x:v>No</x:v>
      </x:c>
    </x:row>
    <x:row r="57" ht="20" customHeight="1">
      <x:c r="G57" t="str">
        <x:v>2026-01</x:v>
      </x:c>
      <x:c r="H57" s="26" t="n">
        <x:v>325.252</x:v>
      </x:c>
      <x:c r="I57" s="26" t="n">
        <x:v>317.671</x:v>
      </x:c>
      <x:c r="J57" s="27" t="n">
        <x:f>IF(OR(H57="",I57=""),"",H57/I57-1)</x:f>
        <x:v>0.02386431244904319</x:v>
      </x:c>
      <x:c r="K57" s="28" t="n">
        <x:v>0.6765000000000001</x:v>
      </x:c>
      <x:c r="L57" s="29" t="n">
        <x:v>56.4</x:v>
      </x:c>
      <x:c r="M57" s="27" t="n">
        <x:v>0.0364</x:v>
      </x:c>
      <x:c r="N57" t="str">
        <x:f>IF(K57&lt;0,"Yes","No")</x:f>
        <x:v>No</x:v>
      </x:c>
    </x:row>
    <x:row r="58" ht="20" customHeight="1">
      <x:c r="G58" t="str">
        <x:v>2026-02</x:v>
      </x:c>
      <x:c r="H58" s="26" t="n">
        <x:v>326.785</x:v>
      </x:c>
      <x:c r="I58" s="26" t="n">
        <x:v>319.082</x:v>
      </x:c>
      <x:c r="J58" s="27" t="n">
        <x:f>IF(OR(H58="",I58=""),"",H58/I58-1)</x:f>
        <x:v>0.024141129866304123</x:v>
      </x:c>
      <x:c r="K58" s="28" t="n">
        <x:v>0.6542105263157892</x:v>
      </x:c>
      <x:c r="L58" s="29" t="n">
        <x:v>56.6</x:v>
      </x:c>
      <x:c r="M58" s="27" t="n">
        <x:v>0.0364</x:v>
      </x:c>
      <x:c r="N58" t="str">
        <x:f>IF(K58&lt;0,"Yes","No")</x:f>
        <x:v>No</x:v>
      </x:c>
    </x:row>
    <x:row r="59" ht="20" customHeight="1">
      <x:c r="G59" t="str">
        <x:v>2026-03</x:v>
      </x:c>
      <x:c r="H59" s="26" t="n">
        <x:v>330.213</x:v>
      </x:c>
      <x:c r="I59" s="26" t="n">
        <x:v>319.799</x:v>
      </x:c>
      <x:c r="J59" s="27" t="n">
        <x:f>IF(OR(H59="",I59=""),"",H59/I59-1)</x:f>
        <x:v>0.032564204390883145</x:v>
      </x:c>
      <x:c r="K59" s="28" t="n">
        <x:v>0.5313636363636364</x:v>
      </x:c>
      <x:c r="L59" s="29" t="n">
        <x:v>53.3</x:v>
      </x:c>
      <x:c r="M59" s="27" t="n">
        <x:v>0.0364</x:v>
      </x:c>
      <x:c r="N59" t="str">
        <x:f>IF(K59&lt;0,"Yes","No")</x:f>
        <x:v>No</x:v>
      </x:c>
    </x:row>
    <x:row r="60" ht="20" customHeight="1">
      <x:c r="G60" t="str">
        <x:v>2026-04</x:v>
      </x:c>
      <x:c r="H60" s="26" t="n">
        <x:v>333.02</x:v>
      </x:c>
      <x:c r="I60" s="26" t="n">
        <x:v>320.795</x:v>
      </x:c>
      <x:c r="J60" s="27" t="n">
        <x:f>IF(OR(H60="",I60=""),"",H60/I60-1)</x:f>
        <x:v>0.0381084493212176</x:v>
      </x:c>
      <x:c r="K60" s="28" t="n">
        <x:v>0.5199999999999999</x:v>
      </x:c>
      <x:c r="L60" s="29" t="n">
        <x:v>49.8</x:v>
      </x:c>
      <x:c r="M60" s="27" t="n">
        <x:v>0.0364</x:v>
      </x:c>
      <x:c r="N60" t="str">
        <x:f>IF(K60&lt;0,"Yes","No")</x:f>
        <x:v>No</x:v>
      </x:c>
    </x:row>
    <x:row r="61" ht="20" customHeight="1">
      <x:c r="G61" t="str">
        <x:v>2026-05</x:v>
      </x:c>
      <x:c r="H61" s="26" t="n">
        <x:v>335.123</x:v>
      </x:c>
      <x:c r="I61" s="26" t="n">
        <x:v>321.465</x:v>
      </x:c>
      <x:c r="J61" s="27" t="n">
        <x:f>IF(OR(H61="",I61=""),"",H61/I61-1)</x:f>
        <x:v>0.04248674039164446</x:v>
      </x:c>
      <x:c r="K61" s="28" t="n">
        <x:v>0.48900000000000016</x:v>
      </x:c>
      <x:c r="L61" s="29" t="n">
        <x:v>44.8</x:v>
      </x:c>
      <x:c r="M61" s="27" t="n">
        <x:v>0.0363</x:v>
      </x:c>
      <x:c r="N61" t="str">
        <x:f>IF(K61&lt;0,"Yes","No")</x:f>
        <x:v>No</x:v>
      </x:c>
    </x:row>
    <x:row r="62" ht="20" customHeight="1">
      <x:c r="G62" t="str">
        <x:v>2026-06</x:v>
      </x:c>
      <x:c r="H62" s="26" t="n">
        <x:v>333.952</x:v>
      </x:c>
      <x:c r="I62" s="26" t="n">
        <x:v>322.561</x:v>
      </x:c>
      <x:c r="J62" s="27" t="n">
        <x:f>IF(OR(H62="",I62=""),"",H62/I62-1)</x:f>
        <x:v>0.035314250637863864</x:v>
      </x:c>
      <x:c r="K62" s="28" t="n">
        <x:v>0.35761904761904756</x:v>
      </x:c>
      <x:c r="L62" s="29" t="n">
        <x:v>49.5</x:v>
      </x:c>
      <x:c r="M62" s="27" t="n">
        <x:v>0.0363</x:v>
      </x:c>
      <x:c r="N62" t="str">
        <x:f>IF(K62&lt;0,"Yes","No")</x:f>
        <x:v>No</x:v>
      </x:c>
    </x:row>
    <x:row r="63" ht="20" customHeight="1">
      <x:c r="G63" t="str">
        <x:v>2026-07</x:v>
      </x:c>
      <x:c r="H63" s="26" t="n">
        <x:v>333.918</x:v>
      </x:c>
      <x:c r="I63" s="26" t="n">
        <x:v>323.048</x:v>
      </x:c>
      <x:c r="J63" s="27" t="n">
        <x:f>IF(OR(H63="",I63=""),"",H63/I63-1)</x:f>
        <x:v>0.03364825041479902</x:v>
      </x:c>
      <x:c r="K63" s="28" t="n">
        <x:v>0.3768181818181818</x:v>
      </x:c>
      <x:c r="L63" s="29" t="n">
        <x:v>55.2</x:v>
      </x:c>
      <x:c r="M63" s="27" t="n">
        <x:v>0.0363</x:v>
      </x:c>
      <x:c r="N63" t="str">
        <x:f>IF(K63&lt;0,"Yes","No")</x:f>
        <x:v>No</x:v>
      </x:c>
    </x:row>
    <x:row r="64" ht="20" customHeight="1">
      <x:c r="G64" t="str">
        <x:v>2026-08</x:v>
      </x:c>
      <x:c r="H64" s="26" t="n">
        <x:v>334.98</x:v>
      </x:c>
      <x:c r="I64" s="26" t="n">
        <x:v>323.976</x:v>
      </x:c>
      <x:c r="J64" s="27" t="n">
        <x:f>IF(OR(H64="",I64=""),"",H64/I64-1)</x:f>
        <x:v>0.033965478924364856</x:v>
      </x:c>
      <x:c r="K64" s="28" t="n">
        <x:v>0.4680952380952383</x:v>
      </x:c>
      <x:c r="L64" s="29" t="n">
        <x:v>51.7</x:v>
      </x:c>
      <x:c r="M64" s="27" t="n">
        <x:v>0.0363</x:v>
      </x:c>
      <x:c r="N64" t="str">
        <x:f>IF(K64&lt;0,"Yes","No")</x:f>
        <x:v>No</x:v>
      </x:c>
    </x:row>
    <x:row r="66" ht="24" customHeight="1">
      <x:c r="A66" s="30" t="str">
        <x:v>SOURCE AND MEASURE NOTES</x:v>
      </x:c>
      <x:c r="B66" s="30"/>
      <x:c r="C66" s="30"/>
      <x:c r="D66" s="30"/>
      <x:c r="E66" s="30"/>
      <x:c r="F66" s="30"/>
      <x:c r="G66" s="30"/>
      <x:c r="H66" s="30"/>
      <x:c r="I66" s="30"/>
      <x:c r="J66" s="30"/>
      <x:c r="K66" s="30"/>
      <x:c r="L66" s="30"/>
      <x:c r="M66" s="30"/>
      <x:c r="N66" s="30"/>
    </x:row>
    <x:row r="67" ht="43" customHeight="1">
      <x:c r="A67" s="32" t="str">
        <x:v>GDPC1</x:v>
      </x:c>
      <x:c r="B67" s="32" t="str">
        <x:v>Real GDP level, billions of chained 2017 dollars, seasonally adjusted annual rate. QoQ annualized=(this quarter/prior quarter)^4−1; 4-quarter YoY=this quarter/four quarters earlier−1.</x:v>
      </x:c>
      <x:c r="C67" s="32"/>
      <x:c r="D67" s="32"/>
      <x:c r="E67" s="32"/>
      <x:c r="F67" s="32"/>
      <x:c r="G67" s="32"/>
      <x:c r="H67" s="32"/>
      <x:c r="I67" s="32"/>
      <x:c r="J67" s="32"/>
      <x:c r="K67" s="32" t="str">
        <x:v>https://fred.stlouisfed.org/series/GDPC1</x:v>
      </x:c>
      <x:c r="L67" s="32"/>
      <x:c r="M67" s="32"/>
      <x:c r="N67" s="32"/>
    </x:row>
    <x:row r="68" ht="43" customHeight="1">
      <x:c r="A68" s="32" t="str">
        <x:v>CPIAUCNS</x:v>
      </x:c>
      <x:c r="B68" s="32" t="str">
        <x:v>CPI-U all items, U.S. city average, not seasonally adjusted. Headline 12-month inflation=current month/same month prior year−1.</x:v>
      </x:c>
      <x:c r="C68" s="32"/>
      <x:c r="D68" s="32"/>
      <x:c r="E68" s="32"/>
      <x:c r="F68" s="32"/>
      <x:c r="G68" s="32"/>
      <x:c r="H68" s="32"/>
      <x:c r="I68" s="32"/>
      <x:c r="J68" s="32"/>
      <x:c r="K68" s="32" t="str">
        <x:v>https://fred.stlouisfed.org/series/CPIAUCNS</x:v>
      </x:c>
      <x:c r="L68" s="32"/>
      <x:c r="M68" s="32"/>
      <x:c r="N68" s="32"/>
    </x:row>
    <x:row r="69" ht="43" customHeight="1">
      <x:c r="A69" s="32" t="str">
        <x:v>T10Y2Y</x:v>
      </x:c>
      <x:c r="B69" s="32" t="str">
        <x:v>10-year minus 2-year Treasury spread. Daily FRED observations averaged within each month; shown in percentage points. Negative monthly mean is an inverted month.</x:v>
      </x:c>
      <x:c r="C69" s="32"/>
      <x:c r="D69" s="32"/>
      <x:c r="E69" s="32"/>
      <x:c r="F69" s="32"/>
      <x:c r="G69" s="32"/>
      <x:c r="H69" s="32"/>
      <x:c r="I69" s="32"/>
      <x:c r="J69" s="32"/>
      <x:c r="K69" s="32" t="str">
        <x:v>https://fred.stlouisfed.org/series/T10Y2Y</x:v>
      </x:c>
      <x:c r="L69" s="32"/>
      <x:c r="M69" s="32"/>
      <x:c r="N69" s="32"/>
    </x:row>
    <x:row r="70" ht="43" customHeight="1">
      <x:c r="A70" s="32" t="str">
        <x:v>UMCSENT</x:v>
      </x:c>
      <x:c r="B70" s="32" t="str">
        <x:v>University of Michigan consumer sentiment index, monthly level.</x:v>
      </x:c>
      <x:c r="C70" s="32"/>
      <x:c r="D70" s="32"/>
      <x:c r="E70" s="32"/>
      <x:c r="F70" s="32"/>
      <x:c r="G70" s="32"/>
      <x:c r="H70" s="32"/>
      <x:c r="I70" s="32"/>
      <x:c r="J70" s="32"/>
      <x:c r="K70" s="32" t="str">
        <x:v>https://fred.stlouisfed.org/series/UMCSENT</x:v>
      </x:c>
      <x:c r="L70" s="32"/>
      <x:c r="M70" s="32"/>
      <x:c r="N70" s="32"/>
    </x:row>
    <x:row r="71" ht="43" customHeight="1">
      <x:c r="A71" s="32" t="str">
        <x:v>FEDFUNDS</x:v>
      </x:c>
      <x:c r="B71" s="32" t="str">
        <x:v>Effective federal funds rate, monthly average, shown as a percentage.</x:v>
      </x:c>
      <x:c r="C71" s="32"/>
      <x:c r="D71" s="32"/>
      <x:c r="E71" s="32"/>
      <x:c r="F71" s="32"/>
      <x:c r="G71" s="32"/>
      <x:c r="H71" s="32"/>
      <x:c r="I71" s="32"/>
      <x:c r="J71" s="32"/>
      <x:c r="K71" s="32" t="str">
        <x:v>https://fred.stlouisfed.org/series/FEDFUNDS</x:v>
      </x:c>
      <x:c r="L71" s="32"/>
      <x:c r="M71" s="32"/>
      <x:c r="N71" s="32"/>
    </x:row>
    <x:row r="73" ht="39" customHeight="1">
      <x:c r="A73" s="16" t="str">
        <x:v>Data downloaded 2026-09-27. Latest GDP observation: 2026 Q2. Latest monthly observation: 2026-08. October 2025 CPIAUCNS is unavailable in the source and is left blank; do not interpolate. FRED series may be revised; retain this as-of date when citing this workbook.</x:v>
      </x:c>
      <x:c r="B73" s="16"/>
      <x:c r="C73" s="16"/>
      <x:c r="D73" s="16"/>
      <x:c r="E73" s="16"/>
      <x:c r="F73" s="16"/>
      <x:c r="G73" s="16"/>
      <x:c r="H73" s="16"/>
      <x:c r="I73" s="16"/>
      <x:c r="J73" s="16"/>
      <x:c r="K73" s="16"/>
      <x:c r="L73" s="16"/>
      <x:c r="M73" s="16"/>
      <x:c r="N73" s="16"/>
    </x:row>
  </x:sheetData>
  <x:mergeCells>
    <x:mergeCell ref="A1:N1"/>
    <x:mergeCell ref="A2:N2"/>
    <x:mergeCell ref="A66:N66"/>
    <x:mergeCell ref="B67:J67"/>
    <x:mergeCell ref="K67:N67"/>
    <x:mergeCell ref="B68:J68"/>
    <x:mergeCell ref="K68:N68"/>
    <x:mergeCell ref="B69:J69"/>
    <x:mergeCell ref="K69:N69"/>
    <x:mergeCell ref="B70:J70"/>
    <x:mergeCell ref="K70:N70"/>
    <x:mergeCell ref="B71:J71"/>
    <x:mergeCell ref="K71:N71"/>
    <x:mergeCell ref="A73:N73"/>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2" hidden="0" customWidth="1"/>
    <x:col min="2" max="2" width="42" hidden="0" customWidth="1"/>
    <x:col min="3" max="3" width="31" hidden="0" customWidth="1"/>
    <x:col min="4" max="4" width="44" hidden="0" customWidth="1"/>
    <x:col min="5" max="5" width="31" hidden="0" customWidth="1"/>
  </x:cols>
  <x:sheetData>
    <x:row r="1" ht="35" customHeight="1">
      <x:c r="A1" s="3" t="str">
        <x:v>Phase 1 worksheet | human-first read</x:v>
      </x:c>
      <x:c r="B1" s="3"/>
      <x:c r="C1" s="3"/>
      <x:c r="D1" s="3"/>
      <x:c r="E1" s="3"/>
    </x:row>
    <x:row r="2" ht="38" customHeight="1">
      <x:c r="A2" s="7" t="str">
        <x:v>Complete responses before AI. Use the five-year review window, quote the exact series and period, and distinguish observation from interpretation.</x:v>
      </x:c>
      <x:c r="B2" s="7"/>
      <x:c r="C2" s="7"/>
      <x:c r="D2" s="7"/>
      <x:c r="E2" s="7"/>
    </x:row>
    <x:row r="4" ht="31" customHeight="1">
      <x:c r="A4" s="21" t="str">
        <x:v>Question</x:v>
      </x:c>
      <x:c r="B4" s="21" t="str">
        <x:v>Your response / calculation</x:v>
      </x:c>
      <x:c r="C4" s="21" t="str">
        <x:v>Evidence: series and period</x:v>
      </x:c>
      <x:c r="D4" s="21" t="str">
        <x:v>Source URL / retrieval date</x:v>
      </x:c>
      <x:c r="E4" s="21" t="str">
        <x:v>Why it matters or uncertainty</x:v>
      </x:c>
    </x:row>
    <x:row r="5" ht="62" customHeight="1">
      <x:c r="A5" s="34" t="str">
        <x:v>Which review-window quarter had the highest real GDP QoQ annualized growth? State quarter and rate.</x:v>
      </x:c>
      <x:c r="B5" s="12"/>
      <x:c r="C5" s="12"/>
      <x:c r="D5" s="12"/>
      <x:c r="E5" s="12"/>
    </x:row>
    <x:row r="6" ht="62" customHeight="1">
      <x:c r="A6" s="34" t="str">
        <x:v>Which review-window month had the highest headline CPI 12-month inflation? State month and rate.</x:v>
      </x:c>
      <x:c r="B6" s="12"/>
      <x:c r="C6" s="12"/>
      <x:c r="D6" s="12"/>
      <x:c r="E6" s="12"/>
    </x:row>
    <x:row r="7" ht="62" customHeight="1">
      <x:c r="A7" s="34" t="str">
        <x:v>Across the latest four GDP quarters, is QoQ annualized growth accelerating, decelerating, or mixed? Cite all four observations.</x:v>
      </x:c>
      <x:c r="B7" s="12"/>
      <x:c r="C7" s="12"/>
      <x:c r="D7" s="12"/>
      <x:c r="E7" s="12"/>
    </x:row>
    <x:row r="8" ht="62" customHeight="1">
      <x:c r="A8" s="34" t="str">
        <x:v>What is the latest monthly mean 10Y–2Y spread? Is it positive or inverted?</x:v>
      </x:c>
      <x:c r="B8" s="12"/>
      <x:c r="C8" s="12"/>
      <x:c r="D8" s="12"/>
      <x:c r="E8" s="12"/>
    </x:row>
    <x:row r="9" ht="62" customHeight="1">
      <x:c r="A9" s="34" t="str">
        <x:v>How many of the latest 24 months had a negative monthly mean 10Y–2Y spread? Count the months, not daily readings.</x:v>
      </x:c>
      <x:c r="B9" s="12"/>
      <x:c r="C9" s="12"/>
      <x:c r="D9" s="12"/>
      <x:c r="E9" s="12"/>
    </x:row>
    <x:row r="10" ht="62" customHeight="1">
      <x:c r="A10" s="34" t="str">
        <x:v>Identify a meaningful sentiment decline. What happened to GDP in the overlapping quarter? Avoid claiming causation.</x:v>
      </x:c>
      <x:c r="B10" s="12"/>
      <x:c r="C10" s="12"/>
      <x:c r="D10" s="12"/>
      <x:c r="E10" s="12"/>
    </x:row>
    <x:row r="11" ht="62" customHeight="1">
      <x:c r="A11" s="34" t="str">
        <x:v>How did the effective fed funds rate and CPI inflation move over the latest 12 months? State both endpoints.</x:v>
      </x:c>
      <x:c r="B11" s="12"/>
      <x:c r="C11" s="12"/>
      <x:c r="D11" s="12"/>
      <x:c r="E11" s="12"/>
    </x:row>
    <x:row r="12" ht="62" customHeight="1">
      <x:c r="A12" s="34" t="str">
        <x:v>What is your provisional 12-month growth/inflation/rate/sentiment view before AI? Name a disconfirming signal.</x:v>
      </x:c>
      <x:c r="B12" s="12"/>
      <x:c r="C12" s="12"/>
      <x:c r="D12" s="12"/>
      <x:c r="E12" s="12"/>
    </x:row>
    <x:row r="13" ht="62" customHeight="1">
      <x:c r="A13" s="34" t="str">
        <x:v>Which macro assumption could matter most to an assigned client? State the client fact or information gap needed to judge it.</x:v>
      </x:c>
      <x:c r="B13" s="12"/>
      <x:c r="C13" s="12"/>
      <x:c r="D13" s="12"/>
      <x:c r="E13" s="12"/>
    </x:row>
    <x:row r="15" ht="39" customHeight="1">
      <x:c r="A15" s="16" t="str">
        <x:v>Evidence standard: record a series ID or publication, observation/forecast period, exact value, URL or document reference, retrieval date, and a short interpretation. Use the Numerical Expectations tab for final numeric forecasts.</x:v>
      </x:c>
      <x:c r="B15" s="16"/>
      <x:c r="C15" s="16"/>
      <x:c r="D15" s="16"/>
      <x:c r="E15" s="16"/>
    </x:row>
  </x:sheetData>
  <x:mergeCells>
    <x:mergeCell ref="A1:E1"/>
    <x:mergeCell ref="A2:E2"/>
    <x:mergeCell ref="A15:E15"/>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2" hidden="0" customWidth="1"/>
    <x:col min="2" max="2" width="35" hidden="0" customWidth="1"/>
    <x:col min="3" max="3" width="35" hidden="0" customWidth="1"/>
    <x:col min="4" max="4" width="32" hidden="0" customWidth="1"/>
    <x:col min="5" max="5" width="39" hidden="0" customWidth="1"/>
    <x:col min="6" max="6" width="25" hidden="0" customWidth="1"/>
    <x:col min="7" max="7" width="42" hidden="0" customWidth="1"/>
    <x:col min="8" max="8" width="22" hidden="0" customWidth="1"/>
  </x:cols>
  <x:sheetData>
    <x:row r="1" ht="35" customHeight="1">
      <x:c r="A1" s="3" t="str">
        <x:v>Initial estimate vs AI | verification trail</x:v>
      </x:c>
      <x:c r="B1" s="3"/>
      <x:c r="C1" s="3"/>
      <x:c r="D1" s="3"/>
      <x:c r="E1" s="3"/>
      <x:c r="F1" s="3"/>
      <x:c r="G1" s="3"/>
      <x:c r="H1" s="3"/>
    </x:row>
    <x:row r="2" ht="38" customHeight="1">
      <x:c r="A2" s="7" t="str">
        <x:v>Human-first means column B is completed before AI use. Summarize AI output; independently check material claims and record what changed. AI text is not a source.</x:v>
      </x:c>
      <x:c r="B2" s="7"/>
      <x:c r="C2" s="7"/>
      <x:c r="D2" s="7"/>
      <x:c r="E2" s="7"/>
      <x:c r="F2" s="7"/>
      <x:c r="G2" s="7"/>
      <x:c r="H2" s="7"/>
    </x:row>
    <x:row r="4" ht="31" customHeight="1">
      <x:c r="A4" s="21" t="str">
        <x:v>Topic</x:v>
      </x:c>
      <x:c r="B4" s="21" t="str">
        <x:v>Human initial view</x:v>
      </x:c>
      <x:c r="C4" s="21" t="str">
        <x:v>AI challenge / alternative</x:v>
      </x:c>
      <x:c r="D4" s="21" t="str">
        <x:v>Claim or number to verify</x:v>
      </x:c>
      <x:c r="E4" s="21" t="str">
        <x:v>Independent source, as-of period/date</x:v>
      </x:c>
      <x:c r="F4" s="21" t="str">
        <x:v>Accept / reject / uncertain</x:v>
      </x:c>
      <x:c r="G4" s="21" t="str">
        <x:v>Final view and reason for change</x:v>
      </x:c>
      <x:c r="H4" s="21" t="str">
        <x:v>Peer reviewer</x:v>
      </x:c>
    </x:row>
    <x:row r="5" ht="65" customHeight="1">
      <x:c r="A5" t="str">
        <x:v>Economic regime</x:v>
      </x:c>
      <x:c r="B5" s="12"/>
      <x:c r="C5" s="12"/>
      <x:c r="D5" s="12"/>
      <x:c r="E5" s="12"/>
      <x:c r="F5" s="12"/>
      <x:c r="G5" s="12"/>
      <x:c r="H5" s="12"/>
    </x:row>
    <x:row r="6" ht="65" customHeight="1">
      <x:c r="A6" t="str">
        <x:v>Real GDP growth</x:v>
      </x:c>
      <x:c r="B6" s="12"/>
      <x:c r="C6" s="12"/>
      <x:c r="D6" s="12"/>
      <x:c r="E6" s="12"/>
      <x:c r="F6" s="12"/>
      <x:c r="G6" s="12"/>
      <x:c r="H6" s="12"/>
    </x:row>
    <x:row r="7" ht="65" customHeight="1">
      <x:c r="A7" t="str">
        <x:v>Inflation expectations</x:v>
      </x:c>
      <x:c r="B7" s="12"/>
      <x:c r="C7" s="12"/>
      <x:c r="D7" s="12"/>
      <x:c r="E7" s="12"/>
      <x:c r="F7" s="12"/>
      <x:c r="G7" s="12"/>
      <x:c r="H7" s="12"/>
    </x:row>
    <x:row r="8" ht="65" customHeight="1">
      <x:c r="A8" t="str">
        <x:v>Fed funds path</x:v>
      </x:c>
      <x:c r="B8" s="12"/>
      <x:c r="C8" s="12"/>
      <x:c r="D8" s="12"/>
      <x:c r="E8" s="12"/>
      <x:c r="F8" s="12"/>
      <x:c r="G8" s="12"/>
      <x:c r="H8" s="12"/>
    </x:row>
    <x:row r="9" ht="65" customHeight="1">
      <x:c r="A9" t="str">
        <x:v>Consumer sentiment</x:v>
      </x:c>
      <x:c r="B9" s="12"/>
      <x:c r="C9" s="12"/>
      <x:c r="D9" s="12"/>
      <x:c r="E9" s="12"/>
      <x:c r="F9" s="12"/>
      <x:c r="G9" s="12"/>
      <x:c r="H9" s="12"/>
    </x:row>
    <x:row r="10" ht="65" customHeight="1">
      <x:c r="A10" t="str">
        <x:v>Primary risk / yield curve</x:v>
      </x:c>
      <x:c r="B10" s="12"/>
      <x:c r="C10" s="12"/>
      <x:c r="D10" s="12"/>
      <x:c r="E10" s="12"/>
      <x:c r="F10" s="12"/>
      <x:c r="G10" s="12"/>
      <x:c r="H10" s="12"/>
    </x:row>
    <x:row r="12" ht="39" customHeight="1">
      <x:c r="A12" s="16" t="str">
        <x:v>If AI was not used, write “Not used” in the AI challenge field and still complete the human evidence and final view. Never paste client private data or licensed FactSet captures into an AI tool.</x:v>
      </x:c>
      <x:c r="B12" s="16"/>
      <x:c r="C12" s="16"/>
      <x:c r="D12" s="16"/>
      <x:c r="E12" s="16"/>
      <x:c r="F12" s="16"/>
      <x:c r="G12" s="16"/>
      <x:c r="H12" s="16"/>
    </x:row>
  </x:sheetData>
  <x:mergeCells>
    <x:mergeCell ref="A1:H1"/>
    <x:mergeCell ref="A2:H2"/>
    <x:mergeCell ref="A12:H12"/>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17" hidden="0" customWidth="1"/>
    <x:col min="3" max="3" width="19" hidden="0" customWidth="1"/>
    <x:col min="4" max="4" width="19" hidden="0" customWidth="1"/>
    <x:col min="5" max="5" width="47" hidden="0" customWidth="1"/>
    <x:col min="6" max="6" width="20" hidden="0" customWidth="1"/>
    <x:col min="7" max="7" width="27" hidden="0" customWidth="1"/>
    <x:col min="8" max="8" width="18" hidden="0" customWidth="1"/>
    <x:col min="9" max="9" width="43" hidden="0" customWidth="1"/>
    <x:col min="10" max="10" width="25" hidden="0" customWidth="1"/>
  </x:cols>
  <x:sheetData>
    <x:row r="1" ht="35" customHeight="1">
      <x:c r="A1" s="3" t="str">
        <x:v>Numerical expectations | 12-month base forecast</x:v>
      </x:c>
      <x:c r="B1" s="3"/>
      <x:c r="C1" s="3"/>
      <x:c r="D1" s="3"/>
      <x:c r="E1" s="3"/>
      <x:c r="F1" s="3"/>
      <x:c r="G1" s="3"/>
      <x:c r="H1" s="3"/>
      <x:c r="I1" s="3"/>
      <x:c r="J1" s="3"/>
    </x:row>
    <x:row r="2" ht="38" customHeight="1">
      <x:c r="A2" s="7" t="str">
        <x:v>B and C show the latest observed value and its period. Enter a comparable external 12-month forecast when available; record source, publication/as-of date, exact measure and horizon. H is your team base forecast.</x:v>
      </x:c>
      <x:c r="B2" s="7"/>
      <x:c r="C2" s="7"/>
      <x:c r="D2" s="7"/>
      <x:c r="E2" s="7"/>
      <x:c r="F2" s="7"/>
      <x:c r="G2" s="7"/>
      <x:c r="H2" s="7"/>
      <x:c r="I2" s="7"/>
      <x:c r="J2" s="7"/>
    </x:row>
    <x:row r="4" ht="31" customHeight="1">
      <x:c r="A4" s="21" t="str">
        <x:v>Measure</x:v>
      </x:c>
      <x:c r="B4" s="21" t="str">
        <x:v>Latest observed</x:v>
      </x:c>
      <x:c r="C4" s="21" t="str">
        <x:v>Observation period</x:v>
      </x:c>
      <x:c r="D4" s="21" t="str">
        <x:v>External comparable forecast</x:v>
      </x:c>
      <x:c r="E4" s="21" t="str">
        <x:v>Source URL or document</x:v>
      </x:c>
      <x:c r="F4" s="21" t="str">
        <x:v>Publication / as-of date</x:v>
      </x:c>
      <x:c r="G4" s="21" t="str">
        <x:v>External measure and horizon</x:v>
      </x:c>
      <x:c r="H4" s="21" t="str">
        <x:v>Team base: 12 months</x:v>
      </x:c>
      <x:c r="I4" s="21" t="str">
        <x:v>Rationale and supporting evidence</x:v>
      </x:c>
      <x:c r="J4" s="21" t="str">
        <x:v>Reviewer / uncertainty</x:v>
      </x:c>
    </x:row>
    <x:row r="5" ht="71" customHeight="1">
      <x:c r="A5" t="str">
        <x:v>Real GDP growth, 4-quarter YoY</x:v>
      </x:c>
      <x:c r="B5" s="36" t="n">
        <x:f>'Historical Data'!D28</x:f>
        <x:v>0.020976715470160112</x:v>
      </x:c>
      <x:c r="C5" s="35" t="str">
        <x:v>2026 Q2</x:v>
      </x:c>
      <x:c r="D5" s="37"/>
      <x:c r="E5" s="12"/>
      <x:c r="F5" s="12"/>
      <x:c r="G5" s="12"/>
      <x:c r="H5" s="37"/>
      <x:c r="I5" s="12"/>
      <x:c r="J5" s="12"/>
    </x:row>
    <x:row r="6" ht="71" customHeight="1">
      <x:c r="A6" t="str">
        <x:v>CPI-U inflation, 12-month YoY</x:v>
      </x:c>
      <x:c r="B6" s="36" t="n">
        <x:f>'Historical Data'!J64</x:f>
        <x:v>0.033965478924364856</x:v>
      </x:c>
      <x:c r="C6" s="35" t="str">
        <x:v>2026-08</x:v>
      </x:c>
      <x:c r="D6" s="37"/>
      <x:c r="E6" s="12"/>
      <x:c r="F6" s="12"/>
      <x:c r="G6" s="12"/>
      <x:c r="H6" s="37"/>
      <x:c r="I6" s="12"/>
      <x:c r="J6" s="12"/>
    </x:row>
    <x:row r="7" ht="71" customHeight="1">
      <x:c r="A7" t="str">
        <x:v>Effective fed funds rate</x:v>
      </x:c>
      <x:c r="B7" s="36" t="n">
        <x:f>'Historical Data'!M64</x:f>
        <x:v>0.0363</x:v>
      </x:c>
      <x:c r="C7" s="35" t="str">
        <x:v>2026-08</x:v>
      </x:c>
      <x:c r="D7" s="37"/>
      <x:c r="E7" s="12"/>
      <x:c r="F7" s="12"/>
      <x:c r="G7" s="12"/>
      <x:c r="H7" s="37"/>
      <x:c r="I7" s="12"/>
      <x:c r="J7" s="12"/>
    </x:row>
    <x:row r="8" ht="71" customHeight="1">
      <x:c r="A8" t="str">
        <x:v>Consumer sentiment index</x:v>
      </x:c>
      <x:c r="B8" s="38" t="n">
        <x:f>'Historical Data'!L64</x:f>
        <x:v>51.7</x:v>
      </x:c>
      <x:c r="C8" s="35" t="str">
        <x:v>2026-08</x:v>
      </x:c>
      <x:c r="D8" s="39"/>
      <x:c r="E8" s="12"/>
      <x:c r="F8" s="12"/>
      <x:c r="G8" s="12"/>
      <x:c r="H8" s="39"/>
      <x:c r="I8" s="12"/>
      <x:c r="J8" s="12"/>
    </x:row>
    <x:row r="10" ht="39" customHeight="1">
      <x:c r="A10" s="16" t="str">
        <x:v>Use a numeric forecast in D only if the external measure and horizon are comparable. If no defensible sentiment forecast exists, leave D blank and explain in G/I. Do not present a current FRED observation as a forecast.</x:v>
      </x:c>
      <x:c r="B10" s="16"/>
      <x:c r="C10" s="16"/>
      <x:c r="D10" s="16"/>
      <x:c r="E10" s="16"/>
      <x:c r="F10" s="16"/>
      <x:c r="G10" s="16"/>
      <x:c r="H10" s="16"/>
      <x:c r="I10" s="16"/>
      <x:c r="J10" s="16"/>
    </x:row>
    <x:row r="11" ht="39" customHeight="1">
      <x:c r="A11" s="16" t="str">
        <x:v>The Base row on Bull Base Bear Cases links to your team forecasts in H5:H8. Change the base forecast here, then document bull and bear changes on the scenario tab.</x:v>
      </x:c>
      <x:c r="B11" s="16"/>
      <x:c r="C11" s="16"/>
      <x:c r="D11" s="16"/>
      <x:c r="E11" s="16"/>
      <x:c r="F11" s="16"/>
      <x:c r="G11" s="16"/>
      <x:c r="H11" s="16"/>
      <x:c r="I11" s="16"/>
      <x:c r="J11" s="16"/>
    </x:row>
  </x:sheetData>
  <x:mergeCells>
    <x:mergeCell ref="A1:J1"/>
    <x:mergeCell ref="A2:J2"/>
    <x:mergeCell ref="A10:J10"/>
    <x:mergeCell ref="A11:J11"/>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1" hidden="0" customWidth="1"/>
    <x:col min="3" max="3" width="34" hidden="0" customWidth="1"/>
    <x:col min="4" max="4" width="25" hidden="0" customWidth="1"/>
    <x:col min="5" max="5" width="25" hidden="0" customWidth="1"/>
    <x:col min="6" max="6" width="25" hidden="0" customWidth="1"/>
    <x:col min="7" max="7" width="31" hidden="0" customWidth="1"/>
    <x:col min="8" max="8" width="38" hidden="0" customWidth="1"/>
    <x:col min="9" max="9" width="25" hidden="0" customWidth="1"/>
  </x:cols>
  <x:sheetData>
    <x:row r="1" ht="35" customHeight="1">
      <x:c r="A1" s="3" t="str">
        <x:v>Risk matrix | signals and response</x:v>
      </x:c>
      <x:c r="B1" s="3"/>
      <x:c r="C1" s="3"/>
      <x:c r="D1" s="3"/>
      <x:c r="E1" s="3"/>
      <x:c r="F1" s="3"/>
      <x:c r="G1" s="3"/>
      <x:c r="H1" s="3"/>
      <x:c r="I1" s="3"/>
    </x:row>
    <x:row r="2" ht="38" customHeight="1">
      <x:c r="A2" s="7" t="str">
        <x:v>Use current historical observations as starting evidence. Record what each scenario assumes and what the team would watch; this is a qualitative challenge table, not a calculated sensitivity model.</x:v>
      </x:c>
      <x:c r="B2" s="7"/>
      <x:c r="C2" s="7"/>
      <x:c r="D2" s="7"/>
      <x:c r="E2" s="7"/>
      <x:c r="F2" s="7"/>
      <x:c r="G2" s="7"/>
      <x:c r="H2" s="7"/>
      <x:c r="I2" s="7"/>
    </x:row>
    <x:row r="4" ht="31" customHeight="1">
      <x:c r="A4" s="21" t="str">
        <x:v>Risk signal</x:v>
      </x:c>
      <x:c r="B4" s="21" t="str">
        <x:v>Latest observation</x:v>
      </x:c>
      <x:c r="C4" s="21" t="str">
        <x:v>Source and observation period</x:v>
      </x:c>
      <x:c r="D4" s="21" t="str">
        <x:v>Bull interpretation</x:v>
      </x:c>
      <x:c r="E4" s="21" t="str">
        <x:v>Base interpretation</x:v>
      </x:c>
      <x:c r="F4" s="21" t="str">
        <x:v>Bear interpretation</x:v>
      </x:c>
      <x:c r="G4" s="21" t="str">
        <x:v>Watch trigger / threshold</x:v>
      </x:c>
      <x:c r="H4" s="21" t="str">
        <x:v>Client or asset response</x:v>
      </x:c>
      <x:c r="I4" s="21" t="str">
        <x:v>Owner / review date</x:v>
      </x:c>
    </x:row>
    <x:row r="5" ht="67" customHeight="1">
      <x:c r="A5" t="str">
        <x:v>Inflation, CPI 12-mo YoY</x:v>
      </x:c>
      <x:c r="B5" s="27" t="n">
        <x:f>'Historical Data'!J64</x:f>
        <x:v>0.033965478924364856</x:v>
      </x:c>
      <x:c r="C5" t="str">
        <x:v>CPIAUCNS / 2026-08</x:v>
      </x:c>
      <x:c r="D5" s="12"/>
      <x:c r="E5" s="12"/>
      <x:c r="F5" s="12"/>
      <x:c r="G5" s="12"/>
      <x:c r="H5" s="12"/>
      <x:c r="I5" s="12"/>
    </x:row>
    <x:row r="6" ht="67" customHeight="1">
      <x:c r="A6" t="str">
        <x:v>Real GDP, 4q YoY</x:v>
      </x:c>
      <x:c r="B6" s="27" t="n">
        <x:f>'Historical Data'!D28</x:f>
        <x:v>0.020976715470160112</x:v>
      </x:c>
      <x:c r="C6" t="str">
        <x:v>GDPC1 / 2026 Q2</x:v>
      </x:c>
      <x:c r="D6" s="12"/>
      <x:c r="E6" s="12"/>
      <x:c r="F6" s="12"/>
      <x:c r="G6" s="12"/>
      <x:c r="H6" s="12"/>
      <x:c r="I6" s="12"/>
    </x:row>
    <x:row r="7" ht="67" customHeight="1">
      <x:c r="A7" t="str">
        <x:v>10Y–2Y monthly mean</x:v>
      </x:c>
      <x:c r="B7" s="28" t="n">
        <x:f>'Historical Data'!K64</x:f>
        <x:v>0.4680952380952383</x:v>
      </x:c>
      <x:c r="C7" t="str">
        <x:v>T10Y2Y / 2026-08</x:v>
      </x:c>
      <x:c r="D7" s="12"/>
      <x:c r="E7" s="12"/>
      <x:c r="F7" s="12"/>
      <x:c r="G7" s="12"/>
      <x:c r="H7" s="12"/>
      <x:c r="I7" s="12"/>
    </x:row>
    <x:row r="8" ht="67" customHeight="1">
      <x:c r="A8" t="str">
        <x:v>U-M sentiment index</x:v>
      </x:c>
      <x:c r="B8" s="29" t="n">
        <x:f>'Historical Data'!L64</x:f>
        <x:v>51.7</x:v>
      </x:c>
      <x:c r="C8" t="str">
        <x:v>UMCSENT / 2026-08</x:v>
      </x:c>
      <x:c r="D8" s="12"/>
      <x:c r="E8" s="12"/>
      <x:c r="F8" s="12"/>
      <x:c r="G8" s="12"/>
      <x:c r="H8" s="12"/>
      <x:c r="I8" s="12"/>
    </x:row>
    <x:row r="9" ht="67" customHeight="1">
      <x:c r="A9" t="str">
        <x:v>Effective fed funds rate</x:v>
      </x:c>
      <x:c r="B9" s="27" t="n">
        <x:f>'Historical Data'!M64</x:f>
        <x:v>0.0363</x:v>
      </x:c>
      <x:c r="C9" t="str">
        <x:v>FEDFUNDS / 2026-08</x:v>
      </x:c>
      <x:c r="D9" s="12"/>
      <x:c r="E9" s="12"/>
      <x:c r="F9" s="12"/>
      <x:c r="G9" s="12"/>
      <x:c r="H9" s="12"/>
      <x:c r="I9" s="12"/>
    </x:row>
    <x:row r="11" ht="39" customHeight="1">
      <x:c r="A11" s="16" t="str">
        <x:v>Evidence field standard: cite a series or publication and observation/forecast period. State a testable threshold in G and a decision response in H; do not write “recession certain” solely because the curve inverted.</x:v>
      </x:c>
      <x:c r="B11" s="16"/>
      <x:c r="C11" s="16"/>
      <x:c r="D11" s="16"/>
      <x:c r="E11" s="16"/>
      <x:c r="F11" s="16"/>
      <x:c r="G11" s="16"/>
      <x:c r="H11" s="16"/>
      <x:c r="I11" s="16"/>
    </x:row>
  </x:sheetData>
  <x:mergeCells>
    <x:mergeCell ref="A1:I1"/>
    <x:mergeCell ref="A2:I2"/>
    <x:mergeCell ref="A11:I11"/>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16" hidden="0" customWidth="1"/>
    <x:col min="3" max="3" width="20" hidden="0" customWidth="1"/>
    <x:col min="4" max="4" width="20" hidden="0" customWidth="1"/>
    <x:col min="5" max="5" width="18" hidden="0" customWidth="1"/>
    <x:col min="6" max="6" width="19" hidden="0" customWidth="1"/>
    <x:col min="7" max="7" width="31" hidden="0" customWidth="1"/>
    <x:col min="8" max="8" width="43" hidden="0" customWidth="1"/>
    <x:col min="9" max="9" width="36" hidden="0" customWidth="1"/>
    <x:col min="10" max="10" width="34" hidden="0" customWidth="1"/>
  </x:cols>
  <x:sheetData>
    <x:row r="1" ht="35" customHeight="1">
      <x:c r="A1" s="3" t="str">
        <x:v>Bull, base and bear | probability-weighted forecast</x:v>
      </x:c>
      <x:c r="B1" s="3"/>
      <x:c r="C1" s="3"/>
      <x:c r="D1" s="3"/>
      <x:c r="E1" s="3"/>
      <x:c r="F1" s="3"/>
      <x:c r="G1" s="3"/>
      <x:c r="H1" s="3"/>
      <x:c r="I1" s="3"/>
      <x:c r="J1" s="3"/>
    </x:row>
    <x:row r="2" ht="38" customHeight="1">
      <x:c r="A2" s="7" t="str">
        <x:v>Use the same 12-month horizon and measures in every case. Enter probabilities and bull/bear numbers. The base case links to Numerical Expectations; weighted outcomes calculate only when all three cases are complete.</x:v>
      </x:c>
      <x:c r="B2" s="7"/>
      <x:c r="C2" s="7"/>
      <x:c r="D2" s="7"/>
      <x:c r="E2" s="7"/>
      <x:c r="F2" s="7"/>
      <x:c r="G2" s="7"/>
      <x:c r="H2" s="7"/>
      <x:c r="I2" s="7"/>
      <x:c r="J2" s="7"/>
    </x:row>
    <x:row r="4" ht="31" customHeight="1">
      <x:c r="A4" s="21" t="str">
        <x:v>Case</x:v>
      </x:c>
      <x:c r="B4" s="21" t="str">
        <x:v>Probability</x:v>
      </x:c>
      <x:c r="C4" s="21" t="str">
        <x:v>Real GDP 4q YoY</x:v>
      </x:c>
      <x:c r="D4" s="21" t="str">
        <x:v>CPI 12-mo YoY</x:v>
      </x:c>
      <x:c r="E4" s="21" t="str">
        <x:v>Fed funds rate</x:v>
      </x:c>
      <x:c r="F4" s="21" t="str">
        <x:v>Sentiment index</x:v>
      </x:c>
      <x:c r="G4" s="21" t="str">
        <x:v>Distinct driver / trigger</x:v>
      </x:c>
      <x:c r="H4" s="21" t="str">
        <x:v>Evidence, source, as-of date</x:v>
      </x:c>
      <x:c r="I4" s="21" t="str">
        <x:v>Client or asset implication</x:v>
      </x:c>
      <x:c r="J4" s="21" t="str">
        <x:v>Disconfirming signal / response</x:v>
      </x:c>
    </x:row>
    <x:row r="5" ht="82" customHeight="1">
      <x:c r="A5" t="str">
        <x:v>Bull</x:v>
      </x:c>
      <x:c r="B5" s="37"/>
      <x:c r="C5" s="37"/>
      <x:c r="D5" s="37"/>
      <x:c r="E5" s="37"/>
      <x:c r="F5" s="39"/>
      <x:c r="G5" s="12"/>
      <x:c r="H5" s="12"/>
      <x:c r="I5" s="12"/>
      <x:c r="J5" s="12"/>
    </x:row>
    <x:row r="6" ht="82" customHeight="1">
      <x:c r="A6" t="str">
        <x:v>Base</x:v>
      </x:c>
      <x:c r="B6" s="37"/>
      <x:c r="C6" s="42" t="str">
        <x:f>IF('Numerical Expectations'!H5="","",'Numerical Expectations'!H5)</x:f>
      </x:c>
      <x:c r="D6" s="42" t="str">
        <x:f>IF('Numerical Expectations'!H6="","",'Numerical Expectations'!H6)</x:f>
      </x:c>
      <x:c r="E6" s="42" t="str">
        <x:f>IF('Numerical Expectations'!H7="","",'Numerical Expectations'!H7)</x:f>
      </x:c>
      <x:c r="F6" s="43" t="str">
        <x:f>IF('Numerical Expectations'!H8="","",'Numerical Expectations'!H8)</x:f>
      </x:c>
      <x:c r="G6" s="12"/>
      <x:c r="H6" s="12"/>
      <x:c r="I6" s="12"/>
      <x:c r="J6" s="12"/>
    </x:row>
    <x:row r="7" ht="82" customHeight="1">
      <x:c r="A7" t="str">
        <x:v>Bear</x:v>
      </x:c>
      <x:c r="B7" s="37"/>
      <x:c r="C7" s="37"/>
      <x:c r="D7" s="37"/>
      <x:c r="E7" s="37"/>
      <x:c r="F7" s="39"/>
      <x:c r="G7" s="12"/>
      <x:c r="H7" s="12"/>
      <x:c r="I7" s="12"/>
      <x:c r="J7" s="12"/>
    </x:row>
    <x:row r="9" ht="31" customHeight="1">
      <x:c r="A9" s="46" t="str">
        <x:v>Weighted result</x:v>
      </x:c>
      <x:c r="B9" s="47" t="str">
        <x:f>IF(COUNT(B5:B7)=0,"",SUM(B5:B7))</x:f>
      </x:c>
      <x:c r="C9" s="47" t="str">
        <x:f>IF(OR(COUNT($B$5:$B$7)&lt;&gt;3,ABS(SUM($B$5:$B$7)-1)&gt;0.000001,COUNT(C5:C7)&lt;&gt;3),"",SUMPRODUCT($B$5:$B$7,C5:C7))</x:f>
      </x:c>
      <x:c r="D9" s="47" t="str">
        <x:f>IF(OR(COUNT($B$5:$B$7)&lt;&gt;3,ABS(SUM($B$5:$B$7)-1)&gt;0.000001,COUNT(D5:D7)&lt;&gt;3),"",SUMPRODUCT($B$5:$B$7,D5:D7))</x:f>
      </x:c>
      <x:c r="E9" s="47" t="str">
        <x:f>IF(OR(COUNT($B$5:$B$7)&lt;&gt;3,ABS(SUM($B$5:$B$7)-1)&gt;0.000001,COUNT(E5:E7)&lt;&gt;3),"",SUMPRODUCT($B$5:$B$7,E5:E7))</x:f>
      </x:c>
      <x:c r="F9" s="48" t="str">
        <x:f>IF(OR(COUNT($B$5:$B$7)&lt;&gt;3,ABS(SUM($B$5:$B$7)-1)&gt;0.000001,COUNT(F5:F7)&lt;&gt;3),"",SUMPRODUCT($B$5:$B$7,F5:F7))</x:f>
      </x:c>
      <x:c r="G9" s="46"/>
      <x:c r="H9" s="46"/>
      <x:c r="I9" s="46"/>
      <x:c r="J9" s="46"/>
    </x:row>
    <x:row r="10" ht="31" customHeight="1">
      <x:c r="A10" s="46" t="str">
        <x:v>Probability check</x:v>
      </x:c>
      <x:c r="B10" s="46" t="str">
        <x:f>IF(COUNT(B5:B7)&lt;&gt;3,"ENTER 3 PROBABILITIES",IF(ABS(SUM(B5:B7)-1)&lt;0.000001,"READY: 100%","CHECK: MUST TOTAL 100%"))</x:f>
        <x:v>ENTER 3 PROBABILITIES</x:v>
      </x:c>
      <x:c r="C10" s="46"/>
      <x:c r="D10" s="46"/>
      <x:c r="E10" s="46"/>
      <x:c r="F10" s="46"/>
      <x:c r="G10" s="46"/>
      <x:c r="H10" s="46"/>
      <x:c r="I10" s="46"/>
      <x:c r="J10" s="46"/>
    </x:row>
    <x:row r="12" ht="39" customHeight="1">
      <x:c r="A12" s="16" t="str">
        <x:v>Bull and bear are distinct plausible states, not later project phases. Explain why each case differs from base, how probabilities were judged, what would make the team revise them, and what the result changes for a client.</x:v>
      </x:c>
      <x:c r="B12" s="16"/>
      <x:c r="C12" s="16"/>
      <x:c r="D12" s="16"/>
      <x:c r="E12" s="16"/>
      <x:c r="F12" s="16"/>
      <x:c r="G12" s="16"/>
      <x:c r="H12" s="16"/>
      <x:c r="I12" s="16"/>
      <x:c r="J12" s="16"/>
    </x:row>
  </x:sheetData>
  <x:mergeCells>
    <x:mergeCell ref="A1:J1"/>
    <x:mergeCell ref="A2:J2"/>
    <x:mergeCell ref="A12:J12"/>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44" hidden="0" customWidth="1"/>
    <x:col min="3" max="3" width="44" hidden="0" customWidth="1"/>
    <x:col min="4" max="4" width="44" hidden="0" customWidth="1"/>
  </x:cols>
  <x:sheetData>
    <x:row r="1" ht="35" customHeight="1">
      <x:c r="A1" s="3" t="str">
        <x:v>Reading the 10Y–2Y Treasury spread</x:v>
      </x:c>
      <x:c r="B1" s="3"/>
      <x:c r="C1" s="3"/>
      <x:c r="D1" s="3"/>
    </x:row>
    <x:row r="2" ht="38" customHeight="1">
      <x:c r="A2" s="7" t="str">
        <x:v>Reference for interpreting the monthly average on Historical Data. Use it as one indicator alongside growth, inflation, policy, and client constraints.</x:v>
      </x:c>
      <x:c r="B2" s="7"/>
      <x:c r="C2" s="7"/>
      <x:c r="D2" s="7"/>
    </x:row>
    <x:row r="4" ht="31" customHeight="1">
      <x:c r="A4" s="21" t="str">
        <x:v>Idea</x:v>
      </x:c>
      <x:c r="B4" s="21" t="str">
        <x:v>What the measure says</x:v>
      </x:c>
      <x:c r="C4" s="21" t="str">
        <x:v>What it does not prove</x:v>
      </x:c>
      <x:c r="D4" s="21" t="str">
        <x:v>Use in this assignment</x:v>
      </x:c>
    </x:row>
    <x:row r="5" ht="77" customHeight="1">
      <x:c r="A5" s="23" t="str">
        <x:v>Definition</x:v>
      </x:c>
      <x:c r="B5" s="23" t="str">
        <x:v>10-year Treasury yield minus 2-year Treasury yield, quoted in percentage points.</x:v>
      </x:c>
      <x:c r="C5" s="23" t="str">
        <x:v>It is not the fed funds rate or a portfolio return.</x:v>
      </x:c>
      <x:c r="D5" s="23" t="str">
        <x:v>Use the T10Y2Y monthly mean in Historical Data.</x:v>
      </x:c>
    </x:row>
    <x:row r="6" ht="77" customHeight="1">
      <x:c r="A6" s="23" t="str">
        <x:v>Inversion</x:v>
      </x:c>
      <x:c r="B6" s="23" t="str">
        <x:v>A negative value means the 2-year yield exceeds the 10-year yield.</x:v>
      </x:c>
      <x:c r="C6" s="23" t="str">
        <x:v>An inversion does not guarantee a recession or date one precisely.</x:v>
      </x:c>
      <x:c r="D6" s="23" t="str">
        <x:v>Count negative monthly means in the latest 24 months.</x:v>
      </x:c>
    </x:row>
    <x:row r="7" ht="77" customHeight="1">
      <x:c r="A7" s="23" t="str">
        <x:v>Interpretation</x:v>
      </x:c>
      <x:c r="B7" s="23" t="str">
        <x:v>The curve reflects bond-market pricing of expected policy, inflation, term premia, and risks.</x:v>
      </x:c>
      <x:c r="C7" s="23" t="str">
        <x:v>A single spread does not isolate one cause or mechanically stop bank lending.</x:v>
      </x:c>
      <x:c r="D7" s="23" t="str">
        <x:v>Compare with GDP, inflation, sentiment, and policy evidence.</x:v>
      </x:c>
    </x:row>
    <x:row r="8" ht="77" customHeight="1">
      <x:c r="A8" s="23" t="str">
        <x:v>Forecast use</x:v>
      </x:c>
      <x:c r="B8" s="23" t="str">
        <x:v>Discuss how a changing spread might challenge a 12-month macro case.</x:v>
      </x:c>
      <x:c r="C8" s="23" t="str">
        <x:v>Do not copy a stale observation into a current forecast.</x:v>
      </x:c>
      <x:c r="D8" s="23" t="str">
        <x:v>State the observation period, source date, uncertainty, and what would change the view.</x:v>
      </x:c>
    </x:row>
    <x:row r="10" ht="39" customHeight="1">
      <x:c r="A10" s="16" t="str">
        <x:v>Sources: FRED T10Y2Y historical data (https://fred.stlouisfed.org/series/T10Y2Y) and Federal Reserve Bank of Cleveland yield-curve indicator (https://www.clevelandfed.org/indicators-and-data/yield-curve-and-predicted-gdp-growth).</x:v>
      </x:c>
      <x:c r="B10" s="16"/>
      <x:c r="C10" s="16"/>
      <x:c r="D10" s="16"/>
    </x:row>
  </x:sheetData>
  <x:mergeCells>
    <x:mergeCell ref="A1:D1"/>
    <x:mergeCell ref="A2:D2"/>
    <x:mergeCell ref="A10:D10"/>
  </x:mergeCells>
  <x:pageMargins left="0.7" right="0.7" top="0.75" bottom="0.75" header="0.3" footer="0.3"/>
</x:worksheet>
</file>