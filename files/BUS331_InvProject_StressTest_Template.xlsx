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1.xml" ContentType="application/vnd.openxmlformats-officedocument.spreadsheetml.comments+xml"/>
  <Override PartName="/xl/worksheets/sheet4.xml" ContentType="application/vnd.openxmlformats-officedocument.spreadsheetml.worksheet+xml"/>
  <Override PartName="/xl/comments2.xml" ContentType="application/vnd.openxmlformats-officedocument.spreadsheetml.comments+xml"/>
  <Override PartName="/xl/worksheets/sheet5.xml" ContentType="application/vnd.openxmlformats-officedocument.spreadsheetml.worksheet+xml"/>
  <Override PartName="/xl/comments3.xml" ContentType="application/vnd.openxmlformats-officedocument.spreadsheetml.comments+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79188cdbc344b2d" /></Relationships>
</file>

<file path=xl/workbook.xml><?xml version="1.0" encoding="utf-8"?>
<x:workbook xmlns:x="http://schemas.openxmlformats.org/spreadsheetml/2006/main">
  <x:sheets>
    <x:sheet xmlns:r="http://schemas.openxmlformats.org/officeDocument/2006/relationships" name="START HERE" sheetId="1" r:id="Ra751a2d8d3f145a1"/>
    <x:sheet xmlns:r="http://schemas.openxmlformats.org/officeDocument/2006/relationships" name="SUMMARY" sheetId="2" r:id="R9c5763a73c8f44e1"/>
    <x:sheet xmlns:r="http://schemas.openxmlformats.org/officeDocument/2006/relationships" name="Client 1" sheetId="3" r:id="Rd5fb0cd4e101492c"/>
    <x:sheet xmlns:r="http://schemas.openxmlformats.org/officeDocument/2006/relationships" name="Client 2" sheetId="4" r:id="R5ef4c4ca42eb409b"/>
    <x:sheet xmlns:r="http://schemas.openxmlformats.org/officeDocument/2006/relationships" name="Client 3" sheetId="5" r:id="Rabe819069bf94e0a"/>
    <x:sheet xmlns:r="http://schemas.openxmlformats.org/officeDocument/2006/relationships" name="SCENARIO REVEAL" sheetId="6" r:id="R268ff1a878c544d5"/>
  </x:sheets>
</x:workbook>
</file>

<file path=xl/comments1.xml><?xml version="1.0" encoding="utf-8"?>
<x:comments xmlns:x="http://schemas.openxmlformats.org/spreadsheetml/2006/main">
  <x:authors>
    <x:author>Unknown Author</x:author>
  </x:authors>
  <x:commentList>
    <x:comment ref="B41" authorId="0">
      <x:text>
        <x:r>
          <x:t>Select BUY, SELL, or HOLD</x:t>
        </x:r>
      </x:text>
    </x:comment>
    <x:comment ref="B42" authorId="0">
      <x:text>
        <x:r>
          <x:t>Select BUY, SELL, or HOLD</x:t>
        </x:r>
      </x:text>
    </x:comment>
    <x:comment ref="B43" authorId="0">
      <x:text>
        <x:r>
          <x:t>Select BUY, SELL, or HOLD</x:t>
        </x:r>
      </x:text>
    </x:comment>
    <x:comment ref="B44" authorId="0">
      <x:text>
        <x:r>
          <x:t>Select BUY, SELL, or HOLD</x:t>
        </x:r>
      </x:text>
    </x:comment>
    <x:comment ref="B45" authorId="0">
      <x:text>
        <x:r>
          <x:t>Select BUY, SELL, or HOLD</x:t>
        </x:r>
      </x:text>
    </x:comment>
    <x:comment ref="B46" authorId="0">
      <x:text>
        <x:r>
          <x:t>Select BUY, SELL, or HOLD</x:t>
        </x:r>
      </x:text>
    </x:comment>
    <x:comment ref="C5" authorId="0">
      <x:text>
        <x:r>
          <x:t>Client name or ID — e.g. Eleanor Vance — Client 1</x:t>
        </x:r>
      </x:text>
    </x:comment>
    <x:comment ref="C10" authorId="0">
      <x:text>
        <x:r>
          <x:t>Bear Case expected return for U.S. Equities. Must match Phase 1 Bear Case table. E.g. –18.0% (Bear Case from Phase 1 scenario table)</x:t>
        </x:r>
      </x:text>
    </x:comment>
    <x:comment ref="C11" authorId="0">
      <x:text>
        <x:r>
          <x:t>Bear Case expected return for Fixed Income. Must match Phase 1 Bear Case table. E.g. –4.5%  (rising rates compress bond prices)</x:t>
        </x:r>
      </x:text>
    </x:comment>
    <x:comment ref="C12" authorId="0">
      <x:text>
        <x:r>
          <x:t>Bear Case expected return for Cash / Cash Equivalents. Must match Phase 1 Bear Case table. E.g. +2.5%  (risk-free rate — stable in Bear Case)</x:t>
        </x:r>
      </x:text>
    </x:comment>
    <x:comment ref="C17" authorId="0">
      <x:text>
        <x:r>
          <x:t>Enter Solver-optimized weight for U.S. Equities from Phase 3 CME Matrix.</x:t>
        </x:r>
      </x:text>
    </x:comment>
    <x:comment ref="C18" authorId="0">
      <x:text>
        <x:r>
          <x:t>Enter Solver-optimized weight for Fixed Income from Phase 3 CME Matrix.</x:t>
        </x:r>
      </x:text>
    </x:comment>
    <x:comment ref="C19" authorId="0">
      <x:text>
        <x:r>
          <x:t>Enter Solver-optimized weight for Cash / Cash Equivalents from Phase 3 CME Matrix.</x:t>
        </x:r>
      </x:text>
    </x:comment>
    <x:comment ref="C25" authorId="0">
      <x:text>
        <x:r>
          <x:t>Current 3-Month T-Bill yield. Source: FRED series TB3MS. This is used in both Base and Bear Case Sharpe Ratio calculations.</x:t>
        </x:r>
      </x:text>
    </x:comment>
    <x:comment ref="C26" authorId="0">
      <x:text>
        <x:r>
          <x:t>Formula auto-calculated from entries above</x:t>
        </x:r>
      </x:text>
    </x:comment>
    <x:comment ref="C27" authorId="0">
      <x:text>
        <x:r>
          <x:t>Enter Portfolio Std Dev (σ) from the Phase 2 allocation and selected holdings.</x:t>
        </x:r>
      </x:text>
    </x:comment>
    <x:comment ref="C28" authorId="0">
      <x:text>
        <x:r>
          <x:t>Formula auto-calculated from entries above</x:t>
        </x:r>
      </x:text>
    </x:comment>
    <x:comment ref="C30" authorId="0">
      <x:text>
        <x:r>
          <x:t>Enter Value at Risk — 95% VaR from the Phase 2 portfolio risk analysis.</x:t>
        </x:r>
      </x:text>
    </x:comment>
    <x:comment ref="C34" authorId="0">
      <x:text>
        <x:r>
          <x:t>IPS maximum drawdown limit from client strip (row 5).</x:t>
        </x:r>
      </x:text>
    </x:comment>
    <x:comment ref="C35" authorId="0">
      <x:text>
        <x:r>
          <x:t>IPS maximum portfolio σ from Phase 2. Enter here for reference.</x:t>
        </x:r>
      </x:text>
    </x:comment>
    <x:comment ref="C41" authorId="0">
      <x:text>
        <x:r>
          <x:t>Security name or asset class. E.g. 'Reduce U.S. Equities' or 'Add Cash'</x:t>
        </x:r>
      </x:text>
    </x:comment>
    <x:comment ref="C42" authorId="0">
      <x:text>
        <x:r>
          <x:t>Security name or asset class. E.g. 'Reduce U.S. Equities' or 'Add Cash'</x:t>
        </x:r>
      </x:text>
    </x:comment>
    <x:comment ref="C43" authorId="0">
      <x:text>
        <x:r>
          <x:t>Security name or asset class. E.g. 'Reduce U.S. Equities' or 'Add Cash'</x:t>
        </x:r>
      </x:text>
    </x:comment>
    <x:comment ref="C44" authorId="0">
      <x:text>
        <x:r>
          <x:t>Security name or asset class. E.g. 'Reduce U.S. Equities' or 'Add Cash'</x:t>
        </x:r>
      </x:text>
    </x:comment>
    <x:comment ref="C45" authorId="0">
      <x:text>
        <x:r>
          <x:t>Security name or asset class. E.g. 'Reduce U.S. Equities' or 'Add Cash'</x:t>
        </x:r>
      </x:text>
    </x:comment>
    <x:comment ref="C46" authorId="0">
      <x:text>
        <x:r>
          <x:t>Security name or asset class. E.g. 'Reduce U.S. Equities' or 'Add Cash'</x:t>
        </x:r>
      </x:text>
    </x:comment>
    <x:comment ref="C52" authorId="0">
      <x:text>
        <x:r>
          <x:t>New weight for U.S. Equities after re-allocation (from Part A)</x:t>
        </x:r>
      </x:text>
    </x:comment>
    <x:comment ref="C53" authorId="0">
      <x:text>
        <x:r>
          <x:t>New weight for Fixed Income after re-allocation (from Part A)</x:t>
        </x:r>
      </x:text>
    </x:comment>
    <x:comment ref="C54" authorId="0">
      <x:text>
        <x:r>
          <x:t>New weight for Cash / Cash Equivalents after re-allocation (from Part A)</x:t>
        </x:r>
      </x:text>
    </x:comment>
    <x:comment ref="C61" authorId="0">
      <x:text>
        <x:r>
          <x:t>Enter final Portfolio Beta (β). Use the weighted average β from the Phase 2 security-selection record.</x:t>
        </x:r>
      </x:text>
    </x:comment>
    <x:comment ref="C62" authorId="0">
      <x:text>
        <x:r>
          <x:t>Enter final Portfolio Std Dev (σ). From Phase 3 CME Matrix Section 3 (Solver output)</x:t>
        </x:r>
      </x:text>
    </x:comment>
    <x:comment ref="C63" authorId="0">
      <x:text>
        <x:r>
          <x:t>Enter final Sharpe Ratio (Base Case). = (Portfolio E(R) – Rf) ÷ σ; Rf from Section 3</x:t>
        </x:r>
      </x:text>
    </x:comment>
    <x:comment ref="C64" authorId="0">
      <x:text>
        <x:r>
          <x:t>Enter final Bear Case Portfolio Return. From Section 2 total row (or Section 5 revised total if re-allocated)</x:t>
        </x:r>
      </x:text>
    </x:comment>
    <x:comment ref="C65" authorId="0">
      <x:text>
        <x:r>
          <x:t>Enter final Bear Case $ P&amp;L. From Section 2 total row (or Section 5 revised total if re-allocated)</x:t>
        </x:r>
      </x:text>
    </x:comment>
    <x:comment ref="C66" authorId="0">
      <x:text>
        <x:r>
          <x:t>Enter PASS or FAIL, matching your Section 4 / Section 5 verdict.</x:t>
        </x:r>
      </x:text>
    </x:comment>
    <x:comment ref="D10" authorId="0">
      <x:text>
        <x:r>
          <x:t>Bear Case standard deviation for U.S. Equities. Must match Phase 1 Bear Case CME Matrix.</x:t>
        </x:r>
      </x:text>
    </x:comment>
    <x:comment ref="D11" authorId="0">
      <x:text>
        <x:r>
          <x:t>Bear Case standard deviation for Fixed Income. Must match Phase 1 Bear Case CME Matrix.</x:t>
        </x:r>
      </x:text>
    </x:comment>
    <x:comment ref="D12" authorId="0">
      <x:text>
        <x:r>
          <x:t>Bear Case standard deviation for Cash / Cash Equivalents. Must match Phase 1 Bear Case CME Matrix.</x:t>
        </x:r>
      </x:text>
    </x:comment>
    <x:comment ref="D17" authorId="0">
      <x:text>
        <x:r>
          <x:t>Dollar allocation = weight × $500,000 AUM</x:t>
        </x:r>
      </x:text>
    </x:comment>
    <x:comment ref="D18" authorId="0">
      <x:text>
        <x:r>
          <x:t>Dollar allocation = weight × $500,000 AUM</x:t>
        </x:r>
      </x:text>
    </x:comment>
    <x:comment ref="D19" authorId="0">
      <x:text>
        <x:r>
          <x:t>Dollar allocation = weight × $500,000 AUM</x:t>
        </x:r>
      </x:text>
    </x:comment>
    <x:comment ref="D26" authorId="0">
      <x:text>
        <x:r>
          <x:t>Enter Bear Case Portfolio Beta (β).</x:t>
        </x:r>
      </x:text>
    </x:comment>
    <x:comment ref="D27" authorId="0">
      <x:text>
        <x:r>
          <x:t>Enter Bear Case Portfolio Std Dev (σ).</x:t>
        </x:r>
      </x:text>
    </x:comment>
    <x:comment ref="D30" authorId="0">
      <x:text>
        <x:r>
          <x:t>Enter Bear Case Value at Risk — 95% VaR.</x:t>
        </x:r>
      </x:text>
    </x:comment>
    <x:comment ref="D34" authorId="0">
      <x:text>
        <x:r>
          <x:t>Bear Case portfolio return from Section 2 total row.</x:t>
        </x:r>
      </x:text>
    </x:comment>
    <x:comment ref="D35" authorId="0">
      <x:text>
        <x:r>
          <x:t>Base Case portfolio σ from risk metrics row 27.</x:t>
        </x:r>
      </x:text>
    </x:comment>
    <x:comment ref="D41" authorId="0">
      <x:text>
        <x:r>
          <x:t>Original weight before re-allocation</x:t>
        </x:r>
      </x:text>
    </x:comment>
    <x:comment ref="D42" authorId="0">
      <x:text>
        <x:r>
          <x:t>Original weight before re-allocation</x:t>
        </x:r>
      </x:text>
    </x:comment>
    <x:comment ref="D43" authorId="0">
      <x:text>
        <x:r>
          <x:t>Original weight before re-allocation</x:t>
        </x:r>
      </x:text>
    </x:comment>
    <x:comment ref="D44" authorId="0">
      <x:text>
        <x:r>
          <x:t>Original weight before re-allocation</x:t>
        </x:r>
      </x:text>
    </x:comment>
    <x:comment ref="D45" authorId="0">
      <x:text>
        <x:r>
          <x:t>Original weight before re-allocation</x:t>
        </x:r>
      </x:text>
    </x:comment>
    <x:comment ref="D46" authorId="0">
      <x:text>
        <x:r>
          <x:t>Original weight before re-allocation</x:t>
        </x:r>
      </x:text>
    </x:comment>
    <x:comment ref="E10" authorId="0">
      <x:text>
        <x:r>
          <x:t>Cite your Phase 1 source exactly. E.g. 'Phase 1 Bear Case table, row 2 — GDP –1.5%, S&amp;P expected return –18.0% based on historical recession drawdown analysis.'</x:t>
        </x:r>
      </x:text>
    </x:comment>
    <x:comment ref="E11" authorId="0">
      <x:text>
        <x:r>
          <x:t>Cite your Phase 1 source exactly. E.g. 'Phase 1 Bear Case table, row 2 — GDP –1.5%, S&amp;P expected return –18.0% based on historical recession drawdown analysis.'</x:t>
        </x:r>
      </x:text>
    </x:comment>
    <x:comment ref="E12" authorId="0">
      <x:text>
        <x:r>
          <x:t>Cite your Phase 1 source exactly. E.g. 'Phase 1 Bear Case table, row 2 — GDP –1.5%, S&amp;P expected return –18.0% based on historical recession drawdown analysis.'</x:t>
        </x:r>
      </x:text>
    </x:comment>
    <x:comment ref="E17" authorId="0">
      <x:text>
        <x:r>
          <x:t>Base Case expected return for U.S. Equities from Phase 3 CME Matrix Base Case. E.g. 8.5% for equities.</x:t>
        </x:r>
      </x:text>
    </x:comment>
    <x:comment ref="E18" authorId="0">
      <x:text>
        <x:r>
          <x:t>Base Case expected return for Fixed Income from Phase 3 CME Matrix Base Case. E.g. 8.5% for equities.</x:t>
        </x:r>
      </x:text>
    </x:comment>
    <x:comment ref="E19" authorId="0">
      <x:text>
        <x:r>
          <x:t>Base Case expected return for Cash / Cash Equivalents from Phase 3 CME Matrix Base Case. E.g. 8.5% for equities.</x:t>
        </x:r>
      </x:text>
    </x:comment>
    <x:comment ref="E20" authorId="0">
      <x:text>
        <x:r>
          <x:t>Weighted average Base Case E(R) = sum of weight × return for each asset class</x:t>
        </x:r>
      </x:text>
    </x:comment>
    <x:comment ref="E34" authorId="0">
      <x:text>
        <x:r>
          <x:t>Margin = Actual – Limit. Positive = headroom; negative = breach.</x:t>
        </x:r>
      </x:text>
    </x:comment>
    <x:comment ref="E41" authorId="0">
      <x:text>
        <x:r>
          <x:t>New weight after re-allocation</x:t>
        </x:r>
      </x:text>
    </x:comment>
    <x:comment ref="E42" authorId="0">
      <x:text>
        <x:r>
          <x:t>New weight after re-allocation</x:t>
        </x:r>
      </x:text>
    </x:comment>
    <x:comment ref="E43" authorId="0">
      <x:text>
        <x:r>
          <x:t>New weight after re-allocation</x:t>
        </x:r>
      </x:text>
    </x:comment>
    <x:comment ref="E44" authorId="0">
      <x:text>
        <x:r>
          <x:t>New weight after re-allocation</x:t>
        </x:r>
      </x:text>
    </x:comment>
    <x:comment ref="E45" authorId="0">
      <x:text>
        <x:r>
          <x:t>New weight after re-allocation</x:t>
        </x:r>
      </x:text>
    </x:comment>
    <x:comment ref="E46" authorId="0">
      <x:text>
        <x:r>
          <x:t>New weight after re-allocation</x:t>
        </x:r>
      </x:text>
    </x:comment>
    <x:comment ref="E52" authorId="0">
      <x:text>
        <x:r>
          <x:t>Bear Case E(R) from Section 1 — same as original stress test</x:t>
        </x:r>
      </x:text>
    </x:comment>
    <x:comment ref="E53" authorId="0">
      <x:text>
        <x:r>
          <x:t>Bear Case E(R) from Section 1 — same as original stress test</x:t>
        </x:r>
      </x:text>
    </x:comment>
    <x:comment ref="E54" authorId="0">
      <x:text>
        <x:r>
          <x:t>Bear Case E(R) from Section 1 — same as original stress test</x:t>
        </x:r>
      </x:text>
    </x:comment>
    <x:comment ref="F17" authorId="0">
      <x:text>
        <x:r>
          <x:t>Weighted Bear Case contribution = weight × Bear Case E(R) from Section 1</x:t>
        </x:r>
      </x:text>
    </x:comment>
    <x:comment ref="F18" authorId="0">
      <x:text>
        <x:r>
          <x:t>Weighted Bear Case contribution = weight × Bear Case E(R) from Section 1</x:t>
        </x:r>
      </x:text>
    </x:comment>
    <x:comment ref="F19" authorId="0">
      <x:text>
        <x:r>
          <x:t>Weighted Bear Case contribution = weight × Bear Case E(R) from Section 1</x:t>
        </x:r>
      </x:text>
    </x:comment>
    <x:comment ref="F20" authorId="0">
      <x:text>
        <x:r>
          <x:t>Total portfolio Bear Case return = sum of weighted Bear Case contributions</x:t>
        </x:r>
      </x:text>
    </x:comment>
    <x:comment ref="F41" authorId="0">
      <x:text>
        <x:r>
          <x:t>Dollar change = (new weight – old weight) × $500,000</x:t>
        </x:r>
      </x:text>
    </x:comment>
    <x:comment ref="F42" authorId="0">
      <x:text>
        <x:r>
          <x:t>Dollar change = (new weight – old weight) × $500,000</x:t>
        </x:r>
      </x:text>
    </x:comment>
    <x:comment ref="F43" authorId="0">
      <x:text>
        <x:r>
          <x:t>Dollar change = (new weight – old weight) × $500,000</x:t>
        </x:r>
      </x:text>
    </x:comment>
    <x:comment ref="F44" authorId="0">
      <x:text>
        <x:r>
          <x:t>Dollar change = (new weight – old weight) × $500,000</x:t>
        </x:r>
      </x:text>
    </x:comment>
    <x:comment ref="F45" authorId="0">
      <x:text>
        <x:r>
          <x:t>Dollar change = (new weight – old weight) × $500,000</x:t>
        </x:r>
      </x:text>
    </x:comment>
    <x:comment ref="F46" authorId="0">
      <x:text>
        <x:r>
          <x:t>Dollar change = (new weight – old weight) × $500,000</x:t>
        </x:r>
      </x:text>
    </x:comment>
    <x:comment ref="G5" authorId="0">
      <x:text>
        <x:r>
          <x:t>Maximum acceptable drawdown from Phase 2 IPS. Enter as negative. E.g. –10% = –0.10</x:t>
        </x:r>
      </x:text>
    </x:comment>
    <x:comment ref="G17" authorId="0">
      <x:text>
        <x:r>
          <x:t>Dollar P&amp;L in Bear Case = $ allocation × Bear Case E(R)</x:t>
        </x:r>
      </x:text>
    </x:comment>
    <x:comment ref="G18" authorId="0">
      <x:text>
        <x:r>
          <x:t>Dollar P&amp;L in Bear Case = $ allocation × Bear Case E(R)</x:t>
        </x:r>
      </x:text>
    </x:comment>
    <x:comment ref="G19" authorId="0">
      <x:text>
        <x:r>
          <x:t>Dollar P&amp;L in Bear Case = $ allocation × Bear Case E(R)</x:t>
        </x:r>
      </x:text>
    </x:comment>
    <x:comment ref="G20" authorId="0">
      <x:text>
        <x:r>
          <x:t>Total dollar P&amp;L in Bear Case scenario</x:t>
        </x:r>
      </x:text>
    </x:comment>
    <x:comment ref="G41" authorId="0">
      <x:text>
        <x:r>
          <x:t>Why this trade? Link to Phase 1 Bear Case logic and IPS constraints. E.g. 'Reduce equity to cut β below 1.0 and limit drawdown exposure.'</x:t>
        </x:r>
      </x:text>
    </x:comment>
    <x:comment ref="G42" authorId="0">
      <x:text>
        <x:r>
          <x:t>Why this trade? Link to Phase 1 Bear Case logic and IPS constraints. E.g. 'Reduce equity to cut β below 1.0 and limit drawdown exposure.'</x:t>
        </x:r>
      </x:text>
    </x:comment>
    <x:comment ref="G43" authorId="0">
      <x:text>
        <x:r>
          <x:t>Why this trade? Link to Phase 1 Bear Case logic and IPS constraints. E.g. 'Reduce equity to cut β below 1.0 and limit drawdown exposure.'</x:t>
        </x:r>
      </x:text>
    </x:comment>
    <x:comment ref="G44" authorId="0">
      <x:text>
        <x:r>
          <x:t>Why this trade? Link to Phase 1 Bear Case logic and IPS constraints. E.g. 'Reduce equity to cut β below 1.0 and limit drawdown exposure.'</x:t>
        </x:r>
      </x:text>
    </x:comment>
    <x:comment ref="G45" authorId="0">
      <x:text>
        <x:r>
          <x:t>Why this trade? Link to Phase 1 Bear Case logic and IPS constraints. E.g. 'Reduce equity to cut β below 1.0 and limit drawdown exposure.'</x:t>
        </x:r>
      </x:text>
    </x:comment>
    <x:comment ref="G46" authorId="0">
      <x:text>
        <x:r>
          <x:t>Why this trade? Link to Phase 1 Bear Case logic and IPS constraints. E.g. 'Reduce equity to cut β below 1.0 and limit drawdown exposure.'</x:t>
        </x:r>
      </x:text>
    </x:comment>
    <x:comment ref="I5" authorId="0">
      <x:text>
        <x:r>
          <x:t>Risk aversion coefficient A from BKM / Phase 2 IPS. E.g. 4.0</x:t>
        </x:r>
      </x:text>
    </x:comment>
  </x:commentList>
</x:comments>
</file>

<file path=xl/comments2.xml><?xml version="1.0" encoding="utf-8"?>
<x:comments xmlns:x="http://schemas.openxmlformats.org/spreadsheetml/2006/main">
  <x:authors>
    <x:author>Unknown Author</x:author>
  </x:authors>
  <x:commentList>
    <x:comment ref="B41" authorId="0">
      <x:text>
        <x:r>
          <x:t>Select BUY, SELL, or HOLD</x:t>
        </x:r>
      </x:text>
    </x:comment>
    <x:comment ref="B42" authorId="0">
      <x:text>
        <x:r>
          <x:t>Select BUY, SELL, or HOLD</x:t>
        </x:r>
      </x:text>
    </x:comment>
    <x:comment ref="B43" authorId="0">
      <x:text>
        <x:r>
          <x:t>Select BUY, SELL, or HOLD</x:t>
        </x:r>
      </x:text>
    </x:comment>
    <x:comment ref="B44" authorId="0">
      <x:text>
        <x:r>
          <x:t>Select BUY, SELL, or HOLD</x:t>
        </x:r>
      </x:text>
    </x:comment>
    <x:comment ref="B45" authorId="0">
      <x:text>
        <x:r>
          <x:t>Select BUY, SELL, or HOLD</x:t>
        </x:r>
      </x:text>
    </x:comment>
    <x:comment ref="B46" authorId="0">
      <x:text>
        <x:r>
          <x:t>Select BUY, SELL, or HOLD</x:t>
        </x:r>
      </x:text>
    </x:comment>
    <x:comment ref="C5" authorId="0">
      <x:text>
        <x:r>
          <x:t>Client name or ID — e.g. Eleanor Vance — Client 1</x:t>
        </x:r>
      </x:text>
    </x:comment>
    <x:comment ref="C10" authorId="0">
      <x:text>
        <x:r>
          <x:t>Bear Case expected return for U.S. Equities. Must match Phase 1 Bear Case table. E.g. –18.0% (Bear Case from Phase 1 scenario table)</x:t>
        </x:r>
      </x:text>
    </x:comment>
    <x:comment ref="C11" authorId="0">
      <x:text>
        <x:r>
          <x:t>Bear Case expected return for Fixed Income. Must match Phase 1 Bear Case table. E.g. –4.5%  (rising rates compress bond prices)</x:t>
        </x:r>
      </x:text>
    </x:comment>
    <x:comment ref="C12" authorId="0">
      <x:text>
        <x:r>
          <x:t>Bear Case expected return for Cash / Cash Equivalents. Must match Phase 1 Bear Case table. E.g. +2.5%  (risk-free rate — stable in Bear Case)</x:t>
        </x:r>
      </x:text>
    </x:comment>
    <x:comment ref="C17" authorId="0">
      <x:text>
        <x:r>
          <x:t>Enter Solver-optimized weight for U.S. Equities from Phase 3 CME Matrix.</x:t>
        </x:r>
      </x:text>
    </x:comment>
    <x:comment ref="C18" authorId="0">
      <x:text>
        <x:r>
          <x:t>Enter Solver-optimized weight for Fixed Income from Phase 3 CME Matrix.</x:t>
        </x:r>
      </x:text>
    </x:comment>
    <x:comment ref="C19" authorId="0">
      <x:text>
        <x:r>
          <x:t>Enter Solver-optimized weight for Cash / Cash Equivalents from Phase 3 CME Matrix.</x:t>
        </x:r>
      </x:text>
    </x:comment>
    <x:comment ref="C25" authorId="0">
      <x:text>
        <x:r>
          <x:t>Current 3-Month T-Bill yield. Source: FRED series TB3MS. This is used in both Base and Bear Case Sharpe Ratio calculations.</x:t>
        </x:r>
      </x:text>
    </x:comment>
    <x:comment ref="C26" authorId="0">
      <x:text>
        <x:r>
          <x:t>Formula auto-calculated from entries above</x:t>
        </x:r>
      </x:text>
    </x:comment>
    <x:comment ref="C27" authorId="0">
      <x:text>
        <x:r>
          <x:t>Enter Portfolio Std Dev (σ) from the Phase 2 allocation and selected holdings.</x:t>
        </x:r>
      </x:text>
    </x:comment>
    <x:comment ref="C28" authorId="0">
      <x:text>
        <x:r>
          <x:t>Formula auto-calculated from entries above</x:t>
        </x:r>
      </x:text>
    </x:comment>
    <x:comment ref="C30" authorId="0">
      <x:text>
        <x:r>
          <x:t>Enter Value at Risk — 95% VaR from the Phase 2 portfolio risk analysis.</x:t>
        </x:r>
      </x:text>
    </x:comment>
    <x:comment ref="C34" authorId="0">
      <x:text>
        <x:r>
          <x:t>IPS maximum drawdown limit from client strip (row 5).</x:t>
        </x:r>
      </x:text>
    </x:comment>
    <x:comment ref="C35" authorId="0">
      <x:text>
        <x:r>
          <x:t>IPS maximum portfolio σ from Phase 2. Enter here for reference.</x:t>
        </x:r>
      </x:text>
    </x:comment>
    <x:comment ref="C41" authorId="0">
      <x:text>
        <x:r>
          <x:t>Security name or asset class. E.g. 'Reduce U.S. Equities' or 'Add Cash'</x:t>
        </x:r>
      </x:text>
    </x:comment>
    <x:comment ref="C42" authorId="0">
      <x:text>
        <x:r>
          <x:t>Security name or asset class. E.g. 'Reduce U.S. Equities' or 'Add Cash'</x:t>
        </x:r>
      </x:text>
    </x:comment>
    <x:comment ref="C43" authorId="0">
      <x:text>
        <x:r>
          <x:t>Security name or asset class. E.g. 'Reduce U.S. Equities' or 'Add Cash'</x:t>
        </x:r>
      </x:text>
    </x:comment>
    <x:comment ref="C44" authorId="0">
      <x:text>
        <x:r>
          <x:t>Security name or asset class. E.g. 'Reduce U.S. Equities' or 'Add Cash'</x:t>
        </x:r>
      </x:text>
    </x:comment>
    <x:comment ref="C45" authorId="0">
      <x:text>
        <x:r>
          <x:t>Security name or asset class. E.g. 'Reduce U.S. Equities' or 'Add Cash'</x:t>
        </x:r>
      </x:text>
    </x:comment>
    <x:comment ref="C46" authorId="0">
      <x:text>
        <x:r>
          <x:t>Security name or asset class. E.g. 'Reduce U.S. Equities' or 'Add Cash'</x:t>
        </x:r>
      </x:text>
    </x:comment>
    <x:comment ref="C52" authorId="0">
      <x:text>
        <x:r>
          <x:t>New weight for U.S. Equities after re-allocation (from Part A)</x:t>
        </x:r>
      </x:text>
    </x:comment>
    <x:comment ref="C53" authorId="0">
      <x:text>
        <x:r>
          <x:t>New weight for Fixed Income after re-allocation (from Part A)</x:t>
        </x:r>
      </x:text>
    </x:comment>
    <x:comment ref="C54" authorId="0">
      <x:text>
        <x:r>
          <x:t>New weight for Cash / Cash Equivalents after re-allocation (from Part A)</x:t>
        </x:r>
      </x:text>
    </x:comment>
    <x:comment ref="C61" authorId="0">
      <x:text>
        <x:r>
          <x:t>Enter final Portfolio Beta (β). Use the weighted average β from the Phase 2 security-selection record.</x:t>
        </x:r>
      </x:text>
    </x:comment>
    <x:comment ref="C62" authorId="0">
      <x:text>
        <x:r>
          <x:t>Enter final Portfolio Std Dev (σ). From Phase 3 CME Matrix Section 3 (Solver output)</x:t>
        </x:r>
      </x:text>
    </x:comment>
    <x:comment ref="C63" authorId="0">
      <x:text>
        <x:r>
          <x:t>Enter final Sharpe Ratio (Base Case). = (Portfolio E(R) – Rf) ÷ σ; Rf from Section 3</x:t>
        </x:r>
      </x:text>
    </x:comment>
    <x:comment ref="C64" authorId="0">
      <x:text>
        <x:r>
          <x:t>Enter final Bear Case Portfolio Return. From Section 2 total row (or Section 5 revised total if re-allocated)</x:t>
        </x:r>
      </x:text>
    </x:comment>
    <x:comment ref="C65" authorId="0">
      <x:text>
        <x:r>
          <x:t>Enter final Bear Case $ P&amp;L. From Section 2 total row (or Section 5 revised total if re-allocated)</x:t>
        </x:r>
      </x:text>
    </x:comment>
    <x:comment ref="C66" authorId="0">
      <x:text>
        <x:r>
          <x:t>Enter PASS or FAIL, matching your Section 4 / Section 5 verdict.</x:t>
        </x:r>
      </x:text>
    </x:comment>
    <x:comment ref="D10" authorId="0">
      <x:text>
        <x:r>
          <x:t>Bear Case standard deviation for U.S. Equities. Must match Phase 1 Bear Case CME Matrix.</x:t>
        </x:r>
      </x:text>
    </x:comment>
    <x:comment ref="D11" authorId="0">
      <x:text>
        <x:r>
          <x:t>Bear Case standard deviation for Fixed Income. Must match Phase 1 Bear Case CME Matrix.</x:t>
        </x:r>
      </x:text>
    </x:comment>
    <x:comment ref="D12" authorId="0">
      <x:text>
        <x:r>
          <x:t>Bear Case standard deviation for Cash / Cash Equivalents. Must match Phase 1 Bear Case CME Matrix.</x:t>
        </x:r>
      </x:text>
    </x:comment>
    <x:comment ref="D17" authorId="0">
      <x:text>
        <x:r>
          <x:t>Dollar allocation = weight × $500,000 AUM</x:t>
        </x:r>
      </x:text>
    </x:comment>
    <x:comment ref="D18" authorId="0">
      <x:text>
        <x:r>
          <x:t>Dollar allocation = weight × $500,000 AUM</x:t>
        </x:r>
      </x:text>
    </x:comment>
    <x:comment ref="D19" authorId="0">
      <x:text>
        <x:r>
          <x:t>Dollar allocation = weight × $500,000 AUM</x:t>
        </x:r>
      </x:text>
    </x:comment>
    <x:comment ref="D26" authorId="0">
      <x:text>
        <x:r>
          <x:t>Enter Bear Case Portfolio Beta (β).</x:t>
        </x:r>
      </x:text>
    </x:comment>
    <x:comment ref="D27" authorId="0">
      <x:text>
        <x:r>
          <x:t>Enter Bear Case Portfolio Std Dev (σ).</x:t>
        </x:r>
      </x:text>
    </x:comment>
    <x:comment ref="D30" authorId="0">
      <x:text>
        <x:r>
          <x:t>Enter Bear Case Value at Risk — 95% VaR.</x:t>
        </x:r>
      </x:text>
    </x:comment>
    <x:comment ref="D34" authorId="0">
      <x:text>
        <x:r>
          <x:t>Bear Case portfolio return from Section 2 total row.</x:t>
        </x:r>
      </x:text>
    </x:comment>
    <x:comment ref="D35" authorId="0">
      <x:text>
        <x:r>
          <x:t>Base Case portfolio σ from risk metrics row 27.</x:t>
        </x:r>
      </x:text>
    </x:comment>
    <x:comment ref="D41" authorId="0">
      <x:text>
        <x:r>
          <x:t>Original weight before re-allocation</x:t>
        </x:r>
      </x:text>
    </x:comment>
    <x:comment ref="D42" authorId="0">
      <x:text>
        <x:r>
          <x:t>Original weight before re-allocation</x:t>
        </x:r>
      </x:text>
    </x:comment>
    <x:comment ref="D43" authorId="0">
      <x:text>
        <x:r>
          <x:t>Original weight before re-allocation</x:t>
        </x:r>
      </x:text>
    </x:comment>
    <x:comment ref="D44" authorId="0">
      <x:text>
        <x:r>
          <x:t>Original weight before re-allocation</x:t>
        </x:r>
      </x:text>
    </x:comment>
    <x:comment ref="D45" authorId="0">
      <x:text>
        <x:r>
          <x:t>Original weight before re-allocation</x:t>
        </x:r>
      </x:text>
    </x:comment>
    <x:comment ref="D46" authorId="0">
      <x:text>
        <x:r>
          <x:t>Original weight before re-allocation</x:t>
        </x:r>
      </x:text>
    </x:comment>
    <x:comment ref="E10" authorId="0">
      <x:text>
        <x:r>
          <x:t>Cite your Phase 1 source exactly. E.g. 'Phase 1 Bear Case table, row 2 — GDP –1.5%, S&amp;P expected return –18.0% based on historical recession drawdown analysis.'</x:t>
        </x:r>
      </x:text>
    </x:comment>
    <x:comment ref="E11" authorId="0">
      <x:text>
        <x:r>
          <x:t>Cite your Phase 1 source exactly. E.g. 'Phase 1 Bear Case table, row 2 — GDP –1.5%, S&amp;P expected return –18.0% based on historical recession drawdown analysis.'</x:t>
        </x:r>
      </x:text>
    </x:comment>
    <x:comment ref="E12" authorId="0">
      <x:text>
        <x:r>
          <x:t>Cite your Phase 1 source exactly. E.g. 'Phase 1 Bear Case table, row 2 — GDP –1.5%, S&amp;P expected return –18.0% based on historical recession drawdown analysis.'</x:t>
        </x:r>
      </x:text>
    </x:comment>
    <x:comment ref="E17" authorId="0">
      <x:text>
        <x:r>
          <x:t>Base Case expected return for U.S. Equities from Phase 3 CME Matrix Base Case. E.g. 8.5% for equities.</x:t>
        </x:r>
      </x:text>
    </x:comment>
    <x:comment ref="E18" authorId="0">
      <x:text>
        <x:r>
          <x:t>Base Case expected return for Fixed Income from Phase 3 CME Matrix Base Case. E.g. 8.5% for equities.</x:t>
        </x:r>
      </x:text>
    </x:comment>
    <x:comment ref="E19" authorId="0">
      <x:text>
        <x:r>
          <x:t>Base Case expected return for Cash / Cash Equivalents from Phase 3 CME Matrix Base Case. E.g. 8.5% for equities.</x:t>
        </x:r>
      </x:text>
    </x:comment>
    <x:comment ref="E20" authorId="0">
      <x:text>
        <x:r>
          <x:t>Weighted average Base Case E(R) = sum of weight × return for each asset class</x:t>
        </x:r>
      </x:text>
    </x:comment>
    <x:comment ref="E34" authorId="0">
      <x:text>
        <x:r>
          <x:t>Margin = Actual – Limit. Positive = headroom; negative = breach.</x:t>
        </x:r>
      </x:text>
    </x:comment>
    <x:comment ref="E41" authorId="0">
      <x:text>
        <x:r>
          <x:t>New weight after re-allocation</x:t>
        </x:r>
      </x:text>
    </x:comment>
    <x:comment ref="E42" authorId="0">
      <x:text>
        <x:r>
          <x:t>New weight after re-allocation</x:t>
        </x:r>
      </x:text>
    </x:comment>
    <x:comment ref="E43" authorId="0">
      <x:text>
        <x:r>
          <x:t>New weight after re-allocation</x:t>
        </x:r>
      </x:text>
    </x:comment>
    <x:comment ref="E44" authorId="0">
      <x:text>
        <x:r>
          <x:t>New weight after re-allocation</x:t>
        </x:r>
      </x:text>
    </x:comment>
    <x:comment ref="E45" authorId="0">
      <x:text>
        <x:r>
          <x:t>New weight after re-allocation</x:t>
        </x:r>
      </x:text>
    </x:comment>
    <x:comment ref="E46" authorId="0">
      <x:text>
        <x:r>
          <x:t>New weight after re-allocation</x:t>
        </x:r>
      </x:text>
    </x:comment>
    <x:comment ref="E52" authorId="0">
      <x:text>
        <x:r>
          <x:t>Bear Case E(R) from Section 1 — same as original stress test</x:t>
        </x:r>
      </x:text>
    </x:comment>
    <x:comment ref="E53" authorId="0">
      <x:text>
        <x:r>
          <x:t>Bear Case E(R) from Section 1 — same as original stress test</x:t>
        </x:r>
      </x:text>
    </x:comment>
    <x:comment ref="E54" authorId="0">
      <x:text>
        <x:r>
          <x:t>Bear Case E(R) from Section 1 — same as original stress test</x:t>
        </x:r>
      </x:text>
    </x:comment>
    <x:comment ref="F17" authorId="0">
      <x:text>
        <x:r>
          <x:t>Weighted Bear Case contribution = weight × Bear Case E(R) from Section 1</x:t>
        </x:r>
      </x:text>
    </x:comment>
    <x:comment ref="F18" authorId="0">
      <x:text>
        <x:r>
          <x:t>Weighted Bear Case contribution = weight × Bear Case E(R) from Section 1</x:t>
        </x:r>
      </x:text>
    </x:comment>
    <x:comment ref="F19" authorId="0">
      <x:text>
        <x:r>
          <x:t>Weighted Bear Case contribution = weight × Bear Case E(R) from Section 1</x:t>
        </x:r>
      </x:text>
    </x:comment>
    <x:comment ref="F20" authorId="0">
      <x:text>
        <x:r>
          <x:t>Total portfolio Bear Case return = sum of weighted Bear Case contributions</x:t>
        </x:r>
      </x:text>
    </x:comment>
    <x:comment ref="F41" authorId="0">
      <x:text>
        <x:r>
          <x:t>Dollar change = (new weight – old weight) × $500,000</x:t>
        </x:r>
      </x:text>
    </x:comment>
    <x:comment ref="F42" authorId="0">
      <x:text>
        <x:r>
          <x:t>Dollar change = (new weight – old weight) × $500,000</x:t>
        </x:r>
      </x:text>
    </x:comment>
    <x:comment ref="F43" authorId="0">
      <x:text>
        <x:r>
          <x:t>Dollar change = (new weight – old weight) × $500,000</x:t>
        </x:r>
      </x:text>
    </x:comment>
    <x:comment ref="F44" authorId="0">
      <x:text>
        <x:r>
          <x:t>Dollar change = (new weight – old weight) × $500,000</x:t>
        </x:r>
      </x:text>
    </x:comment>
    <x:comment ref="F45" authorId="0">
      <x:text>
        <x:r>
          <x:t>Dollar change = (new weight – old weight) × $500,000</x:t>
        </x:r>
      </x:text>
    </x:comment>
    <x:comment ref="F46" authorId="0">
      <x:text>
        <x:r>
          <x:t>Dollar change = (new weight – old weight) × $500,000</x:t>
        </x:r>
      </x:text>
    </x:comment>
    <x:comment ref="G5" authorId="0">
      <x:text>
        <x:r>
          <x:t>Maximum acceptable drawdown from Phase 2 IPS. Enter as negative. E.g. –10% = –0.10</x:t>
        </x:r>
      </x:text>
    </x:comment>
    <x:comment ref="G17" authorId="0">
      <x:text>
        <x:r>
          <x:t>Dollar P&amp;L in Bear Case = $ allocation × Bear Case E(R)</x:t>
        </x:r>
      </x:text>
    </x:comment>
    <x:comment ref="G18" authorId="0">
      <x:text>
        <x:r>
          <x:t>Dollar P&amp;L in Bear Case = $ allocation × Bear Case E(R)</x:t>
        </x:r>
      </x:text>
    </x:comment>
    <x:comment ref="G19" authorId="0">
      <x:text>
        <x:r>
          <x:t>Dollar P&amp;L in Bear Case = $ allocation × Bear Case E(R)</x:t>
        </x:r>
      </x:text>
    </x:comment>
    <x:comment ref="G20" authorId="0">
      <x:text>
        <x:r>
          <x:t>Total dollar P&amp;L in Bear Case scenario</x:t>
        </x:r>
      </x:text>
    </x:comment>
    <x:comment ref="G41" authorId="0">
      <x:text>
        <x:r>
          <x:t>Why this trade? Link to Phase 1 Bear Case logic and IPS constraints. E.g. 'Reduce equity to cut β below 1.0 and limit drawdown exposure.'</x:t>
        </x:r>
      </x:text>
    </x:comment>
    <x:comment ref="G42" authorId="0">
      <x:text>
        <x:r>
          <x:t>Why this trade? Link to Phase 1 Bear Case logic and IPS constraints. E.g. 'Reduce equity to cut β below 1.0 and limit drawdown exposure.'</x:t>
        </x:r>
      </x:text>
    </x:comment>
    <x:comment ref="G43" authorId="0">
      <x:text>
        <x:r>
          <x:t>Why this trade? Link to Phase 1 Bear Case logic and IPS constraints. E.g. 'Reduce equity to cut β below 1.0 and limit drawdown exposure.'</x:t>
        </x:r>
      </x:text>
    </x:comment>
    <x:comment ref="G44" authorId="0">
      <x:text>
        <x:r>
          <x:t>Why this trade? Link to Phase 1 Bear Case logic and IPS constraints. E.g. 'Reduce equity to cut β below 1.0 and limit drawdown exposure.'</x:t>
        </x:r>
      </x:text>
    </x:comment>
    <x:comment ref="G45" authorId="0">
      <x:text>
        <x:r>
          <x:t>Why this trade? Link to Phase 1 Bear Case logic and IPS constraints. E.g. 'Reduce equity to cut β below 1.0 and limit drawdown exposure.'</x:t>
        </x:r>
      </x:text>
    </x:comment>
    <x:comment ref="G46" authorId="0">
      <x:text>
        <x:r>
          <x:t>Why this trade? Link to Phase 1 Bear Case logic and IPS constraints. E.g. 'Reduce equity to cut β below 1.0 and limit drawdown exposure.'</x:t>
        </x:r>
      </x:text>
    </x:comment>
    <x:comment ref="I5" authorId="0">
      <x:text>
        <x:r>
          <x:t>Risk aversion coefficient A from BKM / Phase 2 IPS. E.g. 4.0</x:t>
        </x:r>
      </x:text>
    </x:comment>
  </x:commentList>
</x:comments>
</file>

<file path=xl/comments3.xml><?xml version="1.0" encoding="utf-8"?>
<x:comments xmlns:x="http://schemas.openxmlformats.org/spreadsheetml/2006/main">
  <x:authors>
    <x:author>Unknown Author</x:author>
  </x:authors>
  <x:commentList>
    <x:comment ref="B41" authorId="0">
      <x:text>
        <x:r>
          <x:t>Select BUY, SELL, or HOLD</x:t>
        </x:r>
      </x:text>
    </x:comment>
    <x:comment ref="B42" authorId="0">
      <x:text>
        <x:r>
          <x:t>Select BUY, SELL, or HOLD</x:t>
        </x:r>
      </x:text>
    </x:comment>
    <x:comment ref="B43" authorId="0">
      <x:text>
        <x:r>
          <x:t>Select BUY, SELL, or HOLD</x:t>
        </x:r>
      </x:text>
    </x:comment>
    <x:comment ref="B44" authorId="0">
      <x:text>
        <x:r>
          <x:t>Select BUY, SELL, or HOLD</x:t>
        </x:r>
      </x:text>
    </x:comment>
    <x:comment ref="B45" authorId="0">
      <x:text>
        <x:r>
          <x:t>Select BUY, SELL, or HOLD</x:t>
        </x:r>
      </x:text>
    </x:comment>
    <x:comment ref="B46" authorId="0">
      <x:text>
        <x:r>
          <x:t>Select BUY, SELL, or HOLD</x:t>
        </x:r>
      </x:text>
    </x:comment>
    <x:comment ref="C5" authorId="0">
      <x:text>
        <x:r>
          <x:t>Client name or ID — e.g. Eleanor Vance — Client 1</x:t>
        </x:r>
      </x:text>
    </x:comment>
    <x:comment ref="C10" authorId="0">
      <x:text>
        <x:r>
          <x:t>Bear Case expected return for U.S. Equities. Must match Phase 1 Bear Case table. E.g. –18.0% (Bear Case from Phase 1 scenario table)</x:t>
        </x:r>
      </x:text>
    </x:comment>
    <x:comment ref="C11" authorId="0">
      <x:text>
        <x:r>
          <x:t>Bear Case expected return for Fixed Income. Must match Phase 1 Bear Case table. E.g. –4.5%  (rising rates compress bond prices)</x:t>
        </x:r>
      </x:text>
    </x:comment>
    <x:comment ref="C12" authorId="0">
      <x:text>
        <x:r>
          <x:t>Bear Case expected return for Cash / Cash Equivalents. Must match Phase 1 Bear Case table. E.g. +2.5%  (risk-free rate — stable in Bear Case)</x:t>
        </x:r>
      </x:text>
    </x:comment>
    <x:comment ref="C17" authorId="0">
      <x:text>
        <x:r>
          <x:t>Enter Solver-optimized weight for U.S. Equities from Phase 3 CME Matrix.</x:t>
        </x:r>
      </x:text>
    </x:comment>
    <x:comment ref="C18" authorId="0">
      <x:text>
        <x:r>
          <x:t>Enter Solver-optimized weight for Fixed Income from Phase 3 CME Matrix.</x:t>
        </x:r>
      </x:text>
    </x:comment>
    <x:comment ref="C19" authorId="0">
      <x:text>
        <x:r>
          <x:t>Enter Solver-optimized weight for Cash / Cash Equivalents from Phase 3 CME Matrix.</x:t>
        </x:r>
      </x:text>
    </x:comment>
    <x:comment ref="C25" authorId="0">
      <x:text>
        <x:r>
          <x:t>Current 3-Month T-Bill yield. Source: FRED series TB3MS. This is used in both Base and Bear Case Sharpe Ratio calculations.</x:t>
        </x:r>
      </x:text>
    </x:comment>
    <x:comment ref="C26" authorId="0">
      <x:text>
        <x:r>
          <x:t>Formula auto-calculated from entries above</x:t>
        </x:r>
      </x:text>
    </x:comment>
    <x:comment ref="C27" authorId="0">
      <x:text>
        <x:r>
          <x:t>Enter Portfolio Std Dev (σ) from the Phase 2 allocation and selected holdings.</x:t>
        </x:r>
      </x:text>
    </x:comment>
    <x:comment ref="C28" authorId="0">
      <x:text>
        <x:r>
          <x:t>Formula auto-calculated from entries above</x:t>
        </x:r>
      </x:text>
    </x:comment>
    <x:comment ref="C30" authorId="0">
      <x:text>
        <x:r>
          <x:t>Enter Value at Risk — 95% VaR from the Phase 2 portfolio risk analysis.</x:t>
        </x:r>
      </x:text>
    </x:comment>
    <x:comment ref="C34" authorId="0">
      <x:text>
        <x:r>
          <x:t>IPS maximum drawdown limit from client strip (row 5).</x:t>
        </x:r>
      </x:text>
    </x:comment>
    <x:comment ref="C35" authorId="0">
      <x:text>
        <x:r>
          <x:t>IPS maximum portfolio σ from Phase 2. Enter here for reference.</x:t>
        </x:r>
      </x:text>
    </x:comment>
    <x:comment ref="C41" authorId="0">
      <x:text>
        <x:r>
          <x:t>Security name or asset class. E.g. 'Reduce U.S. Equities' or 'Add Cash'</x:t>
        </x:r>
      </x:text>
    </x:comment>
    <x:comment ref="C42" authorId="0">
      <x:text>
        <x:r>
          <x:t>Security name or asset class. E.g. 'Reduce U.S. Equities' or 'Add Cash'</x:t>
        </x:r>
      </x:text>
    </x:comment>
    <x:comment ref="C43" authorId="0">
      <x:text>
        <x:r>
          <x:t>Security name or asset class. E.g. 'Reduce U.S. Equities' or 'Add Cash'</x:t>
        </x:r>
      </x:text>
    </x:comment>
    <x:comment ref="C44" authorId="0">
      <x:text>
        <x:r>
          <x:t>Security name or asset class. E.g. 'Reduce U.S. Equities' or 'Add Cash'</x:t>
        </x:r>
      </x:text>
    </x:comment>
    <x:comment ref="C45" authorId="0">
      <x:text>
        <x:r>
          <x:t>Security name or asset class. E.g. 'Reduce U.S. Equities' or 'Add Cash'</x:t>
        </x:r>
      </x:text>
    </x:comment>
    <x:comment ref="C46" authorId="0">
      <x:text>
        <x:r>
          <x:t>Security name or asset class. E.g. 'Reduce U.S. Equities' or 'Add Cash'</x:t>
        </x:r>
      </x:text>
    </x:comment>
    <x:comment ref="C52" authorId="0">
      <x:text>
        <x:r>
          <x:t>New weight for U.S. Equities after re-allocation (from Part A)</x:t>
        </x:r>
      </x:text>
    </x:comment>
    <x:comment ref="C53" authorId="0">
      <x:text>
        <x:r>
          <x:t>New weight for Fixed Income after re-allocation (from Part A)</x:t>
        </x:r>
      </x:text>
    </x:comment>
    <x:comment ref="C54" authorId="0">
      <x:text>
        <x:r>
          <x:t>New weight for Cash / Cash Equivalents after re-allocation (from Part A)</x:t>
        </x:r>
      </x:text>
    </x:comment>
    <x:comment ref="C61" authorId="0">
      <x:text>
        <x:r>
          <x:t>Enter final Portfolio Beta (β). Use the weighted average β from the Phase 2 security-selection record.</x:t>
        </x:r>
      </x:text>
    </x:comment>
    <x:comment ref="C62" authorId="0">
      <x:text>
        <x:r>
          <x:t>Enter final Portfolio Std Dev (σ). From Phase 3 CME Matrix Section 3 (Solver output)</x:t>
        </x:r>
      </x:text>
    </x:comment>
    <x:comment ref="C63" authorId="0">
      <x:text>
        <x:r>
          <x:t>Enter final Sharpe Ratio (Base Case). = (Portfolio E(R) – Rf) ÷ σ; Rf from Section 3</x:t>
        </x:r>
      </x:text>
    </x:comment>
    <x:comment ref="C64" authorId="0">
      <x:text>
        <x:r>
          <x:t>Enter final Bear Case Portfolio Return. From Section 2 total row (or Section 5 revised total if re-allocated)</x:t>
        </x:r>
      </x:text>
    </x:comment>
    <x:comment ref="C65" authorId="0">
      <x:text>
        <x:r>
          <x:t>Enter final Bear Case $ P&amp;L. From Section 2 total row (or Section 5 revised total if re-allocated)</x:t>
        </x:r>
      </x:text>
    </x:comment>
    <x:comment ref="C66" authorId="0">
      <x:text>
        <x:r>
          <x:t>Enter PASS or FAIL, matching your Section 4 / Section 5 verdict.</x:t>
        </x:r>
      </x:text>
    </x:comment>
    <x:comment ref="D10" authorId="0">
      <x:text>
        <x:r>
          <x:t>Bear Case standard deviation for U.S. Equities. Must match Phase 1 Bear Case CME Matrix.</x:t>
        </x:r>
      </x:text>
    </x:comment>
    <x:comment ref="D11" authorId="0">
      <x:text>
        <x:r>
          <x:t>Bear Case standard deviation for Fixed Income. Must match Phase 1 Bear Case CME Matrix.</x:t>
        </x:r>
      </x:text>
    </x:comment>
    <x:comment ref="D12" authorId="0">
      <x:text>
        <x:r>
          <x:t>Bear Case standard deviation for Cash / Cash Equivalents. Must match Phase 1 Bear Case CME Matrix.</x:t>
        </x:r>
      </x:text>
    </x:comment>
    <x:comment ref="D17" authorId="0">
      <x:text>
        <x:r>
          <x:t>Dollar allocation = weight × $500,000 AUM</x:t>
        </x:r>
      </x:text>
    </x:comment>
    <x:comment ref="D18" authorId="0">
      <x:text>
        <x:r>
          <x:t>Dollar allocation = weight × $500,000 AUM</x:t>
        </x:r>
      </x:text>
    </x:comment>
    <x:comment ref="D19" authorId="0">
      <x:text>
        <x:r>
          <x:t>Dollar allocation = weight × $500,000 AUM</x:t>
        </x:r>
      </x:text>
    </x:comment>
    <x:comment ref="D26" authorId="0">
      <x:text>
        <x:r>
          <x:t>Enter Bear Case Portfolio Beta (β).</x:t>
        </x:r>
      </x:text>
    </x:comment>
    <x:comment ref="D27" authorId="0">
      <x:text>
        <x:r>
          <x:t>Enter Bear Case Portfolio Std Dev (σ).</x:t>
        </x:r>
      </x:text>
    </x:comment>
    <x:comment ref="D30" authorId="0">
      <x:text>
        <x:r>
          <x:t>Enter Bear Case Value at Risk — 95% VaR.</x:t>
        </x:r>
      </x:text>
    </x:comment>
    <x:comment ref="D34" authorId="0">
      <x:text>
        <x:r>
          <x:t>Bear Case portfolio return from Section 2 total row.</x:t>
        </x:r>
      </x:text>
    </x:comment>
    <x:comment ref="D35" authorId="0">
      <x:text>
        <x:r>
          <x:t>Base Case portfolio σ from risk metrics row 27.</x:t>
        </x:r>
      </x:text>
    </x:comment>
    <x:comment ref="D41" authorId="0">
      <x:text>
        <x:r>
          <x:t>Original weight before re-allocation</x:t>
        </x:r>
      </x:text>
    </x:comment>
    <x:comment ref="D42" authorId="0">
      <x:text>
        <x:r>
          <x:t>Original weight before re-allocation</x:t>
        </x:r>
      </x:text>
    </x:comment>
    <x:comment ref="D43" authorId="0">
      <x:text>
        <x:r>
          <x:t>Original weight before re-allocation</x:t>
        </x:r>
      </x:text>
    </x:comment>
    <x:comment ref="D44" authorId="0">
      <x:text>
        <x:r>
          <x:t>Original weight before re-allocation</x:t>
        </x:r>
      </x:text>
    </x:comment>
    <x:comment ref="D45" authorId="0">
      <x:text>
        <x:r>
          <x:t>Original weight before re-allocation</x:t>
        </x:r>
      </x:text>
    </x:comment>
    <x:comment ref="D46" authorId="0">
      <x:text>
        <x:r>
          <x:t>Original weight before re-allocation</x:t>
        </x:r>
      </x:text>
    </x:comment>
    <x:comment ref="E10" authorId="0">
      <x:text>
        <x:r>
          <x:t>Cite your Phase 1 source exactly. E.g. 'Phase 1 Bear Case table, row 2 — GDP –1.5%, S&amp;P expected return –18.0% based on historical recession drawdown analysis.'</x:t>
        </x:r>
      </x:text>
    </x:comment>
    <x:comment ref="E11" authorId="0">
      <x:text>
        <x:r>
          <x:t>Cite your Phase 1 source exactly. E.g. 'Phase 1 Bear Case table, row 2 — GDP –1.5%, S&amp;P expected return –18.0% based on historical recession drawdown analysis.'</x:t>
        </x:r>
      </x:text>
    </x:comment>
    <x:comment ref="E12" authorId="0">
      <x:text>
        <x:r>
          <x:t>Cite your Phase 1 source exactly. E.g. 'Phase 1 Bear Case table, row 2 — GDP –1.5%, S&amp;P expected return –18.0% based on historical recession drawdown analysis.'</x:t>
        </x:r>
      </x:text>
    </x:comment>
    <x:comment ref="E17" authorId="0">
      <x:text>
        <x:r>
          <x:t>Base Case expected return for U.S. Equities from Phase 3 CME Matrix Base Case. E.g. 8.5% for equities.</x:t>
        </x:r>
      </x:text>
    </x:comment>
    <x:comment ref="E18" authorId="0">
      <x:text>
        <x:r>
          <x:t>Base Case expected return for Fixed Income from Phase 3 CME Matrix Base Case. E.g. 8.5% for equities.</x:t>
        </x:r>
      </x:text>
    </x:comment>
    <x:comment ref="E19" authorId="0">
      <x:text>
        <x:r>
          <x:t>Base Case expected return for Cash / Cash Equivalents from Phase 3 CME Matrix Base Case. E.g. 8.5% for equities.</x:t>
        </x:r>
      </x:text>
    </x:comment>
    <x:comment ref="E20" authorId="0">
      <x:text>
        <x:r>
          <x:t>Weighted average Base Case E(R) = sum of weight × return for each asset class</x:t>
        </x:r>
      </x:text>
    </x:comment>
    <x:comment ref="E34" authorId="0">
      <x:text>
        <x:r>
          <x:t>Margin = Actual – Limit. Positive = headroom; negative = breach.</x:t>
        </x:r>
      </x:text>
    </x:comment>
    <x:comment ref="E41" authorId="0">
      <x:text>
        <x:r>
          <x:t>New weight after re-allocation</x:t>
        </x:r>
      </x:text>
    </x:comment>
    <x:comment ref="E42" authorId="0">
      <x:text>
        <x:r>
          <x:t>New weight after re-allocation</x:t>
        </x:r>
      </x:text>
    </x:comment>
    <x:comment ref="E43" authorId="0">
      <x:text>
        <x:r>
          <x:t>New weight after re-allocation</x:t>
        </x:r>
      </x:text>
    </x:comment>
    <x:comment ref="E44" authorId="0">
      <x:text>
        <x:r>
          <x:t>New weight after re-allocation</x:t>
        </x:r>
      </x:text>
    </x:comment>
    <x:comment ref="E45" authorId="0">
      <x:text>
        <x:r>
          <x:t>New weight after re-allocation</x:t>
        </x:r>
      </x:text>
    </x:comment>
    <x:comment ref="E46" authorId="0">
      <x:text>
        <x:r>
          <x:t>New weight after re-allocation</x:t>
        </x:r>
      </x:text>
    </x:comment>
    <x:comment ref="E52" authorId="0">
      <x:text>
        <x:r>
          <x:t>Bear Case E(R) from Section 1 — same as original stress test</x:t>
        </x:r>
      </x:text>
    </x:comment>
    <x:comment ref="E53" authorId="0">
      <x:text>
        <x:r>
          <x:t>Bear Case E(R) from Section 1 — same as original stress test</x:t>
        </x:r>
      </x:text>
    </x:comment>
    <x:comment ref="E54" authorId="0">
      <x:text>
        <x:r>
          <x:t>Bear Case E(R) from Section 1 — same as original stress test</x:t>
        </x:r>
      </x:text>
    </x:comment>
    <x:comment ref="F17" authorId="0">
      <x:text>
        <x:r>
          <x:t>Weighted Bear Case contribution = weight × Bear Case E(R) from Section 1</x:t>
        </x:r>
      </x:text>
    </x:comment>
    <x:comment ref="F18" authorId="0">
      <x:text>
        <x:r>
          <x:t>Weighted Bear Case contribution = weight × Bear Case E(R) from Section 1</x:t>
        </x:r>
      </x:text>
    </x:comment>
    <x:comment ref="F19" authorId="0">
      <x:text>
        <x:r>
          <x:t>Weighted Bear Case contribution = weight × Bear Case E(R) from Section 1</x:t>
        </x:r>
      </x:text>
    </x:comment>
    <x:comment ref="F20" authorId="0">
      <x:text>
        <x:r>
          <x:t>Total portfolio Bear Case return = sum of weighted Bear Case contributions</x:t>
        </x:r>
      </x:text>
    </x:comment>
    <x:comment ref="F41" authorId="0">
      <x:text>
        <x:r>
          <x:t>Dollar change = (new weight – old weight) × $500,000</x:t>
        </x:r>
      </x:text>
    </x:comment>
    <x:comment ref="F42" authorId="0">
      <x:text>
        <x:r>
          <x:t>Dollar change = (new weight – old weight) × $500,000</x:t>
        </x:r>
      </x:text>
    </x:comment>
    <x:comment ref="F43" authorId="0">
      <x:text>
        <x:r>
          <x:t>Dollar change = (new weight – old weight) × $500,000</x:t>
        </x:r>
      </x:text>
    </x:comment>
    <x:comment ref="F44" authorId="0">
      <x:text>
        <x:r>
          <x:t>Dollar change = (new weight – old weight) × $500,000</x:t>
        </x:r>
      </x:text>
    </x:comment>
    <x:comment ref="F45" authorId="0">
      <x:text>
        <x:r>
          <x:t>Dollar change = (new weight – old weight) × $500,000</x:t>
        </x:r>
      </x:text>
    </x:comment>
    <x:comment ref="F46" authorId="0">
      <x:text>
        <x:r>
          <x:t>Dollar change = (new weight – old weight) × $500,000</x:t>
        </x:r>
      </x:text>
    </x:comment>
    <x:comment ref="G5" authorId="0">
      <x:text>
        <x:r>
          <x:t>Maximum acceptable drawdown from Phase 2 IPS. Enter as negative. E.g. –10% = –0.10</x:t>
        </x:r>
      </x:text>
    </x:comment>
    <x:comment ref="G17" authorId="0">
      <x:text>
        <x:r>
          <x:t>Dollar P&amp;L in Bear Case = $ allocation × Bear Case E(R)</x:t>
        </x:r>
      </x:text>
    </x:comment>
    <x:comment ref="G18" authorId="0">
      <x:text>
        <x:r>
          <x:t>Dollar P&amp;L in Bear Case = $ allocation × Bear Case E(R)</x:t>
        </x:r>
      </x:text>
    </x:comment>
    <x:comment ref="G19" authorId="0">
      <x:text>
        <x:r>
          <x:t>Dollar P&amp;L in Bear Case = $ allocation × Bear Case E(R)</x:t>
        </x:r>
      </x:text>
    </x:comment>
    <x:comment ref="G20" authorId="0">
      <x:text>
        <x:r>
          <x:t>Total dollar P&amp;L in Bear Case scenario</x:t>
        </x:r>
      </x:text>
    </x:comment>
    <x:comment ref="G41" authorId="0">
      <x:text>
        <x:r>
          <x:t>Why this trade? Link to Phase 1 Bear Case logic and IPS constraints. E.g. 'Reduce equity to cut β below 1.0 and limit drawdown exposure.'</x:t>
        </x:r>
      </x:text>
    </x:comment>
    <x:comment ref="G42" authorId="0">
      <x:text>
        <x:r>
          <x:t>Why this trade? Link to Phase 1 Bear Case logic and IPS constraints. E.g. 'Reduce equity to cut β below 1.0 and limit drawdown exposure.'</x:t>
        </x:r>
      </x:text>
    </x:comment>
    <x:comment ref="G43" authorId="0">
      <x:text>
        <x:r>
          <x:t>Why this trade? Link to Phase 1 Bear Case logic and IPS constraints. E.g. 'Reduce equity to cut β below 1.0 and limit drawdown exposure.'</x:t>
        </x:r>
      </x:text>
    </x:comment>
    <x:comment ref="G44" authorId="0">
      <x:text>
        <x:r>
          <x:t>Why this trade? Link to Phase 1 Bear Case logic and IPS constraints. E.g. 'Reduce equity to cut β below 1.0 and limit drawdown exposure.'</x:t>
        </x:r>
      </x:text>
    </x:comment>
    <x:comment ref="G45" authorId="0">
      <x:text>
        <x:r>
          <x:t>Why this trade? Link to Phase 1 Bear Case logic and IPS constraints. E.g. 'Reduce equity to cut β below 1.0 and limit drawdown exposure.'</x:t>
        </x:r>
      </x:text>
    </x:comment>
    <x:comment ref="G46" authorId="0">
      <x:text>
        <x:r>
          <x:t>Why this trade? Link to Phase 1 Bear Case logic and IPS constraints. E.g. 'Reduce equity to cut β below 1.0 and limit drawdown exposure.'</x:t>
        </x:r>
      </x:text>
    </x:comment>
    <x:comment ref="I5" authorId="0">
      <x:text>
        <x:r>
          <x:t>Risk aversion coefficient A from BKM / Phase 2 IPS. E.g. 4.0</x:t>
        </x:r>
      </x:text>
    </x:comment>
  </x:commentList>
</x:comments>
</file>

<file path=xl/sharedStrings.xml><?xml version="1.0" encoding="utf-8"?>
<x:sst xmlns:x="http://schemas.openxmlformats.org/spreadsheetml/2006/main">
  <x:si>
    <x:t xml:space="preserve">Student Workbook  |  Endicott College  |  Institutional Portfolio Management Project</x:t>
  </x:si>
  <x:si>
    <x:t xml:space="preserve">  Section 3 — Risk Metrics</x:t>
  </x:si>
  <x:si>
    <x:t xml:space="preserve">  AI Audit Log Reminder</x:t>
  </x:si>
  <x:si>
    <x:t xml:space="preserve">If AI was used to suggest Bear Case return assumptions, re-allocation trades, or risk metrics — document the prompt and verification in your team's AI Audit Log. Every number must be traceable to Phase 1 (scenario assumptions), FactSet, FRED, or your own Excel model.</x:t>
  </x:si>
  <x:si>
    <x:t xml:space="preserve">  PRE-SUBMISSION CHECKLIST</x:t>
  </x:si>
  <x:si>
    <x:t xml:space="preserve">BUS 331 Investments  |  Endicott College  |  Cross-client Comparison</x:t>
  </x:si>
  <x:si>
    <x:t xml:space="preserve">Metric</x:t>
  </x:si>
  <x:si>
    <x:t xml:space="preserve">Client 1</x:t>
  </x:si>
  <x:si>
    <x:t xml:space="preserve">Client 2</x:t>
  </x:si>
  <x:si>
    <x:t xml:space="preserve">Client 3</x:t>
  </x:si>
  <x:si>
    <x:t xml:space="preserve">IPS Tripwire (max drawdown)</x:t>
  </x:si>
  <x:si>
    <x:t xml:space="preserve">Portfolio Beta (β)</x:t>
  </x:si>
  <x:si>
    <x:t xml:space="preserve">Portfolio Std Dev (σ) — Base</x:t>
  </x:si>
  <x:si>
    <x:t xml:space="preserve">Sharpe Ratio — Base Case</x:t>
  </x:si>
  <x:si>
    <x:t xml:space="preserve">Client Name / ID:</x:t>
  </x:si>
  <x:si>
    <x:t xml:space="preserve">AUM:</x:t>
  </x:si>
  <x:si>
    <x:t xml:space="preserve">IPS Max Drawdown (Tripwire):</x:t>
  </x:si>
  <x:si>
    <x:t xml:space="preserve">IPS Risk Score (A-value):</x:t>
  </x:si>
  <x:si>
    <x:t xml:space="preserve">(from Phase 2)</x:t>
  </x:si>
  <x:si>
    <x:t xml:space="preserve">U.S. Equities</x:t>
  </x:si>
  <x:si>
    <x:t xml:space="preserve">Fixed Income</x:t>
  </x:si>
  <x:si>
    <x:t xml:space="preserve">Cash / Cash Equivalents</x:t>
  </x:si>
  <x:si>
    <x:t xml:space="preserve">Asset Class</x:t>
  </x:si>
  <x:si>
    <x:t xml:space="preserve">$ Allocation
($500K AUM)</x:t>
  </x:si>
  <x:si>
    <x:t xml:space="preserve">Notes</x:t>
  </x:si>
  <x:si>
    <x:t xml:space="preserve">IPS Check</x:t>
  </x:si>
  <x:si>
    <x:t xml:space="preserve">  PORTFOLIO TOTAL</x:t>
  </x:si>
  <x:si>
    <x:t xml:space="preserve">Formula / Source</x:t>
  </x:si>
  <x:si>
    <x:t xml:space="preserve">Interpretation</x:t>
  </x:si>
  <x:si>
    <x:t xml:space="preserve">Risk-Free Rate (Rf):</x:t>
  </x:si>
  <x:si>
    <x:t xml:space="preserve">Source: FRED TB3MS (3-Month Treasury Bill Secondary Market Rate)</x:t>
  </x:si>
  <x:si>
    <x:t xml:space="preserve">β &gt; 1.0 = amplifies market moves; β &lt; 1.0 = defensive; β ≈ 0 = market-neutral</x:t>
  </x:si>
  <x:si>
    <x:t xml:space="preserve">Portfolio Std Dev (σ)</x:t>
  </x:si>
  <x:si>
    <x:t xml:space="preserve">Higher σ = wider range of outcomes; must be ≤ IPS max σ from Phase 2</x:t>
  </x:si>
  <x:si>
    <x:t xml:space="preserve">Sharpe Ratio</x:t>
  </x:si>
  <x:si>
    <x:t xml:space="preserve">Sharpe = (Portfolio E(R) – Rf) ÷ Portfolio σ</x:t>
  </x:si>
  <x:si>
    <x:t xml:space="preserve">Higher = better risk-adjusted return; compare Base vs Bear to see deterioration</x:t>
  </x:si>
  <x:si>
    <x:t xml:space="preserve">N/A</x:t>
  </x:si>
  <x:si>
    <x:t xml:space="preserve">Value at Risk — 95% VaR</x:t>
  </x:si>
  <x:si>
    <x:t xml:space="preserve">E(R) – 1.645 × σ  (parametric, 1-year, 95% confidence)</x:t>
  </x:si>
  <x:si>
    <x:t xml:space="preserve">There is a 5% chance of loss worse than this. Compare to IPS Tripwire.</x:t>
  </x:si>
  <x:si>
    <x:t xml:space="preserve">Test</x:t>
  </x:si>
  <x:si>
    <x:t xml:space="preserve">IPS Limit
(Tripwire)</x:t>
  </x:si>
  <x:si>
    <x:t xml:space="preserve">Actual Result</x:t>
  </x:si>
  <x:si>
    <x:t xml:space="preserve">Margin</x:t>
  </x:si>
  <x:si>
    <x:t xml:space="preserve">Required Action</x:t>
  </x:si>
  <x:si>
    <x:t xml:space="preserve">Max Drawdown vs. Tripwire</x:t>
  </x:si>
  <x:si>
    <x:t xml:space="preserve">Portfolio σ vs. IPS Max σ</x:t>
  </x:si>
  <x:si>
    <x:t xml:space="preserve">If σ exceeds IPS limit, consider adding cash or fixed income to reduce volatility.</x:t>
  </x:si>
  <x:si>
    <x:t xml:space="preserve">  Part A — Trade Log  (specific securities sold / bought)</x:t>
  </x:si>
  <x:si>
    <x:t xml:space="preserve">Action
(BUY / SELL)</x:t>
  </x:si>
  <x:si>
    <x:t xml:space="preserve">Security / Asset Class</x:t>
  </x:si>
  <x:si>
    <x:t xml:space="preserve">Old Weight</x:t>
  </x:si>
  <x:si>
    <x:t xml:space="preserve">New Weight</x:t>
  </x:si>
  <x:si>
    <x:t xml:space="preserve">$ Change</x:t>
  </x:si>
  <x:si>
    <x:t xml:space="preserve">Rationale</x:t>
  </x:si>
  <x:si>
    <x:t xml:space="preserve">  New Total Weight (must = 100%)</x:t>
  </x:si>
  <x:si>
    <x:t xml:space="preserve">← Must equal 100% after re-allocation</x:t>
  </x:si>
  <x:si>
    <x:t xml:space="preserve">NEW Weight</x:t>
  </x:si>
  <x:si>
    <x:t xml:space="preserve">$ Allocation</x:t>
  </x:si>
  <x:si>
    <x:t xml:space="preserve">$ P&amp;L</x:t>
  </x:si>
  <x:si>
    <x:t xml:space="preserve">  REVISED TOTAL</x:t>
  </x:si>
  <x:si>
    <x:t xml:space="preserve">REVISED VERDICT:</x:t>
  </x:si>
  <x:si>
    <x:t xml:space="preserve">Final Value</x:t>
  </x:si>
  <x:si>
    <x:t xml:space="preserve">Pass / Fail vs. IPS</x:t>
  </x:si>
  <x:si>
    <x:t xml:space="preserve">Source / Calculation</x:t>
  </x:si>
  <x:si>
    <x:t xml:space="preserve">Benchmark: 1.0 = market-level risk</x:t>
  </x:si>
  <x:si>
    <x:t xml:space="preserve">Sharpe Ratio (Base Case)</x:t>
  </x:si>
  <x:si>
    <x:t xml:space="preserve">Higher = better; compare to market Sharpe ≈ 0.4</x:t>
  </x:si>
  <x:si>
    <x:t xml:space="preserve">(Portfolio E(R) – Rf) ÷ σ; Rf from Section 3</x:t>
  </x:si>
  <x:si>
    <x:t xml:space="preserve">Must be ≥ IPS Tripwire</x:t>
  </x:si>
  <x:si>
    <x:t xml:space="preserve">From Section 2 total row (or Section 5 revised total if re-allocated)</x:t>
  </x:si>
  <x:si>
    <x:t xml:space="preserve">Dollar impact on $500K AUM</x:t>
  </x:si>
  <x:si>
    <x:t xml:space="preserve">Final verdict for this client</x:t>
  </x:si>
  <x:si>
    <x:t xml:space="preserve">PASS or FAIL — based on Section 4 (or Section 5 revised verdict)</x:t>
  </x:si>
  <x:si>
    <x:t xml:space="preserve">  LEGEND</x:t>
  </x:si>
  <x:si>
    <x:t xml:space="preserve">Sample</x:t>
  </x:si>
  <x:si>
    <x:t xml:space="preserve">Student Input — enter your data (blue text)</x:t>
  </x:si>
  <x:si>
    <x:t xml:space="preserve">Calculated Formula — do not edit (black text)</x:t>
  </x:si>
  <x:si>
    <x:t xml:space="preserve">Fixed Value (e.g. $500K AUM)</x:t>
  </x:si>
  <x:si>
    <x:t xml:space="preserve">✓ PASS — portfolio meets IPS mandate</x:t>
  </x:si>
  <x:si>
    <x:t xml:space="preserve">✗ FAIL — portfolio breaches IPS mandate; re-allocation required</x:t>
  </x:si>
  <x:si>
    <x:t xml:space="preserve">⚠ WARNING — metric approaching limit</x:t>
  </x:si>
</x:sst>
</file>

<file path=xl/styles.xml><?xml version="1.0" encoding="utf-8"?>
<x:styleSheet xmlns:x="http://schemas.openxmlformats.org/spreadsheetml/2006/main">
  <x:numFmts count="6">
    <x:numFmt numFmtId="164" formatCode="General"/>
    <x:numFmt numFmtId="165" formatCode="0.0%"/>
    <x:numFmt numFmtId="166" formatCode="\$#,##0;&quot;($&quot;#,##0\);\-"/>
    <x:numFmt numFmtId="167" formatCode="0.00"/>
    <x:numFmt numFmtId="168" formatCode="\$#,##0"/>
    <x:numFmt numFmtId="169" formatCode="0.0"/>
  </x:numFmts>
  <x:fonts count="33">
    <x:font>
      <x:sz val="11"/>
      <x:color theme="1"/>
      <x:name val="Calibri"/>
    </x:font>
    <x:font>
      <x:sz val="10"/>
      <x:name val="Arial"/>
    </x:font>
    <x:font>
      <x:sz val="10"/>
      <x:name val="Arial"/>
    </x:font>
    <x:font>
      <x:sz val="10"/>
      <x:name val="Arial"/>
    </x:font>
    <x:font>
      <x:b/>
      <x:sz val="14"/>
      <x:color rgb="FFFFFFFF"/>
      <x:name val="Arial"/>
    </x:font>
    <x:font>
      <x:i/>
      <x:sz val="9"/>
      <x:color rgb="FF5A6A7E"/>
      <x:name val="Arial"/>
    </x:font>
    <x:font>
      <x:b/>
      <x:sz val="10"/>
      <x:color rgb="FFFFFFFF"/>
      <x:name val="Arial"/>
    </x:font>
    <x:font>
      <x:sz val="9"/>
      <x:color rgb="FF333333"/>
      <x:name val="Arial"/>
    </x:font>
    <x:font>
      <x:sz val="9"/>
      <x:color rgb="FF5A6A7E"/>
      <x:name val="Arial"/>
    </x:font>
    <x:font>
      <x:b/>
      <x:sz val="10"/>
      <x:color rgb="FF0A1628"/>
      <x:name val="Arial"/>
    </x:font>
    <x:font>
      <x:sz val="10"/>
      <x:color rgb="FF008000"/>
      <x:name val="Arial"/>
    </x:font>
    <x:font>
      <x:b/>
      <x:sz val="12"/>
      <x:color rgb="FFFFFFFF"/>
      <x:name val="Arial"/>
    </x:font>
    <x:font>
      <x:b/>
      <x:sz val="9"/>
      <x:color rgb="FF0A1628"/>
      <x:name val="Arial"/>
    </x:font>
    <x:font>
      <x:sz val="10"/>
      <x:color rgb="FF0000FF"/>
      <x:name val="Arial"/>
    </x:font>
    <x:font>
      <x:i/>
      <x:sz val="8"/>
      <x:color rgb="FF5A6A7E"/>
      <x:name val="Arial"/>
    </x:font>
    <x:font>
      <x:sz val="9"/>
      <x:color rgb="FF856404"/>
      <x:name val="Arial"/>
    </x:font>
    <x:font>
      <x:b/>
      <x:sz val="9"/>
      <x:color rgb="FFFFFFFF"/>
      <x:name val="Arial"/>
    </x:font>
    <x:font>
      <x:sz val="9"/>
      <x:color rgb="FF0000FF"/>
      <x:name val="Arial"/>
    </x:font>
    <x:font>
      <x:sz val="10"/>
      <x:color rgb="FF000000"/>
      <x:name val="Arial"/>
    </x:font>
    <x:font>
      <x:b/>
      <x:sz val="11"/>
      <x:color rgb="FF000000"/>
      <x:name val="Arial"/>
    </x:font>
    <x:font>
      <x:i/>
      <x:sz val="9"/>
      <x:color rgb="FF333333"/>
      <x:name val="Arial"/>
    </x:font>
    <x:font>
      <x:sz val="9"/>
      <x:color rgb="FF222222"/>
      <x:name val="Arial"/>
    </x:font>
    <x:font>
      <x:sz val="9"/>
      <x:color rgb="FF721C24"/>
      <x:name val="Arial"/>
    </x:font>
    <x:font>
      <x:sz val="9"/>
      <x:color rgb="FF000000"/>
      <x:name val="Arial"/>
    </x:font>
    <x:font>
      <x:sz val="9"/>
      <x:color rgb="FF0A1628"/>
      <x:name val="Arial"/>
    </x:font>
    <x:font>
      <x:sz val="9"/>
      <x:color rgb="FF155724"/>
      <x:name val="Arial"/>
    </x:font>
    <x:font>
      <x:sz val="10"/>
      <x:name val="Arial"/>
    </x:font>
    <x:font>
      <x:b/>
      <x:sz val="16"/>
      <x:color rgb="FFFFFFFF"/>
      <x:name val="Calibri"/>
    </x:font>
    <x:font>
      <x:i/>
      <x:sz val="10"/>
      <x:color rgb="FF516173"/>
      <x:name val="Calibri"/>
    </x:font>
    <x:font>
      <x:b/>
      <x:sz val="12"/>
      <x:color rgb="FFFFFFFF"/>
      <x:name val="Calibri"/>
    </x:font>
    <x:font>
      <x:sz val="10"/>
      <x:color rgb="FF263746"/>
      <x:name val="Calibri"/>
    </x:font>
    <x:font>
      <x:b/>
      <x:sz val="9"/>
      <x:color rgb="FF0B1C33"/>
      <x:name val="Calibri"/>
    </x:font>
    <x:font>
      <x:sz val="11"/>
      <x:color rgb="FF1F5D95"/>
      <x:name val="Calibri"/>
    </x:font>
  </x:fonts>
  <x:fills count="16">
    <x:fill>
      <x:patternFill patternType="none"/>
    </x:fill>
    <x:fill>
      <x:patternFill patternType="gray125"/>
    </x:fill>
    <x:fill>
      <x:patternFill patternType="solid">
        <x:fgColor rgb="FF0A1628"/>
      </x:patternFill>
    </x:fill>
    <x:fill>
      <x:patternFill patternType="solid">
        <x:fgColor rgb="FFFFFFFF"/>
      </x:patternFill>
    </x:fill>
    <x:fill>
      <x:patternFill patternType="solid">
        <x:fgColor rgb="FFEBF3FA"/>
      </x:patternFill>
    </x:fill>
    <x:fill>
      <x:patternFill patternType="solid">
        <x:fgColor rgb="FFFFFDE7"/>
      </x:patternFill>
    </x:fill>
    <x:fill>
      <x:patternFill patternType="solid">
        <x:fgColor rgb="FFFFFF00"/>
      </x:patternFill>
    </x:fill>
    <x:fill>
      <x:patternFill patternType="solid">
        <x:fgColor rgb="FFD6E4F0"/>
      </x:patternFill>
    </x:fill>
    <x:fill>
      <x:patternFill patternType="solid">
        <x:fgColor rgb="FFFFF3CD"/>
      </x:patternFill>
    </x:fill>
    <x:fill>
      <x:patternFill patternType="solid">
        <x:fgColor rgb="FFF4F7FB"/>
      </x:patternFill>
    </x:fill>
    <x:fill>
      <x:patternFill patternType="solid">
        <x:fgColor rgb="FFF8D7DA"/>
      </x:patternFill>
    </x:fill>
    <x:fill>
      <x:patternFill patternType="solid">
        <x:fgColor rgb="FFD4EDDA"/>
      </x:patternFill>
    </x:fill>
    <x:fill>
      <x:patternFill patternType="solid">
        <x:fgColor rgb="FF0B1C33"/>
      </x:patternFill>
    </x:fill>
    <x:fill>
      <x:patternFill patternType="solid">
        <x:fgColor rgb="FFEAF3FB"/>
      </x:patternFill>
    </x:fill>
    <x:fill>
      <x:patternFill patternType="solid">
        <x:fgColor rgb="FFDDE9F3"/>
      </x:patternFill>
    </x:fill>
    <x:fill>
      <x:patternFill patternType="solid">
        <x:fgColor rgb="FFFFF4D6"/>
      </x:patternFill>
    </x:fill>
  </x:fills>
  <x:borders count="31">
    <x:border diagonalUp="0" diagonalDown="0"/>
    <x:border diagonalUp="0" diagonalDown="0">
      <x:bottom style="medium">
        <x:color rgb="FFC9A84C"/>
      </x:bottom>
    </x:border>
    <x:border diagonalUp="0" diagonalDown="0">
      <x:left style="medium">
        <x:color rgb="FFC9A84C"/>
      </x:left>
    </x:border>
    <x:border diagonalUp="0" diagonalDown="0">
      <x:left style="thin">
        <x:color rgb="FFCBD8E8"/>
      </x:left>
      <x:top style="thin">
        <x:color rgb="FFCBD8E8"/>
      </x:top>
      <x:bottom style="thin">
        <x:color rgb="FFCBD8E8"/>
      </x:bottom>
    </x:border>
    <x:border diagonalUp="0" diagonalDown="0">
      <x:left style="medium">
        <x:color rgb="FFC9A84C"/>
      </x:left>
      <x:bottom style="medium">
        <x:color rgb="FFC9A84C"/>
      </x:bottom>
    </x:border>
    <x:border diagonalUp="0" diagonalDown="0">
      <x:top style="medium">
        <x:color rgb="FFCBD8E8"/>
      </x:top>
      <x:bottom style="thin">
        <x:color rgb="FFCBD8E8"/>
      </x:bottom>
    </x:border>
    <x:border diagonalUp="0" diagonalDown="0">
      <x:left style="thin">
        <x:color rgb="FF0A1628"/>
      </x:left>
      <x:right style="thin">
        <x:color rgb="FF0A1628"/>
      </x:right>
      <x:top style="thin">
        <x:color rgb="FF0A1628"/>
      </x:top>
      <x:bottom style="thin">
        <x:color rgb="FF0A1628"/>
      </x:bottom>
    </x:border>
    <x:border diagonalUp="0" diagonalDown="0">
      <x:left style="medium">
        <x:color rgb="FFC9A84C"/>
      </x:left>
      <x:right style="thin">
        <x:color rgb="FFCBD8E8"/>
      </x:right>
      <x:top style="thin">
        <x:color rgb="FFCBD8E8"/>
      </x:top>
      <x:bottom style="thin">
        <x:color rgb="FFCBD8E8"/>
      </x:bottom>
    </x:border>
    <x:border diagonalUp="0" diagonalDown="0">
      <x:left style="thin">
        <x:color rgb="FFC9A84C"/>
      </x:left>
      <x:right style="thin">
        <x:color rgb="FFC9A84C"/>
      </x:right>
      <x:top style="thin">
        <x:color rgb="FFC9A84C"/>
      </x:top>
      <x:bottom style="thin">
        <x:color rgb="FFC9A84C"/>
      </x:bottom>
    </x:border>
    <x:border diagonalUp="0" diagonalDown="0">
      <x:top style="medium">
        <x:color rgb="FFC9A84C"/>
      </x:top>
      <x:bottom style="medium">
        <x:color rgb="FFC9A84C"/>
      </x:bottom>
    </x:border>
    <x:border diagonalUp="0" diagonalDown="0">
      <x:left style="thin">
        <x:color rgb="FFCBD8E8"/>
      </x:left>
      <x:right style="thin">
        <x:color rgb="FFCBD8E8"/>
      </x:right>
      <x:top style="thin">
        <x:color rgb="FFCBD8E8"/>
      </x:top>
      <x:bottom style="thin">
        <x:color rgb="FFCBD8E8"/>
      </x:bottom>
    </x:border>
    <x:border diagonalUp="0" diagonalDown="0">
      <x:top style="medium">
        <x:color rgb="FFC9A84C"/>
      </x:top>
      <x:bottom style="thin">
        <x:color rgb="FFC9A84C"/>
      </x:bottom>
    </x:border>
    <x:border diagonalUp="0" diagonalDown="0">
      <x:left style="thin">
        <x:color rgb="FFC9A84C"/>
      </x:left>
      <x:top style="thin">
        <x:color rgb="FFC9A84C"/>
      </x:top>
      <x:bottom style="thin">
        <x:color rgb="FFC9A84C"/>
      </x:bottom>
    </x:border>
    <x:border diagonalUp="0" diagonalDown="0">
      <x:left style="thin">
        <x:color rgb="FF0A1628"/>
      </x:left>
      <x:top style="thin">
        <x:color rgb="FF0A1628"/>
      </x:top>
      <x:bottom style="thin">
        <x:color rgb="FF0A1628"/>
      </x:bottom>
    </x:border>
    <x:border diagonalUp="0" diagonalDown="0">
      <x:left style="medium">
        <x:color rgb="FFC0392B"/>
      </x:left>
    </x:border>
    <x:border diagonalUp="0" diagonalDown="0">
      <x:top style="medium">
        <x:color rgb="FFC0392B"/>
      </x:top>
      <x:bottom style="thin">
        <x:color rgb="FFC0392B"/>
      </x:bottom>
    </x:border>
    <x:border diagonalUp="0" diagonalDown="0">
      <x:left style="medium">
        <x:color rgb="FFC9A84C"/>
      </x:left>
      <x:bottom style="thin">
        <x:color rgb="FF0A1628"/>
      </x:bottom>
    </x:border>
    <x:border diagonalUp="0" diagonalDown="0">
      <x:top style="medium">
        <x:color rgb="FFC9A84C"/>
      </x:top>
    </x:border>
    <x:border diagonalUp="0" diagonalDown="0">
      <x:left style="medium">
        <x:color rgb="FFD59A22"/>
      </x:left>
      <x:top style="medium">
        <x:color rgb="FFD59A22"/>
      </x:top>
      <x:bottom style="medium">
        <x:color rgb="FFD59A22"/>
      </x:bottom>
    </x:border>
    <x:border diagonalUp="0" diagonalDown="0">
      <x:top style="medium">
        <x:color rgb="FFD59A22"/>
      </x:top>
      <x:bottom style="medium">
        <x:color rgb="FFD59A22"/>
      </x:bottom>
    </x:border>
    <x:border diagonalUp="0" diagonalDown="0">
      <x:right style="medium">
        <x:color rgb="FFD59A22"/>
      </x:right>
      <x:top style="medium">
        <x:color rgb="FFD59A22"/>
      </x:top>
      <x:bottom style="medium">
        <x:color rgb="FFD59A22"/>
      </x:bottom>
    </x:border>
    <x:border diagonalUp="0" diagonalDown="0">
      <x:left style="thin">
        <x:color rgb="FFB7C9DA"/>
      </x:left>
      <x:top style="thin">
        <x:color rgb="FFB7C9DA"/>
      </x:top>
    </x:border>
    <x:border diagonalUp="0" diagonalDown="0">
      <x:top style="thin">
        <x:color rgb="FFB7C9DA"/>
      </x:top>
    </x:border>
    <x:border diagonalUp="0" diagonalDown="0">
      <x:right style="thin">
        <x:color rgb="FFB7C9DA"/>
      </x:right>
      <x:top style="thin">
        <x:color rgb="FFB7C9DA"/>
      </x:top>
    </x:border>
    <x:border diagonalUp="0" diagonalDown="0">
      <x:left style="thin">
        <x:color rgb="FFB7C9DA"/>
      </x:left>
      <x:bottom style="thin">
        <x:color rgb="FFB7C9DA"/>
      </x:bottom>
    </x:border>
    <x:border diagonalUp="0" diagonalDown="0">
      <x:bottom style="thin">
        <x:color rgb="FFB7C9DA"/>
      </x:bottom>
    </x:border>
    <x:border diagonalUp="0" diagonalDown="0">
      <x:right style="thin">
        <x:color rgb="FFB7C9DA"/>
      </x:right>
      <x:bottom style="thin">
        <x:color rgb="FFB7C9DA"/>
      </x:bottom>
    </x:border>
    <x:border diagonalUp="0" diagonalDown="0">
      <x:left style="thin">
        <x:color rgb="FFB7C9DA"/>
      </x:left>
      <x:right style="thin">
        <x:color rgb="FFB7C9DA"/>
      </x:right>
      <x:top style="thin">
        <x:color rgb="FFB7C9DA"/>
      </x:top>
      <x:bottom style="thin">
        <x:color rgb="FFB7C9DA"/>
      </x:bottom>
    </x:border>
    <x:border diagonalUp="0" diagonalDown="0">
      <x:left style="thin">
        <x:color rgb="FFB7C9DA"/>
      </x:left>
    </x:border>
    <x:border diagonalUp="0" diagonalDown="0">
      <x:right style="thin">
        <x:color rgb="FFB7C9DA"/>
      </x:right>
    </x:border>
    <x:border diagonalUp="0" diagonalDown="0">
      <x:left style="thin">
        <x:color rgb="FFD59A22"/>
      </x:left>
      <x:right style="thin">
        <x:color rgb="FFD59A22"/>
      </x:right>
      <x:top style="thin">
        <x:color rgb="FFD59A22"/>
      </x:top>
      <x:bottom style="thin">
        <x:color rgb="FFD59A22"/>
      </x:bottom>
    </x:border>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100">
    <x:xf numFmtId="164" fontId="0" fillId="0" borderId="0" xfId="0" applyFont="0" applyBorder="0" applyAlignment="0">
      <x:alignment horizontal="general" vertical="bottom" wrapText="0"/>
    </x:xf>
    <x:xf numFmtId="164" fontId="0" fillId="0" borderId="0" xfId="0" applyFont="0" applyBorder="0" applyAlignment="1">
      <x:alignment horizontal="general" vertical="bottom" wrapText="0"/>
    </x:xf>
    <x:xf numFmtId="164" fontId="4" fillId="2" borderId="1" xfId="0" applyFont="1" applyBorder="1" applyAlignment="1">
      <x:alignment horizontal="center" vertical="center" wrapText="0"/>
    </x:xf>
    <x:xf numFmtId="164" fontId="5" fillId="3" borderId="0" xfId="0" applyFont="1" applyBorder="1" applyAlignment="1">
      <x:alignment horizontal="center" vertical="center" wrapText="0"/>
    </x:xf>
    <x:xf numFmtId="164" fontId="6" fillId="2" borderId="2" xfId="0" applyFont="1" applyBorder="1" applyAlignment="1">
      <x:alignment horizontal="left" vertical="center" wrapText="0"/>
    </x:xf>
    <x:xf numFmtId="164" fontId="7" fillId="4" borderId="3" xfId="0" applyFont="1" applyBorder="1" applyAlignment="1">
      <x:alignment horizontal="left" vertical="center" wrapText="1"/>
    </x:xf>
    <x:xf numFmtId="164" fontId="6" fillId="2" borderId="4" xfId="0" applyFont="1" applyBorder="1" applyAlignment="1">
      <x:alignment horizontal="left" vertical="center" wrapText="0"/>
    </x:xf>
    <x:xf numFmtId="164" fontId="7" fillId="3" borderId="3" xfId="0" applyFont="1" applyBorder="1" applyAlignment="1">
      <x:alignment horizontal="left" vertical="center" wrapText="0"/>
    </x:xf>
    <x:xf numFmtId="164" fontId="8" fillId="4" borderId="5" xfId="0" applyFont="1" applyBorder="1" applyAlignment="1">
      <x:alignment horizontal="left" vertical="center" wrapText="1"/>
    </x:xf>
    <x:xf numFmtId="164" fontId="6" fillId="2" borderId="6" xfId="0" applyFont="1" applyBorder="1" applyAlignment="1">
      <x:alignment horizontal="center" vertical="center" wrapText="0"/>
    </x:xf>
    <x:xf numFmtId="164" fontId="9" fillId="4" borderId="7" xfId="0" applyFont="1" applyBorder="1" applyAlignment="1">
      <x:alignment horizontal="left" vertical="center" wrapText="0"/>
    </x:xf>
    <x:xf numFmtId="165" fontId="10" fillId="5" borderId="8" xfId="0" applyFont="1" applyBorder="1" applyAlignment="1">
      <x:alignment horizontal="center" vertical="center" wrapText="0"/>
    </x:xf>
    <x:xf numFmtId="164" fontId="9" fillId="3" borderId="7" xfId="0" applyFont="1" applyBorder="1" applyAlignment="1">
      <x:alignment horizontal="left" vertical="center" wrapText="0"/>
    </x:xf>
    <x:xf numFmtId="166" fontId="10" fillId="5" borderId="8" xfId="0" applyFont="1" applyBorder="1" applyAlignment="1">
      <x:alignment horizontal="center" vertical="center" wrapText="0"/>
    </x:xf>
    <x:xf numFmtId="164" fontId="10" fillId="5" borderId="8" xfId="0" applyFont="1" applyBorder="1" applyAlignment="1">
      <x:alignment horizontal="center" vertical="center" wrapText="0"/>
    </x:xf>
    <x:xf numFmtId="167" fontId="10" fillId="5" borderId="8" xfId="0" applyFont="1" applyBorder="1" applyAlignment="1">
      <x:alignment horizontal="center" vertical="center" wrapText="0"/>
    </x:xf>
    <x:xf numFmtId="164" fontId="11" fillId="2" borderId="9" xfId="0" applyFont="1" applyBorder="1" applyAlignment="1">
      <x:alignment horizontal="left" vertical="center" wrapText="0"/>
    </x:xf>
    <x:xf numFmtId="164" fontId="12" fillId="4" borderId="10" xfId="0" applyFont="1" applyBorder="1" applyAlignment="1">
      <x:alignment horizontal="left" vertical="center" wrapText="0"/>
    </x:xf>
    <x:xf numFmtId="164" fontId="13" fillId="6" borderId="8" xfId="0" applyFont="1" applyBorder="1" applyAlignment="1">
      <x:alignment horizontal="center" vertical="center" wrapText="0"/>
    </x:xf>
    <x:xf numFmtId="168" fontId="9" fillId="7" borderId="10" xfId="0" applyFont="1" applyBorder="1" applyAlignment="1">
      <x:alignment horizontal="center" vertical="center" wrapText="0"/>
    </x:xf>
    <x:xf numFmtId="164" fontId="12" fillId="4" borderId="10" xfId="0" applyFont="1" applyBorder="1" applyAlignment="1">
      <x:alignment horizontal="left" vertical="center" wrapText="1"/>
    </x:xf>
    <x:xf numFmtId="165" fontId="13" fillId="6" borderId="8" xfId="0" applyFont="1" applyBorder="1" applyAlignment="1">
      <x:alignment horizontal="center" vertical="center" wrapText="0"/>
    </x:xf>
    <x:xf numFmtId="169" fontId="13" fillId="6" borderId="8" xfId="0" applyFont="1" applyBorder="1" applyAlignment="1">
      <x:alignment horizontal="center" vertical="center" wrapText="0"/>
    </x:xf>
    <x:xf numFmtId="164" fontId="14" fillId="4" borderId="10" xfId="0" applyFont="1" applyBorder="1" applyAlignment="1">
      <x:alignment horizontal="left" vertical="center" wrapText="0"/>
    </x:xf>
    <x:xf numFmtId="164" fontId="15" fillId="8" borderId="11" xfId="0" applyFont="1" applyBorder="1" applyAlignment="1">
      <x:alignment horizontal="left" vertical="center" wrapText="1"/>
    </x:xf>
    <x:xf numFmtId="164" fontId="16" fillId="2" borderId="6" xfId="0" applyFont="1" applyBorder="1" applyAlignment="1">
      <x:alignment horizontal="center" vertical="center" wrapText="1"/>
    </x:xf>
    <x:xf numFmtId="164" fontId="16" fillId="2" borderId="6" xfId="0" applyFont="1" applyBorder="1" applyAlignment="1">
      <x:alignment horizontal="center" vertical="center" wrapText="0"/>
    </x:xf>
    <x:xf numFmtId="164" fontId="9" fillId="4" borderId="10" xfId="0" applyFont="1" applyBorder="1" applyAlignment="1">
      <x:alignment horizontal="left" vertical="center" wrapText="0"/>
    </x:xf>
    <x:xf numFmtId="164" fontId="17" fillId="6" borderId="12" xfId="0" applyFont="1" applyBorder="1" applyAlignment="1">
      <x:alignment horizontal="left" vertical="center" wrapText="1"/>
    </x:xf>
    <x:xf numFmtId="164" fontId="9" fillId="3" borderId="10" xfId="0" applyFont="1" applyBorder="1" applyAlignment="1">
      <x:alignment horizontal="left" vertical="center" wrapText="0"/>
    </x:xf>
    <x:xf numFmtId="164" fontId="16" fillId="2" borderId="13" xfId="0" applyFont="1" applyBorder="1" applyAlignment="1">
      <x:alignment horizontal="center" vertical="center" wrapText="0"/>
    </x:xf>
    <x:xf numFmtId="168" fontId="18" fillId="5" borderId="8" xfId="0" applyFont="1" applyBorder="1" applyAlignment="1">
      <x:alignment horizontal="center" vertical="center" wrapText="0"/>
    </x:xf>
    <x:xf numFmtId="165" fontId="18" fillId="5" borderId="8" xfId="0" applyFont="1" applyBorder="1" applyAlignment="1">
      <x:alignment horizontal="center" vertical="center" wrapText="0"/>
    </x:xf>
    <x:xf numFmtId="166" fontId="18" fillId="5" borderId="8" xfId="0" applyFont="1" applyBorder="1" applyAlignment="1">
      <x:alignment horizontal="center" vertical="center" wrapText="0"/>
    </x:xf>
    <x:xf numFmtId="164" fontId="18" fillId="4" borderId="10" xfId="0" applyFont="1" applyBorder="1" applyAlignment="1">
      <x:alignment horizontal="left" vertical="center" wrapText="0"/>
    </x:xf>
    <x:xf numFmtId="164" fontId="18" fillId="4" borderId="10" xfId="0" applyFont="1" applyBorder="1" applyAlignment="1">
      <x:alignment horizontal="center" vertical="center" wrapText="0"/>
    </x:xf>
    <x:xf numFmtId="164" fontId="18" fillId="3" borderId="10" xfId="0" applyFont="1" applyBorder="1" applyAlignment="1">
      <x:alignment horizontal="left" vertical="center" wrapText="0"/>
    </x:xf>
    <x:xf numFmtId="164" fontId="18" fillId="3" borderId="10" xfId="0" applyFont="1" applyBorder="1" applyAlignment="1">
      <x:alignment horizontal="center" vertical="center" wrapText="0"/>
    </x:xf>
    <x:xf numFmtId="164" fontId="6" fillId="2" borderId="9" xfId="0" applyFont="1" applyBorder="1" applyAlignment="1">
      <x:alignment horizontal="left" vertical="center" wrapText="0"/>
    </x:xf>
    <x:xf numFmtId="165" fontId="19" fillId="5" borderId="8" xfId="0" applyFont="1" applyBorder="1" applyAlignment="1">
      <x:alignment horizontal="center" vertical="center" wrapText="0"/>
    </x:xf>
    <x:xf numFmtId="164" fontId="5" fillId="4" borderId="3" xfId="0" applyFont="1" applyBorder="1" applyAlignment="1">
      <x:alignment horizontal="left" vertical="center" wrapText="0"/>
    </x:xf>
    <x:xf numFmtId="167" fontId="18" fillId="5" borderId="8" xfId="0" applyFont="1" applyBorder="1" applyAlignment="1">
      <x:alignment horizontal="center" vertical="center" wrapText="0"/>
    </x:xf>
    <x:xf numFmtId="167" fontId="13" fillId="6" borderId="8" xfId="0" applyFont="1" applyBorder="1" applyAlignment="1">
      <x:alignment horizontal="center" vertical="center" wrapText="0"/>
    </x:xf>
    <x:xf numFmtId="164" fontId="20" fillId="9" borderId="10" xfId="0" applyFont="1" applyBorder="1" applyAlignment="1">
      <x:alignment horizontal="left" vertical="center" wrapText="1"/>
    </x:xf>
    <x:xf numFmtId="164" fontId="20" fillId="4" borderId="3" xfId="0" applyFont="1" applyBorder="1" applyAlignment="1">
      <x:alignment horizontal="left" vertical="center" wrapText="1"/>
    </x:xf>
    <x:xf numFmtId="164" fontId="8" fillId="3" borderId="10" xfId="0" applyFont="1" applyBorder="1" applyAlignment="1">
      <x:alignment horizontal="center" vertical="center" wrapText="0"/>
    </x:xf>
    <x:xf numFmtId="164" fontId="19" fillId="5" borderId="8" xfId="0" applyFont="1" applyBorder="1" applyAlignment="1">
      <x:alignment horizontal="center" vertical="center" wrapText="0"/>
    </x:xf>
    <x:xf numFmtId="164" fontId="21" fillId="4" borderId="3" xfId="0" applyFont="1" applyBorder="1" applyAlignment="1">
      <x:alignment horizontal="left" vertical="center" wrapText="1"/>
    </x:xf>
    <x:xf numFmtId="164" fontId="5" fillId="4" borderId="3" xfId="0" applyFont="1" applyBorder="1" applyAlignment="1">
      <x:alignment horizontal="left" vertical="center" wrapText="1"/>
    </x:xf>
    <x:xf numFmtId="164" fontId="6" fillId="2" borderId="14" xfId="0" applyFont="1" applyBorder="1" applyAlignment="1">
      <x:alignment horizontal="left" vertical="center" wrapText="0"/>
    </x:xf>
    <x:xf numFmtId="164" fontId="22" fillId="10" borderId="15" xfId="0" applyFont="1" applyBorder="1" applyAlignment="1">
      <x:alignment horizontal="left" vertical="center" wrapText="1"/>
    </x:xf>
    <x:xf numFmtId="164" fontId="16" fillId="2" borderId="16" xfId="0" applyFont="1" applyBorder="1" applyAlignment="1">
      <x:alignment horizontal="left" vertical="center" wrapText="0"/>
    </x:xf>
    <x:xf numFmtId="164" fontId="16" fillId="2" borderId="17" xfId="0" applyFont="1" applyBorder="1" applyAlignment="1">
      <x:alignment horizontal="left" vertical="center" wrapText="0"/>
    </x:xf>
    <x:xf numFmtId="164" fontId="18" fillId="4" borderId="3" xfId="0" applyFont="1" applyBorder="1" applyAlignment="1">
      <x:alignment horizontal="center" vertical="center" wrapText="0"/>
    </x:xf>
    <x:xf numFmtId="164" fontId="18" fillId="3" borderId="3" xfId="0" applyFont="1" applyBorder="1" applyAlignment="1">
      <x:alignment horizontal="center" vertical="center" wrapText="0"/>
    </x:xf>
    <x:xf numFmtId="164" fontId="5" fillId="9" borderId="10" xfId="0" applyFont="1" applyBorder="1" applyAlignment="1">
      <x:alignment horizontal="left" vertical="center" wrapText="1"/>
    </x:xf>
    <x:xf numFmtId="166" fontId="13" fillId="6" borderId="8" xfId="0" applyFont="1" applyBorder="1" applyAlignment="1">
      <x:alignment horizontal="center" vertical="center" wrapText="0"/>
    </x:xf>
    <x:xf numFmtId="164" fontId="17" fillId="6" borderId="8" xfId="0" applyFont="1" applyBorder="1" applyAlignment="1">
      <x:alignment horizontal="left" vertical="center" wrapText="1"/>
    </x:xf>
    <x:xf numFmtId="164" fontId="17" fillId="6" borderId="8" xfId="0" applyFont="1" applyBorder="1" applyAlignment="1">
      <x:alignment horizontal="center" vertical="center" wrapText="0"/>
    </x:xf>
    <x:xf numFmtId="164" fontId="23" fillId="5" borderId="8" xfId="0" applyFont="1" applyBorder="1" applyAlignment="1">
      <x:alignment horizontal="center" vertical="center" wrapText="0"/>
    </x:xf>
    <x:xf numFmtId="164" fontId="24" fillId="7" borderId="8" xfId="0" applyFont="1" applyBorder="1" applyAlignment="1">
      <x:alignment horizontal="center" vertical="center" wrapText="0"/>
    </x:xf>
    <x:xf numFmtId="164" fontId="25" fillId="11" borderId="8" xfId="0" applyFont="1" applyBorder="1" applyAlignment="1">
      <x:alignment horizontal="center" vertical="center" wrapText="0"/>
    </x:xf>
    <x:xf numFmtId="164" fontId="22" fillId="10" borderId="8" xfId="0" applyFont="1" applyBorder="1" applyAlignment="1">
      <x:alignment horizontal="center" vertical="center" wrapText="0"/>
    </x:xf>
    <x:xf numFmtId="164" fontId="15" fillId="8" borderId="8" xfId="0" applyFont="1" applyBorder="1" applyAlignment="1">
      <x:alignment horizontal="center" vertical="center" wrapText="0"/>
    </x:xf>
    <x:xf numFmtId="164" fontId="0" fillId="12" borderId="0" xfId="0" applyNumberFormat="1" applyFont="1" applyFill="1" applyBorder="1" applyAlignment="1">
      <x:alignment horizontal="general" vertical="bottom" wrapText="0"/>
    </x:xf>
    <x:xf numFmtId="164" fontId="27" fillId="12" borderId="0" xfId="0" applyNumberFormat="1" applyFont="1" applyFill="1" applyBorder="1" applyAlignment="1">
      <x:alignment horizontal="general" vertical="bottom" wrapText="0"/>
    </x:xf>
    <x:xf numFmtId="164" fontId="27" fillId="12" borderId="0" xfId="0" applyNumberFormat="1" applyFont="1" applyFill="1" applyBorder="1" applyAlignment="1">
      <x:alignment horizontal="center" vertical="bottom" wrapText="0"/>
    </x:xf>
    <x:xf numFmtId="164" fontId="28" fillId="0" borderId="0" xfId="0" applyNumberFormat="1" applyFont="1" applyFill="1" applyBorder="1" applyAlignment="1">
      <x:alignment horizontal="general" vertical="bottom" wrapText="0"/>
    </x:xf>
    <x:xf numFmtId="164" fontId="28" fillId="0" borderId="0" xfId="0" applyNumberFormat="1" applyFont="1" applyFill="1" applyBorder="1" applyAlignment="1">
      <x:alignment horizontal="center" vertical="bottom" wrapText="0"/>
    </x:xf>
    <x:xf numFmtId="164" fontId="29" fillId="12" borderId="0" xfId="0" applyNumberFormat="1" applyFont="1" applyFill="1" applyBorder="1" applyAlignment="1">
      <x:alignment horizontal="general" vertical="bottom" wrapText="0"/>
    </x:xf>
    <x:xf numFmtId="164" fontId="29" fillId="12" borderId="0" xfId="0" applyNumberFormat="1" applyFont="1" applyFill="1" applyBorder="1" applyAlignment="1">
      <x:alignment horizontal="left" vertical="bottom" wrapText="0"/>
    </x:xf>
    <x:xf numFmtId="164" fontId="29" fillId="12" borderId="0" xfId="0" applyNumberFormat="1" applyFont="1" applyFill="1" applyBorder="1" applyAlignment="1">
      <x:alignment horizontal="left" vertical="center" wrapText="0"/>
    </x:xf>
    <x:xf numFmtId="164" fontId="29" fillId="12" borderId="18" xfId="0" applyNumberFormat="1" applyFont="1" applyFill="1" applyBorder="1" applyAlignment="1">
      <x:alignment horizontal="left" vertical="center" wrapText="0"/>
    </x:xf>
    <x:xf numFmtId="164" fontId="29" fillId="12" borderId="19" xfId="0" applyNumberFormat="1" applyFont="1" applyFill="1" applyBorder="1" applyAlignment="1">
      <x:alignment horizontal="left" vertical="center" wrapText="0"/>
    </x:xf>
    <x:xf numFmtId="164" fontId="29" fillId="12" borderId="20" xfId="0" applyNumberFormat="1" applyFont="1" applyFill="1" applyBorder="1" applyAlignment="1">
      <x:alignment horizontal="left" vertical="center" wrapText="0"/>
    </x:xf>
    <x:xf numFmtId="164" fontId="0" fillId="13" borderId="0" xfId="0" applyNumberFormat="1" applyFont="1" applyFill="1" applyBorder="1" applyAlignment="1">
      <x:alignment horizontal="general" vertical="bottom" wrapText="0"/>
    </x:xf>
    <x:xf numFmtId="164" fontId="30" fillId="13" borderId="0" xfId="0" applyNumberFormat="1" applyFont="1" applyFill="1" applyBorder="1" applyAlignment="1">
      <x:alignment horizontal="general" vertical="bottom" wrapText="0"/>
    </x:xf>
    <x:xf numFmtId="164" fontId="30" fillId="13" borderId="0" xfId="0" applyNumberFormat="1" applyFont="1" applyFill="1" applyBorder="1" applyAlignment="1">
      <x:alignment horizontal="general" vertical="bottom" wrapText="1"/>
    </x:xf>
    <x:xf numFmtId="164" fontId="30" fillId="13" borderId="0" xfId="0" applyNumberFormat="1" applyFont="1" applyFill="1" applyBorder="1" applyAlignment="1">
      <x:alignment horizontal="general" vertical="center" wrapText="1"/>
    </x:xf>
    <x:xf numFmtId="164" fontId="30" fillId="13" borderId="21" xfId="0" applyNumberFormat="1" applyFont="1" applyFill="1" applyBorder="1" applyAlignment="1">
      <x:alignment horizontal="general" vertical="center" wrapText="1"/>
    </x:xf>
    <x:xf numFmtId="164" fontId="30" fillId="13" borderId="22" xfId="0" applyNumberFormat="1" applyFont="1" applyFill="1" applyBorder="1" applyAlignment="1">
      <x:alignment horizontal="general" vertical="center" wrapText="1"/>
    </x:xf>
    <x:xf numFmtId="164" fontId="30" fillId="13" borderId="23" xfId="0" applyNumberFormat="1" applyFont="1" applyFill="1" applyBorder="1" applyAlignment="1">
      <x:alignment horizontal="general" vertical="center" wrapText="1"/>
    </x:xf>
    <x:xf numFmtId="164" fontId="30" fillId="13" borderId="24" xfId="0" applyNumberFormat="1" applyFont="1" applyFill="1" applyBorder="1" applyAlignment="1">
      <x:alignment horizontal="general" vertical="center" wrapText="1"/>
    </x:xf>
    <x:xf numFmtId="164" fontId="30" fillId="13" borderId="25" xfId="0" applyNumberFormat="1" applyFont="1" applyFill="1" applyBorder="1" applyAlignment="1">
      <x:alignment horizontal="general" vertical="center" wrapText="1"/>
    </x:xf>
    <x:xf numFmtId="164" fontId="30" fillId="13" borderId="26" xfId="0" applyNumberFormat="1" applyFont="1" applyFill="1" applyBorder="1" applyAlignment="1">
      <x:alignment horizontal="general" vertical="center" wrapText="1"/>
    </x:xf>
    <x:xf numFmtId="164" fontId="0" fillId="14" borderId="0" xfId="0" applyNumberFormat="1" applyFont="1" applyFill="1" applyBorder="1" applyAlignment="1">
      <x:alignment horizontal="general" vertical="bottom" wrapText="0"/>
    </x:xf>
    <x:xf numFmtId="164" fontId="31" fillId="14" borderId="0" xfId="0" applyNumberFormat="1" applyFont="1" applyFill="1" applyBorder="1" applyAlignment="1">
      <x:alignment horizontal="general" vertical="bottom" wrapText="0"/>
    </x:xf>
    <x:xf numFmtId="164" fontId="31" fillId="14" borderId="0" xfId="0" applyNumberFormat="1" applyFont="1" applyFill="1" applyBorder="1" applyAlignment="1">
      <x:alignment horizontal="general" vertical="bottom" wrapText="1"/>
    </x:xf>
    <x:xf numFmtId="164" fontId="0" fillId="0" borderId="0" xfId="0" applyNumberFormat="1" applyFont="1" applyFill="1" applyBorder="1" applyAlignment="1">
      <x:alignment horizontal="general" vertical="bottom" wrapText="1"/>
    </x:xf>
    <x:xf numFmtId="164" fontId="31" fillId="14" borderId="0" xfId="0" applyNumberFormat="1" applyFont="1" applyFill="1" applyBorder="1" applyAlignment="1">
      <x:alignment horizontal="general" vertical="center" wrapText="1"/>
    </x:xf>
    <x:xf numFmtId="164" fontId="0" fillId="0" borderId="0" xfId="0" applyNumberFormat="1" applyFont="1" applyFill="1" applyBorder="1" applyAlignment="1">
      <x:alignment horizontal="general" vertical="center" wrapText="1"/>
    </x:xf>
    <x:xf numFmtId="164" fontId="31" fillId="14" borderId="27" xfId="0" applyNumberFormat="1" applyFont="1" applyFill="1" applyBorder="1" applyAlignment="1">
      <x:alignment horizontal="general" vertical="center" wrapText="1"/>
    </x:xf>
    <x:xf numFmtId="164" fontId="0" fillId="0" borderId="27" xfId="0" applyNumberFormat="1" applyFont="1" applyFill="1" applyBorder="1" applyAlignment="1">
      <x:alignment horizontal="general" vertical="center" wrapText="1"/>
    </x:xf>
    <x:xf numFmtId="164" fontId="32" fillId="0" borderId="27" xfId="0" applyNumberFormat="1" applyFont="1" applyFill="1" applyBorder="1" applyAlignment="1">
      <x:alignment horizontal="general" vertical="center" wrapText="1"/>
    </x:xf>
    <x:xf numFmtId="164" fontId="30" fillId="13" borderId="28" xfId="0" applyNumberFormat="1" applyFont="1" applyFill="1" applyBorder="1" applyAlignment="1">
      <x:alignment horizontal="general" vertical="center" wrapText="1"/>
    </x:xf>
    <x:xf numFmtId="164" fontId="30" fillId="13" xfId="0" applyNumberFormat="1" applyFont="1" applyFill="1" applyBorder="0" applyAlignment="1">
      <x:alignment horizontal="general" vertical="center" wrapText="1"/>
    </x:xf>
    <x:xf numFmtId="164" fontId="30" fillId="13" borderId="29" xfId="0" applyNumberFormat="1" applyFont="1" applyFill="1" applyBorder="1" applyAlignment="1">
      <x:alignment horizontal="general" vertical="center" wrapText="1"/>
    </x:xf>
    <x:xf numFmtId="164" fontId="0" fillId="15" borderId="0" xfId="0" applyNumberFormat="1" applyFont="1" applyFill="1" applyBorder="1" applyAlignment="1">
      <x:alignment horizontal="general" vertical="bottom" wrapText="0"/>
    </x:xf>
    <x:xf numFmtId="164" fontId="31" fillId="15" borderId="0" xfId="0" applyNumberFormat="1" applyFont="1" applyFill="1" applyBorder="1" applyAlignment="1">
      <x:alignment horizontal="general" vertical="bottom" wrapText="0"/>
    </x:xf>
    <x:xf numFmtId="164" fontId="31" fillId="15" borderId="30" xfId="0" applyNumberFormat="1" applyFont="1" applyFill="1" applyBorder="1" applyAlignment="1">
      <x:alignment horizontal="general" vertical="bottom" wrapText="0"/>
    </x:xf>
  </x:cellXfs>
  <x:cellStyles count="6">
    <x:cellStyle name="Normal" xfId="0"/>
    <x:cellStyle name="Comma" xfId="15"/>
    <x:cellStyle name="Comma [0]" xfId="16"/>
    <x:cellStyle name="Currency" xfId="17"/>
    <x:cellStyle name="Currency [0]" xfId="18"/>
    <x:cellStyle name="Percent" xfId="19"/>
  </x:cellStyles>
  <x:dxfs count="7">
    <x:dxf>
      <x:font>
        <x:b/>
        <x:color rgb="FF155724"/>
        <x:name val="Arial"/>
      </x:font>
      <x:fill>
        <x:patternFill>
          <x:bgColor rgb="FFD4EDDA"/>
        </x:patternFill>
      </x:fill>
    </x:dxf>
    <x:dxf>
      <x:font>
        <x:b/>
        <x:color rgb="FF721C24"/>
        <x:name val="Arial"/>
      </x:font>
      <x:fill>
        <x:patternFill>
          <x:bgColor rgb="FFF8D7DA"/>
        </x:patternFill>
      </x:fill>
    </x:dxf>
    <x:dxf>
      <x:fill>
        <x:patternFill>
          <x:bgColor rgb="FF1E8449"/>
        </x:patternFill>
      </x:fill>
    </x:dxf>
    <x:dxf>
      <x:fill>
        <x:patternFill>
          <x:bgColor rgb="FFC0392B"/>
        </x:patternFill>
      </x:fill>
    </x:dxf>
    <x:dxf>
      <x:font>
        <x:b/>
        <x:sz val="11"/>
        <x:color rgb="FF1E8449"/>
        <x:name val="Arial"/>
      </x:font>
      <x:fill>
        <x:patternFill>
          <x:bgColor rgb="FFD4EDDA"/>
        </x:patternFill>
      </x:fill>
    </x:dxf>
    <x:dxf>
      <x:font>
        <x:b/>
        <x:sz val="11"/>
        <x:color rgb="FFC0392B"/>
        <x:name val="Arial"/>
      </x:font>
      <x:fill>
        <x:patternFill>
          <x:bgColor rgb="FFF8D7DA"/>
        </x:patternFill>
      </x:fill>
    </x:dxf>
    <x:dxf>
      <x:font>
        <x:b/>
        <x:sz val="11"/>
        <x:color rgb="FF856404"/>
        <x:name val="Arial"/>
      </x:font>
      <x:fill>
        <x:patternFill>
          <x:bgColor rgb="FFFFF3CD"/>
        </x:patternFill>
      </x:fill>
    </x:dxf>
  </x:dxfs>
  <x:colors>
    <x:indexedColors>
      <x:rgbColor rgb="FF000000"/>
      <x:rgbColor rgb="FFFFFFFF"/>
      <x:rgbColor rgb="FFFF0000"/>
      <x:rgbColor rgb="FF00FF00"/>
      <x:rgbColor rgb="FF0000FF"/>
      <x:rgbColor rgb="FFFFFF00"/>
      <x:rgbColor rgb="FFFF00FF"/>
      <x:rgbColor rgb="FF00FFFF"/>
      <x:rgbColor rgb="FF721C24"/>
      <x:rgbColor rgb="FF008000"/>
      <x:rgbColor rgb="FF000080"/>
      <x:rgbColor rgb="FF856404"/>
      <x:rgbColor rgb="FF800080"/>
      <x:rgbColor rgb="FF008080"/>
      <x:rgbColor rgb="FFF4F7FB"/>
      <x:rgbColor rgb="FF808080"/>
      <x:rgbColor rgb="FF9999FF"/>
      <x:rgbColor rgb="FFC0392B"/>
      <x:rgbColor rgb="FFFFFDE7"/>
      <x:rgbColor rgb="FFEBF3FA"/>
      <x:rgbColor rgb="FF660066"/>
      <x:rgbColor rgb="FFFF8080"/>
      <x:rgbColor rgb="FF0066CC"/>
      <x:rgbColor rgb="FFCBD8E8"/>
      <x:rgbColor rgb="FF000080"/>
      <x:rgbColor rgb="FFFF00FF"/>
      <x:rgbColor rgb="FFFFFF00"/>
      <x:rgbColor rgb="FF00FFFF"/>
      <x:rgbColor rgb="FF800080"/>
      <x:rgbColor rgb="FF800000"/>
      <x:rgbColor rgb="FF008080"/>
      <x:rgbColor rgb="FF0000FF"/>
      <x:rgbColor rgb="FF00CCFF"/>
      <x:rgbColor rgb="FFD6E4F0"/>
      <x:rgbColor rgb="FFD4EDDA"/>
      <x:rgbColor rgb="FFFFF3CD"/>
      <x:rgbColor rgb="FF99CCFF"/>
      <x:rgbColor rgb="FFFF99CC"/>
      <x:rgbColor rgb="FFCC99FF"/>
      <x:rgbColor rgb="FFF8D7DA"/>
      <x:rgbColor rgb="FF3366FF"/>
      <x:rgbColor rgb="FF33CCCC"/>
      <x:rgbColor rgb="FF99CC00"/>
      <x:rgbColor rgb="FFFFCC00"/>
      <x:rgbColor rgb="FFFF9900"/>
      <x:rgbColor rgb="FFFF6600"/>
      <x:rgbColor rgb="FF5A6A7E"/>
      <x:rgbColor rgb="FFC9A84C"/>
      <x:rgbColor rgb="FF155724"/>
      <x:rgbColor rgb="FF1E8449"/>
      <x:rgbColor rgb="FF0A1628"/>
      <x:rgbColor rgb="FF222222"/>
      <x:rgbColor rgb="FF8B1A1A"/>
      <x:rgbColor rgb="FF993366"/>
      <x:rgbColor rgb="FF1A3A8B"/>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ce93802975e4049" /><Relationship Type="http://schemas.openxmlformats.org/officeDocument/2006/relationships/theme" Target="/xl/theme/theme1.xml" Id="R44a93257b4104e69" /><Relationship Type="http://schemas.openxmlformats.org/officeDocument/2006/relationships/sharedStrings" Target="/xl/sharedStrings.xml" Id="Rb760b9ff49e94925" /><Relationship Type="http://schemas.openxmlformats.org/officeDocument/2006/relationships/worksheet" Target="/xl/worksheets/sheet1.xml" Id="Ra751a2d8d3f145a1" /><Relationship Type="http://schemas.openxmlformats.org/officeDocument/2006/relationships/worksheet" Target="/xl/worksheets/sheet2.xml" Id="R9c5763a73c8f44e1" /><Relationship Type="http://schemas.openxmlformats.org/officeDocument/2006/relationships/worksheet" Target="/xl/worksheets/sheet3.xml" Id="Rd5fb0cd4e101492c" /><Relationship Type="http://schemas.openxmlformats.org/officeDocument/2006/relationships/worksheet" Target="/xl/worksheets/sheet4.xml" Id="R5ef4c4ca42eb409b" /><Relationship Type="http://schemas.openxmlformats.org/officeDocument/2006/relationships/worksheet" Target="/xl/worksheets/sheet5.xml" Id="Rabe819069bf94e0a" /><Relationship Type="http://schemas.openxmlformats.org/officeDocument/2006/relationships/worksheet" Target="/xl/worksheets/sheet6.xml" Id="R268ff1a878c544d5" /><Relationship Type="http://schemas.microsoft.com/office/2017/10/relationships/person" Target="/xl/persons/person.xml" Id="R45204dcca14746c2" /></Relationships>
</file>

<file path=xl/persons/person.xml><?xml version="1.0" encoding="utf-8"?>
<xltc:personList xmlns:xltc="http://schemas.microsoft.com/office/spreadsheetml/2018/threadedcomments">
  <xltc:person displayName="Unknown Author" id="{01FFA9AD-F842-1D06-6F3D-9B9A0B69F134}"/>
  <xltc:person displayName="Unknown Author" id="{B54671D9-040F-CDF4-0468-1B285072D4C0}"/>
  <xltc:person displayName="Unknown Author" id="{80F95E9A-21AA-62F7-F0B5-9DAB0CE3ED06}"/>
</xltc: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comments" Target="/xl/comments1.xml" Id="Rf5fd33e7184541b5" /><Relationship Type="http://schemas.openxmlformats.org/officeDocument/2006/relationships/vmlDrawing" Target="/xl/drawings/vmldrawing.vml" Id="Re076e6bd48fe45d0" /></Relationships>
</file>

<file path=xl/worksheets/_rels/sheet4.xml.rels>&#65279;<?xml version="1.0" encoding="utf-8"?><Relationships xmlns="http://schemas.openxmlformats.org/package/2006/relationships"><Relationship Type="http://schemas.openxmlformats.org/officeDocument/2006/relationships/comments" Target="/xl/comments2.xml" Id="R0dc78b3b926c41d9" /><Relationship Type="http://schemas.openxmlformats.org/officeDocument/2006/relationships/vmlDrawing" Target="/xl/drawings/vmldrawing2.vml" Id="R3bd25e4235774f7b" /></Relationships>
</file>

<file path=xl/worksheets/_rels/sheet5.xml.rels>&#65279;<?xml version="1.0" encoding="utf-8"?><Relationships xmlns="http://schemas.openxmlformats.org/package/2006/relationships"><Relationship Type="http://schemas.openxmlformats.org/officeDocument/2006/relationships/comments" Target="/xl/comments3.xml" Id="Reb2820d89afd4598" /><Relationship Type="http://schemas.openxmlformats.org/officeDocument/2006/relationships/vmlDrawing" Target="/xl/drawings/vmldrawing3.vml" Id="R2ecc168ba35c43f4" /></Relationships>
</file>

<file path=xl/worksheets/sheet1.xml><?xml version="1.0" encoding="utf-8"?>
<x:worksheet xmlns:x="http://schemas.openxmlformats.org/spreadsheetml/2006/main">
  <x:sheetPr>
    <x:tabColor rgb="FF0A1628"/>
  </x:sheetPr>
  <x:sheetViews>
    <x:sheetView showGridLines="0" workbookViewId="0"/>
  </x:sheetViews>
  <x:sheetFormatPr defaultColWidth="8.6796875" defaultRowHeight="15"/>
  <x:cols>
    <x:col min="1" max="1" width="2" style="1" hidden="0" customWidth="1"/>
    <x:col min="2" max="2" width="36" style="1" hidden="0" customWidth="1"/>
    <x:col min="3" max="3" width="58" style="1" hidden="0" customWidth="1"/>
    <x:col min="4" max="4" width="2" style="1" hidden="0" customWidth="1"/>
  </x:cols>
  <x:sheetData>
    <x:row r="1" ht="6" hidden="0" customHeight="1"/>
    <x:row r="2" ht="37.5" hidden="0" customHeight="1">
      <x:c r="A2" s="2" t="str">
        <x:v>BUS 331 — Phase 2 Workstream C: Portfolio Stress Test &amp; Quantitative Audit</x:v>
      </x:c>
      <x:c r="B2" s="2"/>
      <x:c r="C2" s="2"/>
    </x:row>
    <x:row r="3" ht="18" hidden="0" customHeight="1">
      <x:c r="A3" s="3" t="s">
        <x:v>0</x:v>
      </x:c>
      <x:c r="B3" s="3"/>
      <x:c r="C3" s="3"/>
    </x:row>
    <x:row r="4" ht="7.5" hidden="0" customHeight="1"/>
    <x:row r="5" ht="19.5" hidden="0" customHeight="1">
      <x:c r="B5" s="4" t="str">
        <x:v>  Overview — 6 Tabs</x:v>
      </x:c>
    </x:row>
    <x:row r="6" ht="51.75" hidden="0" customHeight="1">
      <x:c r="B6" s="5" t="str">
        <x:v>This workbook has six tabs: START HERE, SUMMARY, Client 1, Client 2, Client 3, and SCENARIO REVEAL. Complete one client tab for each assigned client. The SUMMARY tab auto-links key results; use SCENARIO REVEAL only after the instructor releases the adverse-event packet.</x:v>
      </x:c>
      <x:c r="C6" s="5"/>
    </x:row>
    <x:row r="7" ht="7.5" hidden="0" customHeight="1"/>
    <x:row r="8" ht="19.5" hidden="0" customHeight="1">
      <x:c r="B8" s="4" t="str">
        <x:v>  Two-stage workflow — baseline, then Scenario Reveal</x:v>
      </x:c>
    </x:row>
    <x:row r="9" ht="51.75" hidden="0" customHeight="1">
      <x:c r="B9" s="5" t="str">
        <x:v>Stage 1: Build and submit the baseline portfolio snapshot using the approved Phase 1 bear-case inputs and client guardrails. Stage 2: After the baseline checkpoint, record the instructor-issued Scenario Reveal, transfer its exact inputs to each Client tab, test the result, document a required corrective trade for each breach, and re-test before Gate 2.</x:v>
      </x:c>
      <x:c r="C9" s="5"/>
    </x:row>
    <x:row r="10" ht="7.5" hidden="0" customHeight="1"/>
    <x:row r="11" ht="19.5" hidden="0" customHeight="1">
      <x:c r="B11" s="4" t="str">
        <x:v>  Section 1 — Scenario Reveal Assumptions</x:v>
      </x:c>
    </x:row>
    <x:row r="12" ht="51.75" hidden="0" customHeight="1">
      <x:c r="B12" s="5" t="str">
        <x:v>After the baseline checkpoint, enter the instructor-issued scenario inputs exactly as released. They replace the initial scenario inputs only for the remediation test. Record the packet ID and release date on SCENARIO REVEAL; do not change the mandate, soften the scenario, or invent values.</x:v>
      </x:c>
      <x:c r="C12" s="5"/>
    </x:row>
    <x:row r="13" ht="7.5" hidden="0" customHeight="1"/>
    <x:row r="14" ht="19.5" hidden="0" customHeight="1">
      <x:c r="B14" s="4" t="str">
        <x:v>  Section 2 — Baseline Portfolio</x:v>
      </x:c>
    </x:row>
    <x:row r="15" ht="51.75" hidden="0" customHeight="1">
      <x:c r="B15" s="5" t="str">
        <x:v>Enter the submitted baseline weights from Workstream A. Keep the original allocation in the Canvas baseline snapshot. After the Scenario Reveal, use Section 5 to document the actual changes and the complete re-test.</x:v>
      </x:c>
      <x:c r="C15" s="5"/>
    </x:row>
    <x:row r="16" ht="7.5" hidden="0" customHeight="1"/>
    <x:row r="17" ht="19.5" hidden="0" customHeight="1">
      <x:c r="B17" s="4" t="s">
        <x:v>1</x:v>
      </x:c>
    </x:row>
    <x:row r="18" ht="51.75" hidden="0" customHeight="1">
      <x:c r="B18" s="5" t="str">
        <x:v>Enter portfolio Beta and σ from the Phase 2 allocation and selected holdings. Sharpe Ratio calculates automatically. Enter both Base Case and Bear Case values. Also enter the current Risk-Free Rate (Rf) from FRED series TB3MS.</x:v>
      </x:c>
      <x:c r="C18" s="5"/>
    </x:row>
    <x:row r="19" ht="7.5" hidden="0" customHeight="1"/>
    <x:row r="20" ht="19.5" hidden="0" customHeight="1">
      <x:c r="B20" s="4" t="str">
        <x:v>  Section 4 — Scenario Reveal Verdict</x:v>
      </x:c>
    </x:row>
    <x:row r="21" ht="51.75" hidden="0" customHeight="1">
      <x:c r="B21" s="5" t="str">
        <x:v>The workbook compares the revealed-scenario portfolio return with the IPS Tripwire. GREEN = PASS; RED = BREACH. A Scenario Reveal packet is calibrated to generate a meaningful decision. If your result is PASS, notify the instructor rather than skipping the remediation checkpoint.</x:v>
      </x:c>
      <x:c r="C21" s="5"/>
    </x:row>
    <x:row r="22" ht="7.5" hidden="0" customHeight="1"/>
    <x:row r="23" ht="19.5" hidden="0" customHeight="1">
      <x:c r="B23" s="4" t="str">
        <x:v>  Section 5 — Required Remediation &amp; Re-test</x:v>
      </x:c>
    </x:row>
    <x:row r="24" ht="51.75" hidden="0" customHeight="1">
      <x:c r="B24" s="5" t="str">
        <x:v>For every Scenario Reveal breach, document the specific trades: what was sold, what was bought, old and new weights, dollar impact, rationale, and client trade-off. Re-run the full scenario and IPS tests. A narrative alone does not cure a breach.</x:v>
      </x:c>
      <x:c r="C24" s="5"/>
    </x:row>
    <x:row r="25" ht="7.5" hidden="0" customHeight="1"/>
    <x:row r="26" ht="19.5" hidden="0" customHeight="1">
      <x:c r="B26" s="4" t="str">
        <x:v>  Section 6 — Final Metrics Summary</x:v>
      </x:c>
    </x:row>
    <x:row r="27" ht="51.75" hidden="0" customHeight="1">
      <x:c r="B27" s="5" t="str">
        <x:v>Enter the final metrics for Gate 2: beta, standard deviation, Sharpe, Scenario Reveal return, dollar P&amp;L, and mandate status. Use the revised figures after remediation and retain the baseline evidence separately.</x:v>
      </x:c>
      <x:c r="C27" s="5"/>
    </x:row>
    <x:row r="28" ht="7.5" hidden="0" customHeight="1"/>
    <x:row r="29" ht="19.5" hidden="0" customHeight="1">
      <x:c r="B29" s="4" t="s">
        <x:v>2</x:v>
      </x:c>
    </x:row>
    <x:row r="30" ht="51.75" hidden="0" customHeight="1">
      <x:c r="B30" s="5" t="s">
        <x:v>3</x:v>
      </x:c>
      <x:c r="C30" s="5"/>
    </x:row>
    <x:row r="32" ht="19.5" hidden="0" customHeight="1">
      <x:c r="B32" s="6" t="s">
        <x:v>4</x:v>
      </x:c>
    </x:row>
    <x:row r="33" ht="18" hidden="0" customHeight="1">
      <x:c r="B33" s="7" t="str">
        <x:v>☐  Baseline allocation, IPS scorecard, and initial results submitted before Scenario Reveal</x:v>
      </x:c>
      <x:c r="C33" s="7"/>
    </x:row>
    <x:row r="34" ht="18" hidden="0" customHeight="1">
      <x:c r="B34" s="7" t="str">
        <x:v>☐  Scenario Release Log completed with packet ID, date, client condition tested, and Canvas receipt</x:v>
      </x:c>
      <x:c r="C34" s="7"/>
    </x:row>
    <x:row r="35" ht="18" hidden="0" customHeight="1">
      <x:c r="B35" s="7" t="str">
        <x:v>☐  Released scenario inputs copied exactly; mandate and tripwire unchanged</x:v>
      </x:c>
      <x:c r="C35" s="7"/>
    </x:row>
    <x:row r="36" ht="18" hidden="0" customHeight="1">
      <x:c r="B36" s="7" t="str">
        <x:v>☐  Portfolio weights sum to 100% in the baseline and revised allocation</x:v>
      </x:c>
      <x:c r="C36" s="7"/>
    </x:row>
    <x:row r="37" ht="18" hidden="0" customHeight="1">
      <x:c r="B37" s="7" t="str">
        <x:v>☐  Risk-Free Rate (Rf), beta, and standard deviation entered with sources</x:v>
      </x:c>
      <x:c r="C37" s="7"/>
    </x:row>
    <x:row r="38" ht="18" hidden="0" customHeight="1">
      <x:c r="B38" s="7" t="str">
        <x:v>☐  Scenario Reveal verdict calculated for all three clients</x:v>
      </x:c>
      <x:c r="C38" s="7"/>
    </x:row>
    <x:row r="39" ht="18" hidden="0" customHeight="1">
      <x:c r="B39" s="7" t="str">
        <x:v>☐  Every breach has a documented security, sleeve, or weight change and trade-off</x:v>
      </x:c>
      <x:c r="C39" s="7"/>
    </x:row>
    <x:row r="40" ht="18" hidden="0" customHeight="1">
      <x:c r="B40" s="7" t="str">
        <x:v>☐  Revised scenario and full IPS scorecard re-tested after each corrective trade</x:v>
      </x:c>
      <x:c r="C40" s="7"/>
    </x:row>
    <x:row r="41" ht="18" hidden="0" customHeight="1">
      <x:c r="B41" s="7" t="str">
        <x:v>☐  SUMMARY tab shows final Gate 2 results and the committee has recorded its vote</x:v>
      </x:c>
      <x:c r="C41" s="7"/>
    </x:row>
    <x:row r="42" ht="18" hidden="0" customHeight="1">
      <x:c r="B42" s="7" t="str">
        <x:v>☐  AI Audit Log updated for any AI-assisted analysis</x:v>
      </x:c>
      <x:c r="C42" s="7"/>
    </x:row>
  </x:sheetData>
  <x:mergeCells>
    <x:mergeCell ref="A2:C2"/>
    <x:mergeCell ref="A3:C3"/>
    <x:mergeCell ref="B6:C6"/>
    <x:mergeCell ref="B9:C9"/>
    <x:mergeCell ref="B12:C12"/>
    <x:mergeCell ref="B15:C15"/>
    <x:mergeCell ref="B18:C18"/>
    <x:mergeCell ref="B21:C21"/>
    <x:mergeCell ref="B24:C24"/>
    <x:mergeCell ref="B27:C27"/>
    <x:mergeCell ref="B30:C30"/>
    <x:mergeCell ref="B33:C33"/>
    <x:mergeCell ref="B34:C34"/>
    <x:mergeCell ref="B35:C35"/>
    <x:mergeCell ref="B36:C36"/>
    <x:mergeCell ref="B37:C37"/>
    <x:mergeCell ref="B38:C38"/>
    <x:mergeCell ref="B39:C39"/>
    <x:mergeCell ref="B40:C40"/>
    <x:mergeCell ref="B41:C41"/>
    <x:mergeCell ref="B42:C42"/>
  </x:mergeCells>
  <x:pageMargins left="0.7" right="0.7" top="0.75" bottom="0.75" header="0.3" footer="0.3"/>
</x:worksheet>
</file>

<file path=xl/worksheets/sheet2.xml><?xml version="1.0" encoding="utf-8"?>
<x:worksheet xmlns:x="http://schemas.openxmlformats.org/spreadsheetml/2006/main">
  <x:sheetPr>
    <x:tabColor rgb="FFC9A84C"/>
  </x:sheetPr>
  <x:sheetViews>
    <x:sheetView showGridLines="0" workbookViewId="0"/>
  </x:sheetViews>
  <x:sheetFormatPr defaultColWidth="8.6796875" defaultRowHeight="15"/>
  <x:cols>
    <x:col min="1" max="1" width="2" style="1" hidden="0" customWidth="1"/>
    <x:col min="2" max="2" width="32" style="1" hidden="0" customWidth="1"/>
    <x:col min="3" max="5" width="18" style="1" hidden="0" customWidth="1"/>
    <x:col min="6" max="6" width="2" style="1" hidden="0" customWidth="1"/>
  </x:cols>
  <x:sheetData>
    <x:row r="1" ht="6" hidden="0" customHeight="1"/>
    <x:row r="2" ht="37.5" hidden="0" customHeight="1">
      <x:c r="A2" s="2" t="str">
        <x:v>Phase 2 Workstream C — Scenario Reveal &amp; Remediation Summary — All Clients</x:v>
      </x:c>
      <x:c r="B2" s="2"/>
      <x:c r="C2" s="2"/>
      <x:c r="D2" s="2"/>
      <x:c r="E2" s="2"/>
      <x:c r="F2" s="2"/>
    </x:row>
    <x:row r="3" ht="18" hidden="0" customHeight="1">
      <x:c r="A3" s="3" t="s">
        <x:v>5</x:v>
      </x:c>
      <x:c r="B3" s="3"/>
      <x:c r="C3" s="3"/>
      <x:c r="D3" s="3"/>
      <x:c r="E3" s="3"/>
      <x:c r="F3" s="3"/>
    </x:row>
    <x:row r="4" ht="31.5" hidden="0" customHeight="1">
      <x:c r="A4" s="8" t="str">
        <x:v>This tab links the revealed-scenario results from each client tab. Keep the separate Canvas baseline snapshot; this workbook documents the instructor-issued Scenario Reveal, corrective trades, and re-test required for Gate 2.</x:v>
      </x:c>
      <x:c r="B4" s="8"/>
      <x:c r="C4" s="8"/>
      <x:c r="D4" s="8"/>
      <x:c r="E4" s="8"/>
      <x:c r="F4" s="8"/>
    </x:row>
    <x:row r="5" ht="7.5" hidden="0" customHeight="1"/>
    <x:row r="6" ht="30" hidden="0" customHeight="1">
      <x:c r="B6" s="9" t="s">
        <x:v>6</x:v>
      </x:c>
      <x:c r="C6" s="9" t="s">
        <x:v>7</x:v>
      </x:c>
      <x:c r="D6" s="9" t="s">
        <x:v>8</x:v>
      </x:c>
      <x:c r="E6" s="9" t="s">
        <x:v>9</x:v>
      </x:c>
    </x:row>
    <x:row r="7" ht="25.5" hidden="0" customHeight="1">
      <x:c r="B7" s="10" t="s">
        <x:v>10</x:v>
      </x:c>
      <x:c r="C7" s="11" t="n">
        <x:f aca="0">'Client 1'!G5</x:f>
        <x:v>0</x:v>
      </x:c>
      <x:c r="D7" s="11" t="n">
        <x:f aca="0">'Client 2'!G5</x:f>
        <x:v>0</x:v>
      </x:c>
      <x:c r="E7" s="11" t="n">
        <x:f aca="0">'Client 3'!G5</x:f>
        <x:v>0</x:v>
      </x:c>
    </x:row>
    <x:row r="8" ht="25.5" hidden="0" customHeight="1">
      <x:c r="B8" s="12" t="str">
        <x:v>Scenario Reveal Portfolio Return</x:v>
      </x:c>
      <x:c r="C8" s="11" t="n">
        <x:f aca="0">'Client 1'!F20</x:f>
        <x:v>0</x:v>
      </x:c>
      <x:c r="D8" s="11" t="n">
        <x:f aca="0">'Client 2'!F20</x:f>
        <x:v>0</x:v>
      </x:c>
      <x:c r="E8" s="11" t="n">
        <x:f aca="0">'Client 3'!F20</x:f>
        <x:v>0</x:v>
      </x:c>
    </x:row>
    <x:row r="9" ht="25.5" hidden="0" customHeight="1">
      <x:c r="B9" s="10" t="str">
        <x:v>Scenario Reveal $ P&amp;L ($500K AUM)</x:v>
      </x:c>
      <x:c r="C9" s="13" t="n">
        <x:f aca="0">'Client 1'!G20</x:f>
        <x:v>0</x:v>
      </x:c>
      <x:c r="D9" s="13" t="n">
        <x:f aca="0">'Client 2'!G20</x:f>
        <x:v>0</x:v>
      </x:c>
      <x:c r="E9" s="13" t="n">
        <x:f aca="0">'Client 3'!G20</x:f>
        <x:v>0</x:v>
      </x:c>
    </x:row>
    <x:row r="10" ht="25.5" hidden="0" customHeight="1">
      <x:c r="B10" s="12" t="str">
        <x:v>Scenario Reveal Verdict (Pass / Breach)</x:v>
      </x:c>
      <x:c r="C10" s="14" t="str">
        <x:f aca="0">'Client 1'!F34</x:f>
      </x:c>
      <x:c r="D10" s="14" t="str">
        <x:f aca="0">'Client 2'!F34</x:f>
      </x:c>
      <x:c r="E10" s="14" t="str">
        <x:f aca="0">'Client 3'!F34</x:f>
      </x:c>
    </x:row>
    <x:row r="11" ht="25.5" hidden="0" customHeight="1">
      <x:c r="B11" s="10" t="s">
        <x:v>11</x:v>
      </x:c>
      <x:c r="C11" s="15" t="n">
        <x:f aca="0">'Client 1'!C26</x:f>
        <x:v>0</x:v>
      </x:c>
      <x:c r="D11" s="15" t="n">
        <x:f aca="0">'Client 2'!C26</x:f>
        <x:v>0</x:v>
      </x:c>
      <x:c r="E11" s="15" t="n">
        <x:f aca="0">'Client 3'!C26</x:f>
        <x:v>0</x:v>
      </x:c>
    </x:row>
    <x:row r="12" ht="25.5" hidden="0" customHeight="1">
      <x:c r="B12" s="12" t="s">
        <x:v>12</x:v>
      </x:c>
      <x:c r="C12" s="11" t="n">
        <x:f aca="0">'Client 1'!C27</x:f>
        <x:v>0</x:v>
      </x:c>
      <x:c r="D12" s="11" t="n">
        <x:f aca="0">'Client 2'!C27</x:f>
        <x:v>0</x:v>
      </x:c>
      <x:c r="E12" s="11" t="n">
        <x:f aca="0">'Client 3'!C27</x:f>
        <x:v>0</x:v>
      </x:c>
    </x:row>
    <x:row r="13" ht="25.5" hidden="0" customHeight="1">
      <x:c r="B13" s="10" t="s">
        <x:v>13</x:v>
      </x:c>
      <x:c r="C13" s="15" t="str">
        <x:f aca="0">'Client 1'!C28</x:f>
      </x:c>
      <x:c r="D13" s="15" t="str">
        <x:f aca="0">'Client 2'!C28</x:f>
      </x:c>
      <x:c r="E13" s="15" t="str">
        <x:f aca="0">'Client 3'!C28</x:f>
      </x:c>
    </x:row>
    <x:row r="14" ht="25.5" hidden="0" customHeight="1">
      <x:c r="B14" s="12" t="str">
        <x:v>Remediation &amp; re-test required?</x:v>
      </x:c>
      <x:c r="C14" s="14" t="str">
        <x:f aca="0">IF('Client 1'!F34="","",IF('Client 1'!F34="✓ PASS","NO","YES"))</x:f>
      </x:c>
      <x:c r="D14" s="14" t="str">
        <x:f aca="0">IF('Client 2'!F34="","",IF('Client 2'!F34="✓ PASS","NO","YES"))</x:f>
      </x:c>
      <x:c r="E14" s="14" t="str">
        <x:f aca="0">IF('Client 3'!F34="","",IF('Client 3'!F34="✓ PASS","NO","YES"))</x:f>
      </x:c>
    </x:row>
    <x:row r="16" ht="7.5" hidden="0" customHeight="1"/>
    <x:row r="17" ht="30" hidden="0" customHeight="1">
      <x:c r="A17" s="16" t="str">
        <x:f aca="0">IF(AND('Client 1'!F56="✓ REVISED PASS",'Client 2'!F56="✓ REVISED PASS",'Client 3'!F56="✓ REVISED PASS"),"  ✓ ALL THREE CLIENTS REMEDIATED AND RE-TESTED — Ready for the Phase 2 committee vote","  ✗ ONE OR MORE CLIENTS STILL NEEDS REMEDIATION OR RE-TESTING — Do not approve Gate 2")</x:f>
        <x:v>  ✗ ONE OR MORE CLIENTS STILL NEEDS REMEDIATION OR RE-TESTING — Do not approve Gate 2</x:v>
      </x:c>
      <x:c r="B17" s="16"/>
      <x:c r="C17" s="16"/>
      <x:c r="D17" s="16"/>
      <x:c r="E17" s="16"/>
      <x:c r="F17" s="16"/>
    </x:row>
  </x:sheetData>
  <x:mergeCells>
    <x:mergeCell ref="A2:F2"/>
    <x:mergeCell ref="A3:F3"/>
    <x:mergeCell ref="A4:F4"/>
    <x:mergeCell ref="A17:F17"/>
  </x:mergeCells>
  <x:conditionalFormatting sqref="C8:C8">
    <x:cfRule type="expression" dxfId="0" priority="2" aboveAverage="0" percent="0" bottom="0" rank="0" equalAverage="0">
      <x:formula>C8&gt;='Client 1'!G5</x:formula>
    </x:cfRule>
    <x:cfRule type="expression" dxfId="1" priority="3" aboveAverage="0" percent="0" bottom="0" rank="0" equalAverage="0">
      <x:formula>AND(C8&lt;&gt;"",C8&lt;'Client 1'!G5)</x:formula>
    </x:cfRule>
  </x:conditionalFormatting>
  <x:conditionalFormatting sqref="D8:D8">
    <x:cfRule type="expression" dxfId="0" priority="4" aboveAverage="0" percent="0" bottom="0" rank="0" equalAverage="0">
      <x:formula>D8&gt;='Client 2'!G5</x:formula>
    </x:cfRule>
    <x:cfRule type="expression" dxfId="1" priority="5" aboveAverage="0" percent="0" bottom="0" rank="0" equalAverage="0">
      <x:formula>AND(D8&lt;&gt;"",D8&lt;'Client 2'!G5)</x:formula>
    </x:cfRule>
  </x:conditionalFormatting>
  <x:conditionalFormatting sqref="E8:E8">
    <x:cfRule type="expression" dxfId="0" priority="6" aboveAverage="0" percent="0" bottom="0" rank="0" equalAverage="0">
      <x:formula>E8&gt;='Client 3'!G5</x:formula>
    </x:cfRule>
    <x:cfRule type="expression" dxfId="1" priority="7" aboveAverage="0" percent="0" bottom="0" rank="0" equalAverage="0">
      <x:formula>AND(E8&lt;&gt;"",E8&lt;'Client 3'!G5)</x:formula>
    </x:cfRule>
  </x:conditionalFormatting>
  <x:conditionalFormatting sqref="C10:C10">
    <x:cfRule type="expression" dxfId="0" priority="8" aboveAverage="0" percent="0" bottom="0" rank="0" equalAverage="0">
      <x:formula>OR(C10="✓ PASS",C10="NO")</x:formula>
    </x:cfRule>
    <x:cfRule type="expression" dxfId="1" priority="9" aboveAverage="0" percent="0" bottom="0" rank="0" equalAverage="0">
      <x:formula>OR(C10="✗ FAIL — RE-ALLOCATE",C10="YES")</x:formula>
    </x:cfRule>
  </x:conditionalFormatting>
  <x:conditionalFormatting sqref="D10:D10">
    <x:cfRule type="expression" dxfId="0" priority="10" aboveAverage="0" percent="0" bottom="0" rank="0" equalAverage="0">
      <x:formula>OR(D10="✓ PASS",D10="NO")</x:formula>
    </x:cfRule>
    <x:cfRule type="expression" dxfId="1" priority="11" aboveAverage="0" percent="0" bottom="0" rank="0" equalAverage="0">
      <x:formula>OR(D10="✗ FAIL — RE-ALLOCATE",D10="YES")</x:formula>
    </x:cfRule>
  </x:conditionalFormatting>
  <x:conditionalFormatting sqref="E10:E10">
    <x:cfRule type="expression" dxfId="0" priority="12" aboveAverage="0" percent="0" bottom="0" rank="0" equalAverage="0">
      <x:formula>OR(E10="✓ PASS",E10="NO")</x:formula>
    </x:cfRule>
    <x:cfRule type="expression" dxfId="1" priority="13" aboveAverage="0" percent="0" bottom="0" rank="0" equalAverage="0">
      <x:formula>OR(E10="✗ FAIL — RE-ALLOCATE",E10="YES")</x:formula>
    </x:cfRule>
  </x:conditionalFormatting>
  <x:conditionalFormatting sqref="C14:C14">
    <x:cfRule type="expression" dxfId="0" priority="14" aboveAverage="0" percent="0" bottom="0" rank="0" equalAverage="0">
      <x:formula>OR(C14="✓ PASS",C14="NO")</x:formula>
    </x:cfRule>
    <x:cfRule type="expression" dxfId="1" priority="15" aboveAverage="0" percent="0" bottom="0" rank="0" equalAverage="0">
      <x:formula>OR(C14="✗ FAIL — RE-ALLOCATE",C14="YES")</x:formula>
    </x:cfRule>
  </x:conditionalFormatting>
  <x:conditionalFormatting sqref="D14:D14">
    <x:cfRule type="expression" dxfId="0" priority="16" aboveAverage="0" percent="0" bottom="0" rank="0" equalAverage="0">
      <x:formula>OR(D14="✓ PASS",D14="NO")</x:formula>
    </x:cfRule>
    <x:cfRule type="expression" dxfId="1" priority="17" aboveAverage="0" percent="0" bottom="0" rank="0" equalAverage="0">
      <x:formula>OR(D14="✗ FAIL — RE-ALLOCATE",D14="YES")</x:formula>
    </x:cfRule>
  </x:conditionalFormatting>
  <x:conditionalFormatting sqref="E14:E14">
    <x:cfRule type="expression" dxfId="0" priority="18" aboveAverage="0" percent="0" bottom="0" rank="0" equalAverage="0">
      <x:formula>OR(E14="✓ PASS",E14="NO")</x:formula>
    </x:cfRule>
    <x:cfRule type="expression" dxfId="1" priority="19" aboveAverage="0" percent="0" bottom="0" rank="0" equalAverage="0">
      <x:formula>OR(E14="✗ FAIL — RE-ALLOCATE",E14="YES")</x:formula>
    </x:cfRule>
  </x:conditionalFormatting>
  <x:conditionalFormatting sqref="A17:A17">
    <x:cfRule type="expression" dxfId="2" priority="20" aboveAverage="0" percent="0" bottom="0" rank="0" equalAverage="0">
      <x:formula>AND('Client 1'!F34="✓ PASS",'Client 2'!F34="✓ PASS",'Client 3'!F34="✓ PASS")</x:formula>
    </x:cfRule>
    <x:cfRule type="expression" dxfId="3" priority="21" aboveAverage="0" percent="0" bottom="0" rank="0" equalAverage="0">
      <x:formula>NOT(AND('Client 1'!F34="✓ PASS",'Client 2'!F34="✓ PASS",'Client 3'!F34="✓ PASS"))</x:formula>
    </x:cfRule>
  </x:conditionalFormatting>
  <x:pageMargins left="0.7" right="0.7" top="0.75" bottom="0.75" header="0.3" footer="0.3"/>
</x:worksheet>
</file>

<file path=xl/worksheets/sheet3.xml><?xml version="1.0" encoding="utf-8"?>
<x:worksheet xmlns:x="http://schemas.openxmlformats.org/spreadsheetml/2006/main">
  <x:sheetPr>
    <x:tabColor rgb="FF1E8449"/>
  </x:sheetPr>
  <x:sheetViews>
    <x:sheetView showGridLines="0" workbookViewId="0"/>
  </x:sheetViews>
  <x:sheetFormatPr defaultColWidth="8.6796875" defaultRowHeight="15"/>
  <x:cols>
    <x:col min="1" max="1" width="2" style="1" hidden="0" customWidth="1"/>
    <x:col min="2" max="2" width="30" style="1" hidden="0" customWidth="1"/>
    <x:col min="3" max="3" width="13" style="1" hidden="0" customWidth="1"/>
    <x:col min="4" max="7" width="16" style="1" hidden="0" customWidth="1"/>
    <x:col min="8" max="8" width="28" style="1" hidden="0" customWidth="1"/>
    <x:col min="9" max="10" width="14" style="1" hidden="0" customWidth="1"/>
    <x:col min="11" max="11" width="2" style="1" hidden="0" customWidth="1"/>
  </x:cols>
  <x:sheetData>
    <x:row r="1" ht="6" hidden="0" customHeight="1"/>
    <x:row r="2" ht="37.5" hidden="0" customHeight="1">
      <x:c r="A2" s="2" t="str">
        <x:v>Phase 2 Workstream C — Portfolio Stress Test &amp; Quantitative Audit  |  Client 1</x:v>
      </x:c>
      <x:c r="B2" s="2"/>
      <x:c r="C2" s="2"/>
      <x:c r="D2" s="2"/>
      <x:c r="E2" s="2"/>
      <x:c r="F2" s="2"/>
      <x:c r="G2" s="2"/>
      <x:c r="H2" s="2"/>
      <x:c r="I2" s="2"/>
      <x:c r="J2" s="2"/>
      <x:c r="K2" s="2"/>
    </x:row>
    <x:row r="3" ht="18" hidden="0" customHeight="1">
      <x:c r="A3" s="3" t="str">
        <x:v>BUS 331 Investments | Stage 1: submit baseline; Stage 2: run the instructor-issued Scenario Reveal and remediation test</x:v>
      </x:c>
      <x:c r="B3" s="3"/>
      <x:c r="C3" s="3"/>
      <x:c r="D3" s="3"/>
      <x:c r="E3" s="3"/>
      <x:c r="F3" s="3"/>
      <x:c r="G3" s="3"/>
      <x:c r="H3" s="3"/>
      <x:c r="I3" s="3"/>
      <x:c r="J3" s="3"/>
      <x:c r="K3" s="3"/>
    </x:row>
    <x:row r="4" ht="6" hidden="0" customHeight="1"/>
    <x:row r="5" ht="21.75" hidden="0" customHeight="1">
      <x:c r="B5" s="17" t="s">
        <x:v>14</x:v>
      </x:c>
      <x:c r="C5" s="18"/>
      <x:c r="D5" s="17" t="s">
        <x:v>15</x:v>
      </x:c>
      <x:c r="E5" s="19" t="n">
        <x:v>500000</x:v>
      </x:c>
      <x:c r="F5" s="20" t="s">
        <x:v>16</x:v>
      </x:c>
      <x:c r="G5" s="21"/>
      <x:c r="H5" s="17" t="s">
        <x:v>17</x:v>
      </x:c>
      <x:c r="I5" s="22" t="str">
        <x:v>(from Phase 1)</x:v>
      </x:c>
      <x:c r="J5" s="23" t="s">
        <x:v>18</x:v>
      </x:c>
    </x:row>
    <x:row r="6" ht="6" hidden="0" customHeight="1">
      <x:c r="H6" s="99" t="str">
        <x:v>Scenario Release Packet ID:</x:v>
      </x:c>
      <x:c r="I6" s="99" t="str"/>
      <x:c r="J6" s="99"/>
    </x:row>
    <x:row r="7" ht="19.5" hidden="0" customHeight="1">
      <x:c r="A7" s="4" t="str">
        <x:v>  SECTION 1 — SCENARIO REVEAL ASSUMPTIONS  (enter only after instructor release)</x:v>
      </x:c>
      <x:c r="B7" s="4"/>
      <x:c r="C7" s="4"/>
      <x:c r="D7" s="4"/>
      <x:c r="E7" s="4"/>
      <x:c r="F7" s="4"/>
      <x:c r="G7" s="4"/>
      <x:c r="H7" s="4"/>
      <x:c r="I7" s="4"/>
      <x:c r="J7" s="4"/>
      <x:c r="K7" s="4"/>
    </x:row>
    <x:row r="8" ht="31.5" hidden="0" customHeight="1">
      <x:c r="A8" s="24" t="str">
        <x:v>Stage 1: submit the baseline portfolio snapshot using your approved Phase 1 bear-case inputs. Stage 2: after the instructor issues a Scenario Reveal packet, copy the released inputs below exactly. These values drive the remediation test; do not soften them, change the client mandate, or enter values before the release.</x:v>
      </x:c>
      <x:c r="B8" s="24"/>
      <x:c r="C8" s="24"/>
      <x:c r="D8" s="24"/>
      <x:c r="E8" s="24"/>
      <x:c r="F8" s="24"/>
      <x:c r="G8" s="24"/>
      <x:c r="H8" s="24"/>
      <x:c r="I8" s="24"/>
      <x:c r="J8" s="24"/>
      <x:c r="K8" s="24"/>
    </x:row>
    <x:row r="9" ht="30" hidden="0" customHeight="1">
      <x:c r="B9" s="25" t="str">
        <x:v>Asset Class</x:v>
      </x:c>
      <x:c r="C9" s="25" t="str">
        <x:v>Scenario Reveal
E(R) Input</x:v>
      </x:c>
      <x:c r="D9" s="25" t="str">
        <x:v>Scenario Reveal
Std Dev (σ)</x:v>
      </x:c>
      <x:c r="E9" s="26" t="str">
        <x:v>Instructor packet / source reference</x:v>
      </x:c>
      <x:c r="F9" s="26"/>
      <x:c r="G9" s="26"/>
      <x:c r="H9" s="26"/>
      <x:c r="I9" s="26"/>
      <x:c r="J9" s="26"/>
      <x:c r="K9" s="26"/>
    </x:row>
    <x:row r="10" ht="21.75" hidden="0" customHeight="1">
      <x:c r="B10" s="27" t="s">
        <x:v>19</x:v>
      </x:c>
      <x:c r="C10" s="21"/>
      <x:c r="D10" s="21"/>
      <x:c r="E10" s="28"/>
      <x:c r="F10" s="28"/>
      <x:c r="G10" s="28"/>
      <x:c r="H10" s="28"/>
      <x:c r="I10" s="28"/>
      <x:c r="J10" s="28"/>
      <x:c r="K10" s="28"/>
    </x:row>
    <x:row r="11" ht="21.75" hidden="0" customHeight="1">
      <x:c r="B11" s="29" t="s">
        <x:v>20</x:v>
      </x:c>
      <x:c r="C11" s="21"/>
      <x:c r="D11" s="21"/>
      <x:c r="E11" s="28"/>
      <x:c r="F11" s="28"/>
      <x:c r="G11" s="28"/>
      <x:c r="H11" s="28"/>
      <x:c r="I11" s="28"/>
      <x:c r="J11" s="28"/>
      <x:c r="K11" s="28"/>
    </x:row>
    <x:row r="12" ht="21.75" hidden="0" customHeight="1">
      <x:c r="B12" s="27" t="s">
        <x:v>21</x:v>
      </x:c>
      <x:c r="C12" s="21"/>
      <x:c r="D12" s="21"/>
      <x:c r="E12" s="28"/>
      <x:c r="F12" s="28"/>
      <x:c r="G12" s="28"/>
      <x:c r="H12" s="28"/>
      <x:c r="I12" s="28"/>
      <x:c r="J12" s="28"/>
      <x:c r="K12" s="28"/>
    </x:row>
    <x:row r="13" ht="7.5" hidden="0" customHeight="1"/>
    <x:row r="14" ht="19.5" hidden="0" customHeight="1">
      <x:c r="A14" s="4" t="str">
        <x:v>  SECTION 2 — BASELINE PORTFOLIO  (submitted before Scenario Reveal)</x:v>
      </x:c>
      <x:c r="B14" s="4"/>
      <x:c r="C14" s="4"/>
      <x:c r="D14" s="4"/>
      <x:c r="E14" s="4"/>
      <x:c r="F14" s="4"/>
      <x:c r="G14" s="4"/>
      <x:c r="H14" s="4"/>
      <x:c r="I14" s="4"/>
      <x:c r="J14" s="4"/>
      <x:c r="K14" s="4"/>
    </x:row>
    <x:row r="15" ht="31.5" hidden="0" customHeight="1">
      <x:c r="A15" s="8" t="str">
        <x:v>Enter the Solver-supported baseline weights from Workstream A and submit the baseline snapshot before the Scenario Reveal. Keep that original evidence in Canvas. Do not overwrite the submitted allocation after the release; document all changes in Section 5.</x:v>
      </x:c>
      <x:c r="B15" s="8"/>
      <x:c r="C15" s="8"/>
      <x:c r="D15" s="8"/>
      <x:c r="E15" s="8"/>
      <x:c r="F15" s="8"/>
      <x:c r="G15" s="8"/>
      <x:c r="H15" s="8"/>
      <x:c r="I15" s="8"/>
      <x:c r="J15" s="8"/>
      <x:c r="K15" s="8"/>
    </x:row>
    <x:row r="16" ht="33.75" hidden="0" customHeight="1">
      <x:c r="B16" s="25" t="s">
        <x:v>22</x:v>
      </x:c>
      <x:c r="C16" s="25" t="str">
        <x:v>Weight
(Workstream A)</x:v>
      </x:c>
      <x:c r="D16" s="25" t="s">
        <x:v>23</x:v>
      </x:c>
      <x:c r="E16" s="25" t="str">
        <x:v>Baseline Case
E(R) Contrib.</x:v>
      </x:c>
      <x:c r="F16" s="25" t="str">
        <x:v>Scenario Reveal
Return Contrib.</x:v>
      </x:c>
      <x:c r="G16" s="25" t="str">
        <x:v>Scenario Reveal
$ P&amp;L</x:v>
      </x:c>
      <x:c r="H16" s="25" t="s">
        <x:v>24</x:v>
      </x:c>
      <x:c r="I16" s="30" t="s">
        <x:v>25</x:v>
      </x:c>
      <x:c r="J16" s="30"/>
      <x:c r="K16" s="30"/>
    </x:row>
    <x:row r="17" ht="21.75" hidden="0" customHeight="1">
      <x:c r="B17" s="27" t="s">
        <x:v>19</x:v>
      </x:c>
      <x:c r="C17" s="21"/>
      <x:c r="D17" s="31" t="str">
        <x:f aca="0">IF(C17&lt;&gt;"",C17*$E$5,"")</x:f>
      </x:c>
      <x:c r="E17" s="21"/>
      <x:c r="F17" s="32" t="str">
        <x:f aca="0">IF(C17&lt;&gt;"",C17*C10,"")</x:f>
      </x:c>
      <x:c r="G17" s="33" t="str">
        <x:f aca="0">IF(D17&lt;&gt;"",D17*C10,"")</x:f>
      </x:c>
      <x:c r="H17" s="34"/>
      <x:c r="I17" s="35"/>
      <x:c r="J17" s="35"/>
      <x:c r="K17" s="35"/>
    </x:row>
    <x:row r="18" ht="21.75" hidden="0" customHeight="1">
      <x:c r="B18" s="29" t="s">
        <x:v>20</x:v>
      </x:c>
      <x:c r="C18" s="21"/>
      <x:c r="D18" s="31" t="str">
        <x:f aca="0">IF(C18&lt;&gt;"",C18*$E$5,"")</x:f>
      </x:c>
      <x:c r="E18" s="21"/>
      <x:c r="F18" s="32" t="str">
        <x:f aca="0">IF(C18&lt;&gt;"",C18*C11,"")</x:f>
      </x:c>
      <x:c r="G18" s="33" t="str">
        <x:f aca="0">IF(D18&lt;&gt;"",D18*C11,"")</x:f>
      </x:c>
      <x:c r="H18" s="36"/>
      <x:c r="I18" s="37"/>
      <x:c r="J18" s="37"/>
      <x:c r="K18" s="37"/>
    </x:row>
    <x:row r="19" ht="21.75" hidden="0" customHeight="1">
      <x:c r="B19" s="27" t="s">
        <x:v>21</x:v>
      </x:c>
      <x:c r="C19" s="21"/>
      <x:c r="D19" s="31" t="str">
        <x:f aca="0">IF(C19&lt;&gt;"",C19*$E$5,"")</x:f>
      </x:c>
      <x:c r="E19" s="21"/>
      <x:c r="F19" s="32" t="str">
        <x:f aca="0">IF(C19&lt;&gt;"",C19*C12,"")</x:f>
      </x:c>
      <x:c r="G19" s="33" t="str">
        <x:f aca="0">IF(D19&lt;&gt;"",D19*C12,"")</x:f>
      </x:c>
      <x:c r="H19" s="34"/>
      <x:c r="I19" s="35"/>
      <x:c r="J19" s="35"/>
      <x:c r="K19" s="35"/>
    </x:row>
    <x:row r="20" ht="24" hidden="0" customHeight="1">
      <x:c r="A20" s="38" t="s">
        <x:v>26</x:v>
      </x:c>
      <x:c r="B20" s="38"/>
      <x:c r="C20" s="39" t="n">
        <x:f aca="0">IFERROR(SUM(C17:C19),0)</x:f>
        <x:v>0</x:v>
      </x:c>
      <x:c r="D20" s="31" t="n">
        <x:f aca="0">IFERROR(SUM(D17:D19),0)</x:f>
        <x:v>0</x:v>
      </x:c>
      <x:c r="E20" s="32" t="n">
        <x:f aca="0">IFERROR(SUMPRODUCT(C17:C19,E17:E19),"")</x:f>
        <x:v>0</x:v>
      </x:c>
      <x:c r="F20" s="32" t="n">
        <x:f aca="0">IFERROR(SUMPRODUCT(C17:C19,C10:C12),"")</x:f>
        <x:v>0</x:v>
      </x:c>
      <x:c r="G20" s="33" t="n">
        <x:f aca="0">IFERROR(SUM(G17:G19),"")</x:f>
        <x:v>0</x:v>
      </x:c>
      <x:c r="H20" s="40" t="str">
        <x:v>← Scenario Reveal return must be ≥ IPS Tripwire (cell G5). See Section 4 verdict below.</x:v>
      </x:c>
      <x:c r="I20" s="40"/>
      <x:c r="J20" s="40"/>
      <x:c r="K20" s="40"/>
    </x:row>
    <x:row r="21" ht="7.5" hidden="0" customHeight="1"/>
    <x:row r="22" ht="19.5" hidden="0" customHeight="1">
      <x:c r="A22" s="4" t="str">
        <x:v>  SECTION 3 — RISK METRICS  (Baseline &amp; Scenario Reveal)</x:v>
      </x:c>
      <x:c r="B22" s="4"/>
      <x:c r="C22" s="4"/>
      <x:c r="D22" s="4"/>
      <x:c r="E22" s="4"/>
      <x:c r="F22" s="4"/>
      <x:c r="G22" s="4"/>
      <x:c r="H22" s="4"/>
      <x:c r="I22" s="4"/>
      <x:c r="J22" s="4"/>
      <x:c r="K22" s="4"/>
    </x:row>
    <x:row r="23" ht="31.5" hidden="0" customHeight="1">
      <x:c r="A23" s="8" t="str">
        <x:v>Enter portfolio risk metrics for the submitted baseline and the Scenario Reveal. Beta and σ come from the Phase 2 allocation and selected holdings. Sharpe Ratio calculates automatically using the formula below.</x:v>
      </x:c>
      <x:c r="B23" s="8"/>
      <x:c r="C23" s="8"/>
      <x:c r="D23" s="8"/>
      <x:c r="E23" s="8"/>
      <x:c r="F23" s="8"/>
      <x:c r="G23" s="8"/>
      <x:c r="H23" s="8"/>
      <x:c r="I23" s="8"/>
      <x:c r="J23" s="8"/>
      <x:c r="K23" s="8"/>
    </x:row>
    <x:row r="24" ht="30" hidden="0" customHeight="1">
      <x:c r="B24" s="25" t="s">
        <x:v>6</x:v>
      </x:c>
      <x:c r="C24" s="25" t="str">
        <x:v>Baseline
(Phase 2)</x:v>
      </x:c>
      <x:c r="D24" s="25" t="str">
        <x:v>Scenario Reveal</x:v>
      </x:c>
      <x:c r="E24" s="25" t="s">
        <x:v>27</x:v>
      </x:c>
      <x:c r="F24" s="26" t="s">
        <x:v>28</x:v>
      </x:c>
      <x:c r="G24" s="26"/>
      <x:c r="H24" s="26"/>
      <x:c r="I24" s="26"/>
      <x:c r="J24" s="26"/>
      <x:c r="K24" s="26"/>
    </x:row>
    <x:row r="25" ht="21.75" hidden="0" customHeight="1">
      <x:c r="B25" s="17" t="s">
        <x:v>29</x:v>
      </x:c>
      <x:c r="C25" s="21"/>
      <x:c r="D25" s="40" t="s">
        <x:v>30</x:v>
      </x:c>
      <x:c r="E25" s="40"/>
      <x:c r="F25" s="40"/>
      <x:c r="G25" s="40"/>
      <x:c r="H25" s="40"/>
      <x:c r="I25" s="40"/>
      <x:c r="J25" s="40"/>
      <x:c r="K25" s="40"/>
    </x:row>
    <x:row r="26" ht="25.5" hidden="0" customHeight="1">
      <x:c r="B26" s="10" t="s">
        <x:v>11</x:v>
      </x:c>
      <x:c r="C26" s="41"/>
      <x:c r="D26" s="42"/>
      <x:c r="E26" s="43" t="str">
        <x:v>From Phase 2 security selection — weighted average beta of all holdings</x:v>
      </x:c>
      <x:c r="F26" s="44" t="s">
        <x:v>31</x:v>
      </x:c>
      <x:c r="G26" s="44"/>
      <x:c r="H26" s="44"/>
      <x:c r="I26" s="44"/>
      <x:c r="J26" s="44"/>
      <x:c r="K26" s="44"/>
    </x:row>
    <x:row r="27" ht="25.5" hidden="0" customHeight="1">
      <x:c r="B27" s="12" t="s">
        <x:v>32</x:v>
      </x:c>
      <x:c r="C27" s="21"/>
      <x:c r="D27" s="21"/>
      <x:c r="E27" s="43" t="str">
        <x:v>From Phase 2 CME Matrix — portfolio σ from Solver output</x:v>
      </x:c>
      <x:c r="F27" s="44" t="s">
        <x:v>33</x:v>
      </x:c>
      <x:c r="G27" s="44"/>
      <x:c r="H27" s="44"/>
      <x:c r="I27" s="44"/>
      <x:c r="J27" s="44"/>
      <x:c r="K27" s="44"/>
    </x:row>
    <x:row r="28" ht="25.5" hidden="0" customHeight="1">
      <x:c r="B28" s="10" t="s">
        <x:v>34</x:v>
      </x:c>
      <x:c r="C28" s="41" t="str">
        <x:f aca="0">IFERROR((E20-$C$25)/C27,"")</x:f>
      </x:c>
      <x:c r="D28" s="41" t="str">
        <x:f aca="0">IFERROR((F20-$C$25)/D27,"")</x:f>
      </x:c>
      <x:c r="E28" s="43" t="s">
        <x:v>35</x:v>
      </x:c>
      <x:c r="F28" s="44" t="s">
        <x:v>36</x:v>
      </x:c>
      <x:c r="G28" s="44"/>
      <x:c r="H28" s="44"/>
      <x:c r="I28" s="44"/>
      <x:c r="J28" s="44"/>
      <x:c r="K28" s="44"/>
    </x:row>
    <x:row r="29" ht="25.5" hidden="0" customHeight="1">
      <x:c r="B29" s="12" t="str">
        <x:v>Max Drawdown (Scenario Reveal)</x:v>
      </x:c>
      <x:c r="C29" s="45" t="s">
        <x:v>37</x:v>
      </x:c>
      <x:c r="D29" s="32" t="n">
        <x:f aca="0">IFERROR(F20,"")</x:f>
        <x:v>0</x:v>
      </x:c>
      <x:c r="E29" s="43" t="str">
        <x:v>Total Scenario Reveal Return (Section 2 row 20)</x:v>
      </x:c>
      <x:c r="F29" s="44" t="str">
        <x:v>Must be ≥ IPS Tripwire (cell G5). This drives the Scenario Reveal verdict.</x:v>
      </x:c>
      <x:c r="G29" s="44"/>
      <x:c r="H29" s="44"/>
      <x:c r="I29" s="44"/>
      <x:c r="J29" s="44"/>
      <x:c r="K29" s="44"/>
    </x:row>
    <x:row r="30" ht="25.5" hidden="0" customHeight="1">
      <x:c r="B30" s="10" t="s">
        <x:v>38</x:v>
      </x:c>
      <x:c r="C30" s="42"/>
      <x:c r="D30" s="42"/>
      <x:c r="E30" s="43" t="s">
        <x:v>39</x:v>
      </x:c>
      <x:c r="F30" s="44" t="s">
        <x:v>40</x:v>
      </x:c>
      <x:c r="G30" s="44"/>
      <x:c r="H30" s="44"/>
      <x:c r="I30" s="44"/>
      <x:c r="J30" s="44"/>
      <x:c r="K30" s="44"/>
    </x:row>
    <x:row r="31" ht="7.5" hidden="0" customHeight="1"/>
    <x:row r="32" ht="19.5" hidden="0" customHeight="1">
      <x:c r="A32" s="4" t="str">
        <x:v>  SECTION 4 — SCENARIO REVEAL VERDICT</x:v>
      </x:c>
      <x:c r="B32" s="4"/>
      <x:c r="C32" s="4"/>
      <x:c r="D32" s="4"/>
      <x:c r="E32" s="4"/>
      <x:c r="F32" s="4"/>
      <x:c r="G32" s="4"/>
      <x:c r="H32" s="4"/>
      <x:c r="I32" s="4"/>
      <x:c r="J32" s="4"/>
      <x:c r="K32" s="4"/>
    </x:row>
    <x:row r="33" ht="30" hidden="0" customHeight="1">
      <x:c r="B33" s="25" t="s">
        <x:v>41</x:v>
      </x:c>
      <x:c r="C33" s="25" t="s">
        <x:v>42</x:v>
      </x:c>
      <x:c r="D33" s="25" t="s">
        <x:v>43</x:v>
      </x:c>
      <x:c r="E33" s="25" t="s">
        <x:v>44</x:v>
      </x:c>
      <x:c r="F33" s="26" t="s">
        <x:v>45</x:v>
      </x:c>
      <x:c r="G33" s="26"/>
      <x:c r="H33" s="26"/>
      <x:c r="I33" s="26"/>
      <x:c r="J33" s="26"/>
      <x:c r="K33" s="26"/>
    </x:row>
    <x:row r="34" ht="25.5" hidden="0" customHeight="1">
      <x:c r="B34" s="10" t="s">
        <x:v>46</x:v>
      </x:c>
      <x:c r="C34" s="32" t="n">
        <x:f aca="0">$G$5</x:f>
        <x:v>0</x:v>
      </x:c>
      <x:c r="D34" s="32" t="n">
        <x:f aca="0">IFERROR(F20,"")</x:f>
        <x:v>0</x:v>
      </x:c>
      <x:c r="E34" s="32" t="n">
        <x:f aca="0">IFERROR(D34-C34,"")</x:f>
        <x:v>0</x:v>
      </x:c>
      <x:c r="F34" s="46" t="str">
        <x:f aca="0">IF(D34="","",IF(D34&gt;=C34,"✓ PASS","✗ FAIL — RE-ALLOCATE"))</x:f>
      </x:c>
      <x:c r="G34" s="47" t="str">
        <x:f aca="0">IF(D34="","",IF(D34&gt;=C34,"Scenario Reveal shows PASS. Stop and report this result to the instructor; do not use a PASS to skip the remediation checkpoint.","BREACH: Portfolio misses the IPS Tripwire by "&amp;TEXT(ABS(D34-C34),"0.0%")&amp;". Complete Section 5 with a real trade, trade-off, and full re-test before Gate 2."))</x:f>
      </x:c>
      <x:c r="H34" s="47"/>
      <x:c r="I34" s="47"/>
      <x:c r="J34" s="47"/>
      <x:c r="K34" s="47"/>
    </x:row>
    <x:row r="35" ht="25.5" hidden="0" customHeight="1">
      <x:c r="B35" s="12" t="s">
        <x:v>47</x:v>
      </x:c>
      <x:c r="C35" s="21"/>
      <x:c r="D35" s="32" t="str">
        <x:f aca="0">IF(C27&lt;&gt;"",C27,"")</x:f>
      </x:c>
      <x:c r="E35" s="32" t="n">
        <x:f aca="0">IFERROR(D35-C35,"")</x:f>
        <x:v>0</x:v>
      </x:c>
      <x:c r="F35" s="46" t="str">
        <x:f aca="0">IF(D35="","",IF(D35&lt;=C35,"✓ PASS","✗ EXCEED"))</x:f>
      </x:c>
      <x:c r="G35" s="48" t="s">
        <x:v>48</x:v>
      </x:c>
      <x:c r="H35" s="48"/>
      <x:c r="I35" s="48"/>
      <x:c r="J35" s="48"/>
      <x:c r="K35" s="48"/>
    </x:row>
    <x:row r="36" ht="7.5" hidden="0" customHeight="1">
      <x:c r="A36" t="str">
        <x:v>  SECTION 5 — REQUIRED REMEDIATION &amp; RE-TEST</x:v>
      </x:c>
    </x:row>
    <x:row r="37" ht="19.5" hidden="0" customHeight="1">
      <x:c r="A37" s="49" t="str">
        <x:v>  A breach requires a real portfolio change, stated trade-off, and full re-test</x:v>
      </x:c>
      <x:c r="B37" s="49"/>
      <x:c r="C37" s="49"/>
      <x:c r="D37" s="49"/>
      <x:c r="E37" s="49"/>
      <x:c r="F37" s="49"/>
      <x:c r="G37" s="49"/>
      <x:c r="H37" s="49"/>
      <x:c r="I37" s="49"/>
      <x:c r="J37" s="49"/>
      <x:c r="K37" s="49"/>
    </x:row>
    <x:row r="38" ht="31.5" hidden="0" customHeight="1">
      <x:c r="A38" s="50" t="str">
        <x:v>The Scenario Reveal is calibrated to test a client condition the baseline may not absorb. Document what was sold or reduced, what was bought or increased, old and new weights, dollar impact, rationale, and the trade-off. If the result is unexpectedly PASS, stop and report it to the instructor; do not skip the checkpoint.</x:v>
      </x:c>
      <x:c r="B38" s="50"/>
      <x:c r="C38" s="50"/>
      <x:c r="D38" s="50"/>
      <x:c r="E38" s="50"/>
      <x:c r="F38" s="50"/>
      <x:c r="G38" s="50"/>
      <x:c r="H38" s="50"/>
      <x:c r="I38" s="50"/>
      <x:c r="J38" s="50"/>
      <x:c r="K38" s="50"/>
    </x:row>
    <x:row r="39" ht="18" hidden="0" customHeight="1">
      <x:c r="A39" s="51" t="s">
        <x:v>49</x:v>
      </x:c>
      <x:c r="B39" s="51"/>
      <x:c r="C39" s="51"/>
      <x:c r="D39" s="51"/>
      <x:c r="E39" s="51"/>
      <x:c r="F39" s="51"/>
      <x:c r="G39" s="51"/>
      <x:c r="H39" s="51"/>
      <x:c r="I39" s="51"/>
      <x:c r="J39" s="51"/>
      <x:c r="K39" s="51"/>
    </x:row>
    <x:row r="40" ht="30" hidden="0" customHeight="1">
      <x:c r="B40" s="25" t="s">
        <x:v>50</x:v>
      </x:c>
      <x:c r="C40" s="25" t="s">
        <x:v>51</x:v>
      </x:c>
      <x:c r="D40" s="25" t="s">
        <x:v>52</x:v>
      </x:c>
      <x:c r="E40" s="25" t="s">
        <x:v>53</x:v>
      </x:c>
      <x:c r="F40" s="25" t="s">
        <x:v>54</x:v>
      </x:c>
      <x:c r="G40" s="26" t="s">
        <x:v>55</x:v>
      </x:c>
      <x:c r="H40" s="26"/>
      <x:c r="I40" s="26"/>
      <x:c r="J40" s="26"/>
      <x:c r="K40" s="26"/>
    </x:row>
    <x:row r="41" ht="21.75" hidden="0" customHeight="1">
      <x:c r="B41" s="18"/>
      <x:c r="C41" s="18"/>
      <x:c r="D41" s="21"/>
      <x:c r="E41" s="21"/>
      <x:c r="F41" s="33" t="str">
        <x:f aca="0">IF(AND(D41&lt;&gt;"",E41&lt;&gt;""),(E41-D41)*500000,"")</x:f>
      </x:c>
      <x:c r="G41" s="28"/>
      <x:c r="H41" s="28"/>
      <x:c r="I41" s="28"/>
      <x:c r="J41" s="28"/>
      <x:c r="K41" s="28"/>
    </x:row>
    <x:row r="42" ht="21.75" hidden="0" customHeight="1">
      <x:c r="B42" s="18"/>
      <x:c r="C42" s="18"/>
      <x:c r="D42" s="21"/>
      <x:c r="E42" s="21"/>
      <x:c r="F42" s="33" t="str">
        <x:f aca="0">IF(AND(D42&lt;&gt;"",E42&lt;&gt;""),(E42-D42)*500000,"")</x:f>
      </x:c>
      <x:c r="G42" s="28"/>
      <x:c r="H42" s="28"/>
      <x:c r="I42" s="28"/>
      <x:c r="J42" s="28"/>
      <x:c r="K42" s="28"/>
    </x:row>
    <x:row r="43" ht="21.75" hidden="0" customHeight="1">
      <x:c r="B43" s="18"/>
      <x:c r="C43" s="18"/>
      <x:c r="D43" s="21"/>
      <x:c r="E43" s="21"/>
      <x:c r="F43" s="33" t="str">
        <x:f aca="0">IF(AND(D43&lt;&gt;"",E43&lt;&gt;""),(E43-D43)*500000,"")</x:f>
      </x:c>
      <x:c r="G43" s="28"/>
      <x:c r="H43" s="28"/>
      <x:c r="I43" s="28"/>
      <x:c r="J43" s="28"/>
      <x:c r="K43" s="28"/>
    </x:row>
    <x:row r="44" ht="21.75" hidden="0" customHeight="1">
      <x:c r="B44" s="18"/>
      <x:c r="C44" s="18"/>
      <x:c r="D44" s="21"/>
      <x:c r="E44" s="21"/>
      <x:c r="F44" s="33" t="str">
        <x:f aca="0">IF(AND(D44&lt;&gt;"",E44&lt;&gt;""),(E44-D44)*500000,"")</x:f>
      </x:c>
      <x:c r="G44" s="28"/>
      <x:c r="H44" s="28"/>
      <x:c r="I44" s="28"/>
      <x:c r="J44" s="28"/>
      <x:c r="K44" s="28"/>
    </x:row>
    <x:row r="45" ht="21.75" hidden="0" customHeight="1">
      <x:c r="B45" s="18"/>
      <x:c r="C45" s="18"/>
      <x:c r="D45" s="21"/>
      <x:c r="E45" s="21"/>
      <x:c r="F45" s="33" t="str">
        <x:f aca="0">IF(AND(D45&lt;&gt;"",E45&lt;&gt;""),(E45-D45)*500000,"")</x:f>
      </x:c>
      <x:c r="G45" s="28"/>
      <x:c r="H45" s="28"/>
      <x:c r="I45" s="28"/>
      <x:c r="J45" s="28"/>
      <x:c r="K45" s="28"/>
    </x:row>
    <x:row r="46" ht="21.75" hidden="0" customHeight="1">
      <x:c r="B46" s="18"/>
      <x:c r="C46" s="18"/>
      <x:c r="D46" s="21"/>
      <x:c r="E46" s="21"/>
      <x:c r="F46" s="33" t="str">
        <x:f aca="0">IF(AND(D46&lt;&gt;"",E46&lt;&gt;""),(E46-D46)*500000,"")</x:f>
      </x:c>
      <x:c r="G46" s="28"/>
      <x:c r="H46" s="28"/>
      <x:c r="I46" s="28"/>
      <x:c r="J46" s="28"/>
      <x:c r="K46" s="28"/>
    </x:row>
    <x:row r="47" ht="21.75" hidden="0" customHeight="1">
      <x:c r="A47" s="52" t="s">
        <x:v>56</x:v>
      </x:c>
      <x:c r="B47" s="52"/>
      <x:c r="C47" s="52"/>
      <x:c r="D47" s="32" t="n">
        <x:f aca="0">IFERROR(SUM(E41:E46),0)</x:f>
        <x:v>0</x:v>
      </x:c>
      <x:c r="E47" s="40" t="s">
        <x:v>57</x:v>
      </x:c>
      <x:c r="F47" s="40"/>
      <x:c r="G47" s="40"/>
      <x:c r="H47" s="40"/>
      <x:c r="I47" s="40"/>
      <x:c r="J47" s="40"/>
      <x:c r="K47" s="40"/>
    </x:row>
    <x:row r="48" ht="7.5" hidden="0" customHeight="1"/>
    <x:row r="49" ht="18" hidden="0" customHeight="1">
      <x:c r="A49" s="51" t="str">
        <x:v>  Part B — Revised Scenario Reveal Result  (confirm the corrective portfolio now passes)</x:v>
      </x:c>
      <x:c r="B49" s="51"/>
      <x:c r="C49" s="51"/>
      <x:c r="D49" s="51"/>
      <x:c r="E49" s="51"/>
      <x:c r="F49" s="51"/>
      <x:c r="G49" s="51"/>
      <x:c r="H49" s="51"/>
      <x:c r="I49" s="51"/>
      <x:c r="J49" s="51"/>
      <x:c r="K49" s="51"/>
    </x:row>
    <x:row r="50" ht="31.5" hidden="0" customHeight="1">
      <x:c r="A50" s="8" t="str">
        <x:v>Using the new weights from Part A, recalculate the released scenario result. The result must be at or above the IPS Tripwire. Show the calculation clearly and retain the baseline evidence separately.</x:v>
      </x:c>
      <x:c r="B50" s="8"/>
      <x:c r="C50" s="8"/>
      <x:c r="D50" s="8"/>
      <x:c r="E50" s="8"/>
      <x:c r="F50" s="8"/>
      <x:c r="G50" s="8"/>
      <x:c r="H50" s="8"/>
      <x:c r="I50" s="8"/>
      <x:c r="J50" s="8"/>
      <x:c r="K50" s="8"/>
    </x:row>
    <x:row r="51" ht="30" hidden="0" customHeight="1">
      <x:c r="B51" s="25" t="s">
        <x:v>22</x:v>
      </x:c>
      <x:c r="C51" s="25" t="s">
        <x:v>58</x:v>
      </x:c>
      <x:c r="D51" s="25" t="s">
        <x:v>59</x:v>
      </x:c>
      <x:c r="E51" s="25" t="str">
        <x:v>Scenario Reveal E(R)</x:v>
      </x:c>
      <x:c r="F51" s="25" t="str">
        <x:v>Wtd Scenario Contribution</x:v>
      </x:c>
      <x:c r="G51" s="26" t="s">
        <x:v>60</x:v>
      </x:c>
      <x:c r="H51" s="26"/>
      <x:c r="I51" s="26"/>
      <x:c r="J51" s="26"/>
      <x:c r="K51" s="26"/>
    </x:row>
    <x:row r="52" ht="21.75" hidden="0" customHeight="1">
      <x:c r="B52" s="27" t="s">
        <x:v>19</x:v>
      </x:c>
      <x:c r="C52" s="21"/>
      <x:c r="D52" s="31" t="str">
        <x:f aca="0">IF(C52&lt;&gt;"",C52*$E$5,"")</x:f>
      </x:c>
      <x:c r="E52" s="32" t="n">
        <x:f aca="0">C10</x:f>
        <x:v>0</x:v>
      </x:c>
      <x:c r="F52" s="32" t="str">
        <x:f aca="0">IF(C52&lt;&gt;"",C52*C10,"")</x:f>
      </x:c>
      <x:c r="G52" s="33" t="str">
        <x:f aca="0">IF(D52&lt;&gt;"",D52*C10,"")</x:f>
      </x:c>
      <x:c r="H52" s="53"/>
      <x:c r="I52" s="53"/>
      <x:c r="J52" s="53"/>
      <x:c r="K52" s="53"/>
    </x:row>
    <x:row r="53" ht="21.75" hidden="0" customHeight="1">
      <x:c r="B53" s="29" t="s">
        <x:v>20</x:v>
      </x:c>
      <x:c r="C53" s="21"/>
      <x:c r="D53" s="31" t="str">
        <x:f aca="0">IF(C53&lt;&gt;"",C53*$E$5,"")</x:f>
      </x:c>
      <x:c r="E53" s="32" t="n">
        <x:f aca="0">C11</x:f>
        <x:v>0</x:v>
      </x:c>
      <x:c r="F53" s="32" t="str">
        <x:f aca="0">IF(C53&lt;&gt;"",C53*C11,"")</x:f>
      </x:c>
      <x:c r="G53" s="33" t="str">
        <x:f aca="0">IF(D53&lt;&gt;"",D53*C11,"")</x:f>
      </x:c>
      <x:c r="H53" s="54"/>
      <x:c r="I53" s="54"/>
      <x:c r="J53" s="54"/>
      <x:c r="K53" s="54"/>
    </x:row>
    <x:row r="54" ht="21.75" hidden="0" customHeight="1">
      <x:c r="B54" s="27" t="s">
        <x:v>21</x:v>
      </x:c>
      <x:c r="C54" s="21"/>
      <x:c r="D54" s="31" t="str">
        <x:f aca="0">IF(C54&lt;&gt;"",C54*$E$5,"")</x:f>
      </x:c>
      <x:c r="E54" s="32" t="n">
        <x:f aca="0">C12</x:f>
        <x:v>0</x:v>
      </x:c>
      <x:c r="F54" s="32" t="str">
        <x:f aca="0">IF(C54&lt;&gt;"",C54*C12,"")</x:f>
      </x:c>
      <x:c r="G54" s="33" t="str">
        <x:f aca="0">IF(D54&lt;&gt;"",D54*C12,"")</x:f>
      </x:c>
      <x:c r="H54" s="53"/>
      <x:c r="I54" s="53"/>
      <x:c r="J54" s="53"/>
      <x:c r="K54" s="53"/>
    </x:row>
    <x:row r="55" ht="24" hidden="0" customHeight="1">
      <x:c r="A55" s="38" t="s">
        <x:v>61</x:v>
      </x:c>
      <x:c r="B55" s="38"/>
      <x:c r="C55" s="32" t="n">
        <x:f aca="0">IFERROR(SUM(C52:C54),0)</x:f>
        <x:v>0</x:v>
      </x:c>
      <x:c r="D55" s="31" t="n">
        <x:f aca="0">IFERROR(SUM(D52:D54),0)</x:f>
        <x:v>0</x:v>
      </x:c>
      <x:c r="E55" s="32"/>
      <x:c r="F55" s="32" t="n">
        <x:f aca="0">IFERROR(SUMPRODUCT(C52:C54,C10:C12),"")</x:f>
        <x:v>0</x:v>
      </x:c>
      <x:c r="G55" s="33" t="n">
        <x:f aca="0">IFERROR(SUM(G52:G54),"")</x:f>
        <x:v>0</x:v>
      </x:c>
    </x:row>
    <x:row r="56" ht="25.5" hidden="0" customHeight="1">
      <x:c r="B56" s="10" t="s">
        <x:v>62</x:v>
      </x:c>
      <x:c r="C56" s="32" t="n">
        <x:f aca="0">$G$5</x:f>
        <x:v>0</x:v>
      </x:c>
      <x:c r="D56" s="32" t="n">
        <x:f aca="0">IFERROR(F55,"")</x:f>
        <x:v>0</x:v>
      </x:c>
      <x:c r="E56" s="32" t="n">
        <x:f aca="0">IFERROR(D56-C56,"")</x:f>
        <x:v>0</x:v>
      </x:c>
      <x:c r="F56" s="46" t="str">
        <x:f aca="0">IF(D56="","",IF(D56&gt;=$G$5,"✓ REVISED PASS","✗ STILL FAILING — ADJUST FURTHER"))</x:f>
      </x:c>
      <x:c r="G56" s="48" t="str">
        <x:v>Revised Scenario Reveal return must be ≥ IPS Tripwire (G5). If still failing, make a further documented adjustment and re-test.</x:v>
      </x:c>
      <x:c r="H56" s="48"/>
      <x:c r="I56" s="48"/>
      <x:c r="J56" s="48"/>
      <x:c r="K56" s="48"/>
    </x:row>
    <x:row r="57" ht="7.5" hidden="0" customHeight="1"/>
    <x:row r="58" ht="19.5" hidden="0" customHeight="1">
      <x:c r="A58" s="4" t="str">
        <x:v>  SECTION 6 — FINAL RISK METRICS SUMMARY  (for Gate 2 submission)</x:v>
      </x:c>
      <x:c r="B58" s="4"/>
      <x:c r="C58" s="4"/>
      <x:c r="D58" s="4"/>
      <x:c r="E58" s="4"/>
      <x:c r="F58" s="4"/>
      <x:c r="G58" s="4"/>
      <x:c r="H58" s="4"/>
      <x:c r="I58" s="4"/>
      <x:c r="J58" s="4"/>
      <x:c r="K58" s="4"/>
    </x:row>
    <x:row r="59" ht="31.5" hidden="0" customHeight="1">
      <x:c r="A59" s="8" t="str">
        <x:v>These are the final Gate 2 numbers. Use the revised portfolio metrics after the Scenario Reveal remediation and retain the pre-reveal baseline snapshot as a separate submitted record.</x:v>
      </x:c>
      <x:c r="B59" s="8"/>
      <x:c r="C59" s="8"/>
      <x:c r="D59" s="8"/>
      <x:c r="E59" s="8"/>
      <x:c r="F59" s="8"/>
      <x:c r="G59" s="8"/>
      <x:c r="H59" s="8"/>
      <x:c r="I59" s="8"/>
      <x:c r="J59" s="8"/>
      <x:c r="K59" s="8"/>
    </x:row>
    <x:row r="60" ht="30" hidden="0" customHeight="1">
      <x:c r="B60" s="25" t="s">
        <x:v>6</x:v>
      </x:c>
      <x:c r="C60" s="25" t="s">
        <x:v>63</x:v>
      </x:c>
      <x:c r="D60" s="25" t="s">
        <x:v>64</x:v>
      </x:c>
      <x:c r="E60" s="26" t="s">
        <x:v>65</x:v>
      </x:c>
      <x:c r="F60" s="26"/>
      <x:c r="G60" s="26"/>
      <x:c r="H60" s="26"/>
      <x:c r="I60" s="26"/>
      <x:c r="J60" s="26"/>
      <x:c r="K60" s="26"/>
    </x:row>
    <x:row r="61" ht="24" hidden="0" customHeight="1">
      <x:c r="B61" s="10" t="s">
        <x:v>11</x:v>
      </x:c>
      <x:c r="C61" s="42"/>
      <x:c r="D61" s="55" t="s">
        <x:v>66</x:v>
      </x:c>
      <x:c r="E61" s="44" t="str">
        <x:v>Weighted average β from the Phase 2 security-selection record</x:v>
      </x:c>
      <x:c r="F61" s="44"/>
      <x:c r="G61" s="44"/>
      <x:c r="H61" s="44"/>
      <x:c r="I61" s="44"/>
      <x:c r="J61" s="44"/>
      <x:c r="K61" s="44"/>
    </x:row>
    <x:row r="62" ht="24" hidden="0" customHeight="1">
      <x:c r="B62" s="12" t="s">
        <x:v>32</x:v>
      </x:c>
      <x:c r="C62" s="21"/>
      <x:c r="D62" s="55" t="str">
        <x:v>Must be ≤ IPS Max σ from Phase 1</x:v>
      </x:c>
      <x:c r="E62" s="44" t="str">
        <x:v>From the Phase 2 CME Matrix (Solver output)</x:v>
      </x:c>
      <x:c r="F62" s="44"/>
      <x:c r="G62" s="44"/>
      <x:c r="H62" s="44"/>
      <x:c r="I62" s="44"/>
      <x:c r="J62" s="44"/>
      <x:c r="K62" s="44"/>
    </x:row>
    <x:row r="63" ht="24" hidden="0" customHeight="1">
      <x:c r="B63" s="10" t="s">
        <x:v>67</x:v>
      </x:c>
      <x:c r="C63" s="42"/>
      <x:c r="D63" s="55" t="s">
        <x:v>68</x:v>
      </x:c>
      <x:c r="E63" s="44" t="s">
        <x:v>69</x:v>
      </x:c>
      <x:c r="F63" s="44"/>
      <x:c r="G63" s="44"/>
      <x:c r="H63" s="44"/>
      <x:c r="I63" s="44"/>
      <x:c r="J63" s="44"/>
      <x:c r="K63" s="44"/>
    </x:row>
    <x:row r="64" ht="24" hidden="0" customHeight="1">
      <x:c r="B64" s="12" t="str">
        <x:v>Scenario Reveal Portfolio Return</x:v>
      </x:c>
      <x:c r="C64" s="21"/>
      <x:c r="D64" s="55" t="s">
        <x:v>70</x:v>
      </x:c>
      <x:c r="E64" s="44" t="s">
        <x:v>71</x:v>
      </x:c>
      <x:c r="F64" s="44"/>
      <x:c r="G64" s="44"/>
      <x:c r="H64" s="44"/>
      <x:c r="I64" s="44"/>
      <x:c r="J64" s="44"/>
      <x:c r="K64" s="44"/>
    </x:row>
    <x:row r="65" ht="24" hidden="0" customHeight="1">
      <x:c r="B65" s="10" t="str">
        <x:v>Scenario Reveal $ P&amp;L</x:v>
      </x:c>
      <x:c r="C65" s="56"/>
      <x:c r="D65" s="55" t="s">
        <x:v>72</x:v>
      </x:c>
      <x:c r="E65" s="44" t="s">
        <x:v>71</x:v>
      </x:c>
      <x:c r="F65" s="44"/>
      <x:c r="G65" s="44"/>
      <x:c r="H65" s="44"/>
      <x:c r="I65" s="44"/>
      <x:c r="J65" s="44"/>
      <x:c r="K65" s="44"/>
    </x:row>
    <x:row r="66" ht="24" hidden="0" customHeight="1">
      <x:c r="B66" s="12" t="str">
        <x:v>IPS Mandate Status after re-test</x:v>
      </x:c>
      <x:c r="C66" s="57"/>
      <x:c r="D66" s="55" t="s">
        <x:v>73</x:v>
      </x:c>
      <x:c r="E66" s="44" t="s">
        <x:v>74</x:v>
      </x:c>
      <x:c r="F66" s="44"/>
      <x:c r="G66" s="44"/>
      <x:c r="H66" s="44"/>
      <x:c r="I66" s="44"/>
      <x:c r="J66" s="44"/>
      <x:c r="K66" s="44"/>
    </x:row>
    <x:row r="68" ht="7.5" hidden="0" customHeight="1"/>
    <x:row r="69" ht="19.5" hidden="0" customHeight="1">
      <x:c r="A69" s="4" t="s">
        <x:v>75</x:v>
      </x:c>
      <x:c r="B69" s="4"/>
      <x:c r="C69" s="4"/>
      <x:c r="D69" s="4"/>
      <x:c r="E69" s="4"/>
      <x:c r="F69" s="4"/>
      <x:c r="G69" s="4"/>
      <x:c r="H69" s="4"/>
      <x:c r="I69" s="4"/>
      <x:c r="J69" s="4"/>
      <x:c r="K69" s="4"/>
    </x:row>
    <x:row r="70" ht="18" hidden="0" customHeight="1">
      <x:c r="B70" s="58" t="s">
        <x:v>76</x:v>
      </x:c>
      <x:c r="C70" s="7" t="s">
        <x:v>77</x:v>
      </x:c>
      <x:c r="D70" s="7"/>
      <x:c r="E70" s="7"/>
      <x:c r="F70" s="7"/>
      <x:c r="G70" s="7"/>
      <x:c r="H70" s="7"/>
      <x:c r="I70" s="7"/>
      <x:c r="J70" s="7"/>
      <x:c r="K70" s="7"/>
    </x:row>
    <x:row r="71" ht="18" hidden="0" customHeight="1">
      <x:c r="B71" s="59" t="s">
        <x:v>76</x:v>
      </x:c>
      <x:c r="C71" s="7" t="s">
        <x:v>78</x:v>
      </x:c>
      <x:c r="D71" s="7"/>
      <x:c r="E71" s="7"/>
      <x:c r="F71" s="7"/>
      <x:c r="G71" s="7"/>
      <x:c r="H71" s="7"/>
      <x:c r="I71" s="7"/>
      <x:c r="J71" s="7"/>
      <x:c r="K71" s="7"/>
    </x:row>
    <x:row r="72" ht="18" hidden="0" customHeight="1">
      <x:c r="B72" s="60" t="s">
        <x:v>76</x:v>
      </x:c>
      <x:c r="C72" s="7" t="s">
        <x:v>79</x:v>
      </x:c>
      <x:c r="D72" s="7"/>
      <x:c r="E72" s="7"/>
      <x:c r="F72" s="7"/>
      <x:c r="G72" s="7"/>
      <x:c r="H72" s="7"/>
      <x:c r="I72" s="7"/>
      <x:c r="J72" s="7"/>
      <x:c r="K72" s="7"/>
    </x:row>
    <x:row r="73" ht="18" hidden="0" customHeight="1">
      <x:c r="B73" s="61" t="s">
        <x:v>76</x:v>
      </x:c>
      <x:c r="C73" s="7" t="s">
        <x:v>80</x:v>
      </x:c>
      <x:c r="D73" s="7"/>
      <x:c r="E73" s="7"/>
      <x:c r="F73" s="7"/>
      <x:c r="G73" s="7"/>
      <x:c r="H73" s="7"/>
      <x:c r="I73" s="7"/>
      <x:c r="J73" s="7"/>
      <x:c r="K73" s="7"/>
    </x:row>
    <x:row r="74" ht="18" hidden="0" customHeight="1">
      <x:c r="B74" s="62" t="s">
        <x:v>76</x:v>
      </x:c>
      <x:c r="C74" s="7" t="s">
        <x:v>81</x:v>
      </x:c>
      <x:c r="D74" s="7"/>
      <x:c r="E74" s="7"/>
      <x:c r="F74" s="7"/>
      <x:c r="G74" s="7"/>
      <x:c r="H74" s="7"/>
      <x:c r="I74" s="7"/>
      <x:c r="J74" s="7"/>
      <x:c r="K74" s="7"/>
    </x:row>
    <x:row r="75" ht="18" hidden="0" customHeight="1">
      <x:c r="B75" s="63" t="s">
        <x:v>76</x:v>
      </x:c>
      <x:c r="C75" s="7" t="s">
        <x:v>82</x:v>
      </x:c>
      <x:c r="D75" s="7"/>
      <x:c r="E75" s="7"/>
      <x:c r="F75" s="7"/>
      <x:c r="G75" s="7"/>
      <x:c r="H75" s="7"/>
      <x:c r="I75" s="7"/>
      <x:c r="J75" s="7"/>
      <x:c r="K75" s="7"/>
    </x:row>
  </x:sheetData>
  <x:mergeCells>
    <x:mergeCell ref="A2:K2"/>
    <x:mergeCell ref="A3:K3"/>
    <x:mergeCell ref="A7:K7"/>
    <x:mergeCell ref="A8:K8"/>
    <x:mergeCell ref="E9:K9"/>
    <x:mergeCell ref="E10:K10"/>
    <x:mergeCell ref="E11:K11"/>
    <x:mergeCell ref="E12:K12"/>
    <x:mergeCell ref="A14:K14"/>
    <x:mergeCell ref="A15:K15"/>
    <x:mergeCell ref="I16:K16"/>
    <x:mergeCell ref="I17:K17"/>
    <x:mergeCell ref="I18:K18"/>
    <x:mergeCell ref="I19:K19"/>
    <x:mergeCell ref="A20:B20"/>
    <x:mergeCell ref="H20:K20"/>
    <x:mergeCell ref="A22:K22"/>
    <x:mergeCell ref="A23:K23"/>
    <x:mergeCell ref="F24:K24"/>
    <x:mergeCell ref="D25:K25"/>
    <x:mergeCell ref="F26:K26"/>
    <x:mergeCell ref="F27:K27"/>
    <x:mergeCell ref="F28:K28"/>
    <x:mergeCell ref="F29:K29"/>
    <x:mergeCell ref="F30:K30"/>
    <x:mergeCell ref="A32:K32"/>
    <x:mergeCell ref="F33:K33"/>
    <x:mergeCell ref="G34:K34"/>
    <x:mergeCell ref="G35:K35"/>
    <x:mergeCell ref="A37:K37"/>
    <x:mergeCell ref="A38:K38"/>
    <x:mergeCell ref="A39:K39"/>
    <x:mergeCell ref="G40:K40"/>
    <x:mergeCell ref="G41:K41"/>
    <x:mergeCell ref="G42:K42"/>
    <x:mergeCell ref="G43:K43"/>
    <x:mergeCell ref="G44:K44"/>
    <x:mergeCell ref="G45:K45"/>
    <x:mergeCell ref="G46:K46"/>
    <x:mergeCell ref="A47:C47"/>
    <x:mergeCell ref="E47:K47"/>
    <x:mergeCell ref="A49:K49"/>
    <x:mergeCell ref="A50:K50"/>
    <x:mergeCell ref="G51:K51"/>
    <x:mergeCell ref="H52:K52"/>
    <x:mergeCell ref="H53:K53"/>
    <x:mergeCell ref="H54:K54"/>
    <x:mergeCell ref="A55:B55"/>
    <x:mergeCell ref="G56:K56"/>
    <x:mergeCell ref="A58:K58"/>
    <x:mergeCell ref="A59:K59"/>
    <x:mergeCell ref="E60:K60"/>
    <x:mergeCell ref="E61:K61"/>
    <x:mergeCell ref="E62:K62"/>
    <x:mergeCell ref="E63:K63"/>
    <x:mergeCell ref="E64:K64"/>
    <x:mergeCell ref="E65:K65"/>
    <x:mergeCell ref="E66:K66"/>
    <x:mergeCell ref="A69:K69"/>
    <x:mergeCell ref="C70:K70"/>
    <x:mergeCell ref="C71:K71"/>
    <x:mergeCell ref="C72:K72"/>
    <x:mergeCell ref="C73:K73"/>
    <x:mergeCell ref="C74:K74"/>
    <x:mergeCell ref="C75:K75"/>
    <x:mergeCell ref="I6:J6"/>
  </x:mergeCells>
  <x:conditionalFormatting sqref="C20:C20">
    <x:cfRule type="cellIs" dxfId="0" priority="2" aboveAverage="0" percent="0" bottom="0" operator="equal" rank="0" equalAverage="0">
      <x:formula>1</x:formula>
    </x:cfRule>
    <x:cfRule type="cellIs" dxfId="1" priority="3" aboveAverage="0" percent="0" bottom="0" operator="notEqual" rank="0" equalAverage="0">
      <x:formula>1</x:formula>
    </x:cfRule>
  </x:conditionalFormatting>
  <x:conditionalFormatting sqref="F34:F34">
    <x:cfRule type="expression" dxfId="4" priority="4" aboveAverage="0" percent="0" bottom="0" rank="0" equalAverage="0">
      <x:formula>D34&gt;=C34</x:formula>
    </x:cfRule>
    <x:cfRule type="expression" dxfId="5" priority="5" aboveAverage="0" percent="0" bottom="0" rank="0" equalAverage="0">
      <x:formula>AND(D34&lt;&gt;"",D34&lt;C34)</x:formula>
    </x:cfRule>
  </x:conditionalFormatting>
  <x:conditionalFormatting sqref="F35:F35">
    <x:cfRule type="expression" dxfId="4" priority="6" aboveAverage="0" percent="0" bottom="0" rank="0" equalAverage="0">
      <x:formula>AND(D35&lt;&gt;"",D35&lt;=C35)</x:formula>
    </x:cfRule>
    <x:cfRule type="expression" dxfId="6" priority="7" aboveAverage="0" percent="0" bottom="0" rank="0" equalAverage="0">
      <x:formula>AND(D35&lt;&gt;"",D35&gt;C35)</x:formula>
    </x:cfRule>
  </x:conditionalFormatting>
  <x:conditionalFormatting sqref="D47:D47">
    <x:cfRule type="cellIs" dxfId="0" priority="8" aboveAverage="0" percent="0" bottom="0" operator="equal" rank="0" equalAverage="0">
      <x:formula>1</x:formula>
    </x:cfRule>
    <x:cfRule type="cellIs" dxfId="1" priority="9" aboveAverage="0" percent="0" bottom="0" operator="notEqual" rank="0" equalAverage="0">
      <x:formula>1</x:formula>
    </x:cfRule>
  </x:conditionalFormatting>
  <x:conditionalFormatting sqref="F56:F56">
    <x:cfRule type="expression" dxfId="4" priority="10" aboveAverage="0" percent="0" bottom="0" rank="0" equalAverage="0">
      <x:formula>D56&gt;=$G$5</x:formula>
    </x:cfRule>
    <x:cfRule type="expression" dxfId="5" priority="11" aboveAverage="0" percent="0" bottom="0" rank="0" equalAverage="0">
      <x:formula>AND(D56&lt;&gt;"",D56&lt;$G$5)</x:formula>
    </x:cfRule>
  </x:conditionalFormatting>
  <x:dataValidations count="1">
    <x:dataValidation type="list" errorStyle="stop" operator="between" allowBlank="1" showDropDown="0" showInputMessage="0" showErrorMessage="0" sqref="B41:B46">
      <x:formula1>"BUY,SELL,HOLD"</x:formula1>
      <x:formula2>0</x:formula2>
    </x:dataValidation>
  </x:dataValidations>
  <x:pageMargins left="0.7" right="0.7" top="0.75" bottom="0.75" header="0.3" footer="0.3"/>
  <x:legacyDrawing xmlns:r="http://schemas.openxmlformats.org/officeDocument/2006/relationships" r:id="Re076e6bd48fe45d0"/>
</x:worksheet>
</file>

<file path=xl/worksheets/sheet4.xml><?xml version="1.0" encoding="utf-8"?>
<x:worksheet xmlns:x="http://schemas.openxmlformats.org/spreadsheetml/2006/main">
  <x:sheetPr>
    <x:tabColor rgb="FF8B1A1A"/>
  </x:sheetPr>
  <x:sheetViews>
    <x:sheetView showGridLines="0" workbookViewId="0"/>
  </x:sheetViews>
  <x:sheetFormatPr defaultColWidth="8.6796875" defaultRowHeight="15"/>
  <x:cols>
    <x:col min="1" max="1" width="2" style="1" hidden="0" customWidth="1"/>
    <x:col min="2" max="2" width="30" style="1" hidden="0" customWidth="1"/>
    <x:col min="3" max="3" width="13" style="1" hidden="0" customWidth="1"/>
    <x:col min="4" max="7" width="16" style="1" hidden="0" customWidth="1"/>
    <x:col min="8" max="8" width="28" style="1" hidden="0" customWidth="1"/>
    <x:col min="9" max="10" width="14" style="1" hidden="0" customWidth="1"/>
    <x:col min="11" max="11" width="2" style="1" hidden="0" customWidth="1"/>
  </x:cols>
  <x:sheetData>
    <x:row r="1" ht="6" hidden="0" customHeight="1"/>
    <x:row r="2" ht="37.5" hidden="0" customHeight="1">
      <x:c r="A2" s="2" t="str">
        <x:v>Phase 2 Workstream C — Portfolio Stress Test &amp; Quantitative Audit  |  Client 2</x:v>
      </x:c>
      <x:c r="B2" s="2"/>
      <x:c r="C2" s="2"/>
      <x:c r="D2" s="2"/>
      <x:c r="E2" s="2"/>
      <x:c r="F2" s="2"/>
      <x:c r="G2" s="2"/>
      <x:c r="H2" s="2"/>
      <x:c r="I2" s="2"/>
      <x:c r="J2" s="2"/>
      <x:c r="K2" s="2"/>
    </x:row>
    <x:row r="3" ht="18" hidden="0" customHeight="1">
      <x:c r="A3" s="3" t="str">
        <x:v>BUS 331 Investments | Stage 1: submit baseline; Stage 2: run the instructor-issued Scenario Reveal and remediation test</x:v>
      </x:c>
      <x:c r="B3" s="3"/>
      <x:c r="C3" s="3"/>
      <x:c r="D3" s="3"/>
      <x:c r="E3" s="3"/>
      <x:c r="F3" s="3"/>
      <x:c r="G3" s="3"/>
      <x:c r="H3" s="3"/>
      <x:c r="I3" s="3"/>
      <x:c r="J3" s="3"/>
      <x:c r="K3" s="3"/>
    </x:row>
    <x:row r="4" ht="6" hidden="0" customHeight="1"/>
    <x:row r="5" ht="21.75" hidden="0" customHeight="1">
      <x:c r="B5" s="17" t="s">
        <x:v>14</x:v>
      </x:c>
      <x:c r="C5" s="18"/>
      <x:c r="D5" s="17" t="s">
        <x:v>15</x:v>
      </x:c>
      <x:c r="E5" s="19" t="n">
        <x:v>500000</x:v>
      </x:c>
      <x:c r="F5" s="20" t="s">
        <x:v>16</x:v>
      </x:c>
      <x:c r="G5" s="21"/>
      <x:c r="H5" s="17" t="s">
        <x:v>17</x:v>
      </x:c>
      <x:c r="I5" s="22" t="str">
        <x:v>(from Phase 1)</x:v>
      </x:c>
      <x:c r="J5" s="23" t="s">
        <x:v>18</x:v>
      </x:c>
    </x:row>
    <x:row r="6" ht="6" hidden="0" customHeight="1">
      <x:c r="H6" s="99" t="str">
        <x:v>Scenario Release Packet ID:</x:v>
      </x:c>
      <x:c r="I6" s="99" t="str"/>
      <x:c r="J6" s="99"/>
    </x:row>
    <x:row r="7" ht="19.5" hidden="0" customHeight="1">
      <x:c r="A7" s="4" t="str">
        <x:v>  SECTION 1 — SCENARIO REVEAL ASSUMPTIONS  (enter only after instructor release)</x:v>
      </x:c>
      <x:c r="B7" s="4"/>
      <x:c r="C7" s="4"/>
      <x:c r="D7" s="4"/>
      <x:c r="E7" s="4"/>
      <x:c r="F7" s="4"/>
      <x:c r="G7" s="4"/>
      <x:c r="H7" s="4"/>
      <x:c r="I7" s="4"/>
      <x:c r="J7" s="4"/>
      <x:c r="K7" s="4"/>
    </x:row>
    <x:row r="8" ht="31.5" hidden="0" customHeight="1">
      <x:c r="A8" s="24" t="str">
        <x:v>Stage 1: submit the baseline portfolio snapshot using your approved Phase 1 bear-case inputs. Stage 2: after the instructor issues a Scenario Reveal packet, copy the released inputs below exactly. These values drive the remediation test; do not soften them, change the client mandate, or enter values before the release.</x:v>
      </x:c>
      <x:c r="B8" s="24"/>
      <x:c r="C8" s="24"/>
      <x:c r="D8" s="24"/>
      <x:c r="E8" s="24"/>
      <x:c r="F8" s="24"/>
      <x:c r="G8" s="24"/>
      <x:c r="H8" s="24"/>
      <x:c r="I8" s="24"/>
      <x:c r="J8" s="24"/>
      <x:c r="K8" s="24"/>
    </x:row>
    <x:row r="9" ht="30" hidden="0" customHeight="1">
      <x:c r="B9" s="25" t="str">
        <x:v>Asset Class</x:v>
      </x:c>
      <x:c r="C9" s="25" t="str">
        <x:v>Scenario Reveal
E(R) Input</x:v>
      </x:c>
      <x:c r="D9" s="25" t="str">
        <x:v>Scenario Reveal
Std Dev (σ)</x:v>
      </x:c>
      <x:c r="E9" s="26" t="str">
        <x:v>Instructor packet / source reference</x:v>
      </x:c>
      <x:c r="F9" s="26"/>
      <x:c r="G9" s="26"/>
      <x:c r="H9" s="26"/>
      <x:c r="I9" s="26"/>
      <x:c r="J9" s="26"/>
      <x:c r="K9" s="26"/>
    </x:row>
    <x:row r="10" ht="21.75" hidden="0" customHeight="1">
      <x:c r="B10" s="27" t="s">
        <x:v>19</x:v>
      </x:c>
      <x:c r="C10" s="21"/>
      <x:c r="D10" s="21"/>
      <x:c r="E10" s="28"/>
      <x:c r="F10" s="28"/>
      <x:c r="G10" s="28"/>
      <x:c r="H10" s="28"/>
      <x:c r="I10" s="28"/>
      <x:c r="J10" s="28"/>
      <x:c r="K10" s="28"/>
    </x:row>
    <x:row r="11" ht="21.75" hidden="0" customHeight="1">
      <x:c r="B11" s="29" t="s">
        <x:v>20</x:v>
      </x:c>
      <x:c r="C11" s="21"/>
      <x:c r="D11" s="21"/>
      <x:c r="E11" s="28"/>
      <x:c r="F11" s="28"/>
      <x:c r="G11" s="28"/>
      <x:c r="H11" s="28"/>
      <x:c r="I11" s="28"/>
      <x:c r="J11" s="28"/>
      <x:c r="K11" s="28"/>
    </x:row>
    <x:row r="12" ht="21.75" hidden="0" customHeight="1">
      <x:c r="B12" s="27" t="s">
        <x:v>21</x:v>
      </x:c>
      <x:c r="C12" s="21"/>
      <x:c r="D12" s="21"/>
      <x:c r="E12" s="28"/>
      <x:c r="F12" s="28"/>
      <x:c r="G12" s="28"/>
      <x:c r="H12" s="28"/>
      <x:c r="I12" s="28"/>
      <x:c r="J12" s="28"/>
      <x:c r="K12" s="28"/>
    </x:row>
    <x:row r="13" ht="7.5" hidden="0" customHeight="1"/>
    <x:row r="14" ht="19.5" hidden="0" customHeight="1">
      <x:c r="A14" s="4" t="str">
        <x:v>  SECTION 2 — BASELINE PORTFOLIO  (submitted before Scenario Reveal)</x:v>
      </x:c>
      <x:c r="B14" s="4"/>
      <x:c r="C14" s="4"/>
      <x:c r="D14" s="4"/>
      <x:c r="E14" s="4"/>
      <x:c r="F14" s="4"/>
      <x:c r="G14" s="4"/>
      <x:c r="H14" s="4"/>
      <x:c r="I14" s="4"/>
      <x:c r="J14" s="4"/>
      <x:c r="K14" s="4"/>
    </x:row>
    <x:row r="15" ht="31.5" hidden="0" customHeight="1">
      <x:c r="A15" s="8" t="str">
        <x:v>Enter the Solver-supported baseline weights from Workstream A and submit the baseline snapshot before the Scenario Reveal. Keep that original evidence in Canvas. Do not overwrite the submitted allocation after the release; document all changes in Section 5.</x:v>
      </x:c>
      <x:c r="B15" s="8"/>
      <x:c r="C15" s="8"/>
      <x:c r="D15" s="8"/>
      <x:c r="E15" s="8"/>
      <x:c r="F15" s="8"/>
      <x:c r="G15" s="8"/>
      <x:c r="H15" s="8"/>
      <x:c r="I15" s="8"/>
      <x:c r="J15" s="8"/>
      <x:c r="K15" s="8"/>
    </x:row>
    <x:row r="16" ht="33.75" hidden="0" customHeight="1">
      <x:c r="B16" s="25" t="s">
        <x:v>22</x:v>
      </x:c>
      <x:c r="C16" s="25" t="str">
        <x:v>Weight
(Workstream A)</x:v>
      </x:c>
      <x:c r="D16" s="25" t="s">
        <x:v>23</x:v>
      </x:c>
      <x:c r="E16" s="25" t="str">
        <x:v>Baseline Case
E(R) Contrib.</x:v>
      </x:c>
      <x:c r="F16" s="25" t="str">
        <x:v>Scenario Reveal
Return Contrib.</x:v>
      </x:c>
      <x:c r="G16" s="25" t="str">
        <x:v>Scenario Reveal
$ P&amp;L</x:v>
      </x:c>
      <x:c r="H16" s="25" t="s">
        <x:v>24</x:v>
      </x:c>
      <x:c r="I16" s="30" t="s">
        <x:v>25</x:v>
      </x:c>
      <x:c r="J16" s="30"/>
      <x:c r="K16" s="30"/>
    </x:row>
    <x:row r="17" ht="21.75" hidden="0" customHeight="1">
      <x:c r="B17" s="27" t="s">
        <x:v>19</x:v>
      </x:c>
      <x:c r="C17" s="21"/>
      <x:c r="D17" s="31" t="str">
        <x:f aca="0">IF(C17&lt;&gt;"",C17*$E$5,"")</x:f>
      </x:c>
      <x:c r="E17" s="21"/>
      <x:c r="F17" s="32" t="str">
        <x:f aca="0">IF(C17&lt;&gt;"",C17*C10,"")</x:f>
      </x:c>
      <x:c r="G17" s="33" t="str">
        <x:f aca="0">IF(D17&lt;&gt;"",D17*C10,"")</x:f>
      </x:c>
      <x:c r="H17" s="34"/>
      <x:c r="I17" s="35"/>
      <x:c r="J17" s="35"/>
      <x:c r="K17" s="35"/>
    </x:row>
    <x:row r="18" ht="21.75" hidden="0" customHeight="1">
      <x:c r="B18" s="29" t="s">
        <x:v>20</x:v>
      </x:c>
      <x:c r="C18" s="21"/>
      <x:c r="D18" s="31" t="str">
        <x:f aca="0">IF(C18&lt;&gt;"",C18*$E$5,"")</x:f>
      </x:c>
      <x:c r="E18" s="21"/>
      <x:c r="F18" s="32" t="str">
        <x:f aca="0">IF(C18&lt;&gt;"",C18*C11,"")</x:f>
      </x:c>
      <x:c r="G18" s="33" t="str">
        <x:f aca="0">IF(D18&lt;&gt;"",D18*C11,"")</x:f>
      </x:c>
      <x:c r="H18" s="36"/>
      <x:c r="I18" s="37"/>
      <x:c r="J18" s="37"/>
      <x:c r="K18" s="37"/>
    </x:row>
    <x:row r="19" ht="21.75" hidden="0" customHeight="1">
      <x:c r="B19" s="27" t="s">
        <x:v>21</x:v>
      </x:c>
      <x:c r="C19" s="21"/>
      <x:c r="D19" s="31" t="str">
        <x:f aca="0">IF(C19&lt;&gt;"",C19*$E$5,"")</x:f>
      </x:c>
      <x:c r="E19" s="21"/>
      <x:c r="F19" s="32" t="str">
        <x:f aca="0">IF(C19&lt;&gt;"",C19*C12,"")</x:f>
      </x:c>
      <x:c r="G19" s="33" t="str">
        <x:f aca="0">IF(D19&lt;&gt;"",D19*C12,"")</x:f>
      </x:c>
      <x:c r="H19" s="34"/>
      <x:c r="I19" s="35"/>
      <x:c r="J19" s="35"/>
      <x:c r="K19" s="35"/>
    </x:row>
    <x:row r="20" ht="24" hidden="0" customHeight="1">
      <x:c r="A20" s="38" t="s">
        <x:v>26</x:v>
      </x:c>
      <x:c r="B20" s="38"/>
      <x:c r="C20" s="39" t="n">
        <x:f aca="0">IFERROR(SUM(C17:C19),0)</x:f>
        <x:v>0</x:v>
      </x:c>
      <x:c r="D20" s="31" t="n">
        <x:f aca="0">IFERROR(SUM(D17:D19),0)</x:f>
        <x:v>0</x:v>
      </x:c>
      <x:c r="E20" s="32" t="n">
        <x:f aca="0">IFERROR(SUMPRODUCT(C17:C19,E17:E19),"")</x:f>
        <x:v>0</x:v>
      </x:c>
      <x:c r="F20" s="32" t="n">
        <x:f aca="0">IFERROR(SUMPRODUCT(C17:C19,C10:C12),"")</x:f>
        <x:v>0</x:v>
      </x:c>
      <x:c r="G20" s="33" t="n">
        <x:f aca="0">IFERROR(SUM(G17:G19),"")</x:f>
        <x:v>0</x:v>
      </x:c>
      <x:c r="H20" s="40" t="str">
        <x:v>← Scenario Reveal return must be ≥ IPS Tripwire (cell G5). See Section 4 verdict below.</x:v>
      </x:c>
      <x:c r="I20" s="40"/>
      <x:c r="J20" s="40"/>
      <x:c r="K20" s="40"/>
    </x:row>
    <x:row r="21" ht="7.5" hidden="0" customHeight="1"/>
    <x:row r="22" ht="19.5" hidden="0" customHeight="1">
      <x:c r="A22" s="4" t="str">
        <x:v>  SECTION 3 — RISK METRICS  (Baseline &amp; Scenario Reveal)</x:v>
      </x:c>
      <x:c r="B22" s="4"/>
      <x:c r="C22" s="4"/>
      <x:c r="D22" s="4"/>
      <x:c r="E22" s="4"/>
      <x:c r="F22" s="4"/>
      <x:c r="G22" s="4"/>
      <x:c r="H22" s="4"/>
      <x:c r="I22" s="4"/>
      <x:c r="J22" s="4"/>
      <x:c r="K22" s="4"/>
    </x:row>
    <x:row r="23" ht="31.5" hidden="0" customHeight="1">
      <x:c r="A23" s="8" t="str">
        <x:v>Enter portfolio risk metrics for the submitted baseline and the Scenario Reveal. Beta and σ come from the Phase 2 allocation and selected holdings. Sharpe Ratio calculates automatically using the formula below.</x:v>
      </x:c>
      <x:c r="B23" s="8"/>
      <x:c r="C23" s="8"/>
      <x:c r="D23" s="8"/>
      <x:c r="E23" s="8"/>
      <x:c r="F23" s="8"/>
      <x:c r="G23" s="8"/>
      <x:c r="H23" s="8"/>
      <x:c r="I23" s="8"/>
      <x:c r="J23" s="8"/>
      <x:c r="K23" s="8"/>
    </x:row>
    <x:row r="24" ht="30" hidden="0" customHeight="1">
      <x:c r="B24" s="25" t="s">
        <x:v>6</x:v>
      </x:c>
      <x:c r="C24" s="25" t="str">
        <x:v>Baseline
(Phase 2)</x:v>
      </x:c>
      <x:c r="D24" s="25" t="str">
        <x:v>Scenario Reveal</x:v>
      </x:c>
      <x:c r="E24" s="25" t="s">
        <x:v>27</x:v>
      </x:c>
      <x:c r="F24" s="26" t="s">
        <x:v>28</x:v>
      </x:c>
      <x:c r="G24" s="26"/>
      <x:c r="H24" s="26"/>
      <x:c r="I24" s="26"/>
      <x:c r="J24" s="26"/>
      <x:c r="K24" s="26"/>
    </x:row>
    <x:row r="25" ht="21.75" hidden="0" customHeight="1">
      <x:c r="B25" s="17" t="s">
        <x:v>29</x:v>
      </x:c>
      <x:c r="C25" s="21"/>
      <x:c r="D25" s="40" t="s">
        <x:v>30</x:v>
      </x:c>
      <x:c r="E25" s="40"/>
      <x:c r="F25" s="40"/>
      <x:c r="G25" s="40"/>
      <x:c r="H25" s="40"/>
      <x:c r="I25" s="40"/>
      <x:c r="J25" s="40"/>
      <x:c r="K25" s="40"/>
    </x:row>
    <x:row r="26" ht="25.5" hidden="0" customHeight="1">
      <x:c r="B26" s="10" t="s">
        <x:v>11</x:v>
      </x:c>
      <x:c r="C26" s="41"/>
      <x:c r="D26" s="42"/>
      <x:c r="E26" s="43" t="str">
        <x:v>From Phase 2 security selection — weighted average beta of all holdings</x:v>
      </x:c>
      <x:c r="F26" s="44" t="s">
        <x:v>31</x:v>
      </x:c>
      <x:c r="G26" s="44"/>
      <x:c r="H26" s="44"/>
      <x:c r="I26" s="44"/>
      <x:c r="J26" s="44"/>
      <x:c r="K26" s="44"/>
    </x:row>
    <x:row r="27" ht="25.5" hidden="0" customHeight="1">
      <x:c r="B27" s="12" t="s">
        <x:v>32</x:v>
      </x:c>
      <x:c r="C27" s="21"/>
      <x:c r="D27" s="21"/>
      <x:c r="E27" s="43" t="str">
        <x:v>From Phase 2 CME Matrix — portfolio σ from Solver output</x:v>
      </x:c>
      <x:c r="F27" s="44" t="s">
        <x:v>33</x:v>
      </x:c>
      <x:c r="G27" s="44"/>
      <x:c r="H27" s="44"/>
      <x:c r="I27" s="44"/>
      <x:c r="J27" s="44"/>
      <x:c r="K27" s="44"/>
    </x:row>
    <x:row r="28" ht="25.5" hidden="0" customHeight="1">
      <x:c r="B28" s="10" t="s">
        <x:v>34</x:v>
      </x:c>
      <x:c r="C28" s="41" t="str">
        <x:f aca="0">IFERROR((E20-$C$25)/C27,"")</x:f>
      </x:c>
      <x:c r="D28" s="41" t="str">
        <x:f aca="0">IFERROR((F20-$C$25)/D27,"")</x:f>
      </x:c>
      <x:c r="E28" s="43" t="s">
        <x:v>35</x:v>
      </x:c>
      <x:c r="F28" s="44" t="s">
        <x:v>36</x:v>
      </x:c>
      <x:c r="G28" s="44"/>
      <x:c r="H28" s="44"/>
      <x:c r="I28" s="44"/>
      <x:c r="J28" s="44"/>
      <x:c r="K28" s="44"/>
    </x:row>
    <x:row r="29" ht="25.5" hidden="0" customHeight="1">
      <x:c r="B29" s="12" t="str">
        <x:v>Max Drawdown (Scenario Reveal)</x:v>
      </x:c>
      <x:c r="C29" s="45" t="s">
        <x:v>37</x:v>
      </x:c>
      <x:c r="D29" s="32" t="n">
        <x:f aca="0">IFERROR(F20,"")</x:f>
        <x:v>0</x:v>
      </x:c>
      <x:c r="E29" s="43" t="str">
        <x:v>Total Scenario Reveal Return (Section 2 row 20)</x:v>
      </x:c>
      <x:c r="F29" s="44" t="str">
        <x:v>Must be ≥ IPS Tripwire (cell G5). This drives the Scenario Reveal verdict.</x:v>
      </x:c>
      <x:c r="G29" s="44"/>
      <x:c r="H29" s="44"/>
      <x:c r="I29" s="44"/>
      <x:c r="J29" s="44"/>
      <x:c r="K29" s="44"/>
    </x:row>
    <x:row r="30" ht="25.5" hidden="0" customHeight="1">
      <x:c r="B30" s="10" t="s">
        <x:v>38</x:v>
      </x:c>
      <x:c r="C30" s="42"/>
      <x:c r="D30" s="42"/>
      <x:c r="E30" s="43" t="s">
        <x:v>39</x:v>
      </x:c>
      <x:c r="F30" s="44" t="s">
        <x:v>40</x:v>
      </x:c>
      <x:c r="G30" s="44"/>
      <x:c r="H30" s="44"/>
      <x:c r="I30" s="44"/>
      <x:c r="J30" s="44"/>
      <x:c r="K30" s="44"/>
    </x:row>
    <x:row r="31" ht="7.5" hidden="0" customHeight="1"/>
    <x:row r="32" ht="19.5" hidden="0" customHeight="1">
      <x:c r="A32" s="4" t="str">
        <x:v>  SECTION 4 — SCENARIO REVEAL VERDICT</x:v>
      </x:c>
      <x:c r="B32" s="4"/>
      <x:c r="C32" s="4"/>
      <x:c r="D32" s="4"/>
      <x:c r="E32" s="4"/>
      <x:c r="F32" s="4"/>
      <x:c r="G32" s="4"/>
      <x:c r="H32" s="4"/>
      <x:c r="I32" s="4"/>
      <x:c r="J32" s="4"/>
      <x:c r="K32" s="4"/>
    </x:row>
    <x:row r="33" ht="30" hidden="0" customHeight="1">
      <x:c r="B33" s="25" t="s">
        <x:v>41</x:v>
      </x:c>
      <x:c r="C33" s="25" t="s">
        <x:v>42</x:v>
      </x:c>
      <x:c r="D33" s="25" t="s">
        <x:v>43</x:v>
      </x:c>
      <x:c r="E33" s="25" t="s">
        <x:v>44</x:v>
      </x:c>
      <x:c r="F33" s="26" t="s">
        <x:v>45</x:v>
      </x:c>
      <x:c r="G33" s="26"/>
      <x:c r="H33" s="26"/>
      <x:c r="I33" s="26"/>
      <x:c r="J33" s="26"/>
      <x:c r="K33" s="26"/>
    </x:row>
    <x:row r="34" ht="25.5" hidden="0" customHeight="1">
      <x:c r="B34" s="10" t="s">
        <x:v>46</x:v>
      </x:c>
      <x:c r="C34" s="32" t="n">
        <x:f aca="0">$G$5</x:f>
        <x:v>0</x:v>
      </x:c>
      <x:c r="D34" s="32" t="n">
        <x:f aca="0">IFERROR(F20,"")</x:f>
        <x:v>0</x:v>
      </x:c>
      <x:c r="E34" s="32" t="n">
        <x:f aca="0">IFERROR(D34-C34,"")</x:f>
        <x:v>0</x:v>
      </x:c>
      <x:c r="F34" s="46" t="str">
        <x:f aca="0">IF(D34="","",IF(D34&gt;=C34,"✓ PASS","✗ FAIL — RE-ALLOCATE"))</x:f>
      </x:c>
      <x:c r="G34" s="47" t="str">
        <x:f aca="0">IF(D34="","",IF(D34&gt;=C34,"Scenario Reveal shows PASS. Stop and report this result to the instructor; do not use a PASS to skip the remediation checkpoint.","BREACH: Portfolio misses the IPS Tripwire by "&amp;TEXT(ABS(D34-C34),"0.0%")&amp;". Complete Section 5 with a real trade, trade-off, and full re-test before Gate 2."))</x:f>
      </x:c>
      <x:c r="H34" s="47"/>
      <x:c r="I34" s="47"/>
      <x:c r="J34" s="47"/>
      <x:c r="K34" s="47"/>
    </x:row>
    <x:row r="35" ht="25.5" hidden="0" customHeight="1">
      <x:c r="B35" s="12" t="s">
        <x:v>47</x:v>
      </x:c>
      <x:c r="C35" s="21"/>
      <x:c r="D35" s="32" t="str">
        <x:f aca="0">IF(C27&lt;&gt;"",C27,"")</x:f>
      </x:c>
      <x:c r="E35" s="32" t="n">
        <x:f aca="0">IFERROR(D35-C35,"")</x:f>
        <x:v>0</x:v>
      </x:c>
      <x:c r="F35" s="46" t="str">
        <x:f aca="0">IF(D35="","",IF(D35&lt;=C35,"✓ PASS","✗ EXCEED"))</x:f>
      </x:c>
      <x:c r="G35" s="48" t="s">
        <x:v>48</x:v>
      </x:c>
      <x:c r="H35" s="48"/>
      <x:c r="I35" s="48"/>
      <x:c r="J35" s="48"/>
      <x:c r="K35" s="48"/>
    </x:row>
    <x:row r="36" ht="7.5" hidden="0" customHeight="1">
      <x:c r="A36" t="str">
        <x:v>  SECTION 5 — REQUIRED REMEDIATION &amp; RE-TEST</x:v>
      </x:c>
    </x:row>
    <x:row r="37" ht="19.5" hidden="0" customHeight="1">
      <x:c r="A37" s="49" t="str">
        <x:v>  A breach requires a real portfolio change, stated trade-off, and full re-test</x:v>
      </x:c>
      <x:c r="B37" s="49"/>
      <x:c r="C37" s="49"/>
      <x:c r="D37" s="49"/>
      <x:c r="E37" s="49"/>
      <x:c r="F37" s="49"/>
      <x:c r="G37" s="49"/>
      <x:c r="H37" s="49"/>
      <x:c r="I37" s="49"/>
      <x:c r="J37" s="49"/>
      <x:c r="K37" s="49"/>
    </x:row>
    <x:row r="38" ht="31.5" hidden="0" customHeight="1">
      <x:c r="A38" s="50" t="str">
        <x:v>The Scenario Reveal is calibrated to test a client condition the baseline may not absorb. Document what was sold or reduced, what was bought or increased, old and new weights, dollar impact, rationale, and the trade-off. If the result is unexpectedly PASS, stop and report it to the instructor; do not skip the checkpoint.</x:v>
      </x:c>
      <x:c r="B38" s="50"/>
      <x:c r="C38" s="50"/>
      <x:c r="D38" s="50"/>
      <x:c r="E38" s="50"/>
      <x:c r="F38" s="50"/>
      <x:c r="G38" s="50"/>
      <x:c r="H38" s="50"/>
      <x:c r="I38" s="50"/>
      <x:c r="J38" s="50"/>
      <x:c r="K38" s="50"/>
    </x:row>
    <x:row r="39" ht="18" hidden="0" customHeight="1">
      <x:c r="A39" s="51" t="s">
        <x:v>49</x:v>
      </x:c>
      <x:c r="B39" s="51"/>
      <x:c r="C39" s="51"/>
      <x:c r="D39" s="51"/>
      <x:c r="E39" s="51"/>
      <x:c r="F39" s="51"/>
      <x:c r="G39" s="51"/>
      <x:c r="H39" s="51"/>
      <x:c r="I39" s="51"/>
      <x:c r="J39" s="51"/>
      <x:c r="K39" s="51"/>
    </x:row>
    <x:row r="40" ht="30" hidden="0" customHeight="1">
      <x:c r="B40" s="25" t="s">
        <x:v>50</x:v>
      </x:c>
      <x:c r="C40" s="25" t="s">
        <x:v>51</x:v>
      </x:c>
      <x:c r="D40" s="25" t="s">
        <x:v>52</x:v>
      </x:c>
      <x:c r="E40" s="25" t="s">
        <x:v>53</x:v>
      </x:c>
      <x:c r="F40" s="25" t="s">
        <x:v>54</x:v>
      </x:c>
      <x:c r="G40" s="26" t="s">
        <x:v>55</x:v>
      </x:c>
      <x:c r="H40" s="26"/>
      <x:c r="I40" s="26"/>
      <x:c r="J40" s="26"/>
      <x:c r="K40" s="26"/>
    </x:row>
    <x:row r="41" ht="21.75" hidden="0" customHeight="1">
      <x:c r="B41" s="18"/>
      <x:c r="C41" s="18"/>
      <x:c r="D41" s="21"/>
      <x:c r="E41" s="21"/>
      <x:c r="F41" s="33" t="str">
        <x:f aca="0">IF(AND(D41&lt;&gt;"",E41&lt;&gt;""),(E41-D41)*500000,"")</x:f>
      </x:c>
      <x:c r="G41" s="28"/>
      <x:c r="H41" s="28"/>
      <x:c r="I41" s="28"/>
      <x:c r="J41" s="28"/>
      <x:c r="K41" s="28"/>
    </x:row>
    <x:row r="42" ht="21.75" hidden="0" customHeight="1">
      <x:c r="B42" s="18"/>
      <x:c r="C42" s="18"/>
      <x:c r="D42" s="21"/>
      <x:c r="E42" s="21"/>
      <x:c r="F42" s="33" t="str">
        <x:f aca="0">IF(AND(D42&lt;&gt;"",E42&lt;&gt;""),(E42-D42)*500000,"")</x:f>
      </x:c>
      <x:c r="G42" s="28"/>
      <x:c r="H42" s="28"/>
      <x:c r="I42" s="28"/>
      <x:c r="J42" s="28"/>
      <x:c r="K42" s="28"/>
    </x:row>
    <x:row r="43" ht="21.75" hidden="0" customHeight="1">
      <x:c r="B43" s="18"/>
      <x:c r="C43" s="18"/>
      <x:c r="D43" s="21"/>
      <x:c r="E43" s="21"/>
      <x:c r="F43" s="33" t="str">
        <x:f aca="0">IF(AND(D43&lt;&gt;"",E43&lt;&gt;""),(E43-D43)*500000,"")</x:f>
      </x:c>
      <x:c r="G43" s="28"/>
      <x:c r="H43" s="28"/>
      <x:c r="I43" s="28"/>
      <x:c r="J43" s="28"/>
      <x:c r="K43" s="28"/>
    </x:row>
    <x:row r="44" ht="21.75" hidden="0" customHeight="1">
      <x:c r="B44" s="18"/>
      <x:c r="C44" s="18"/>
      <x:c r="D44" s="21"/>
      <x:c r="E44" s="21"/>
      <x:c r="F44" s="33" t="str">
        <x:f aca="0">IF(AND(D44&lt;&gt;"",E44&lt;&gt;""),(E44-D44)*500000,"")</x:f>
      </x:c>
      <x:c r="G44" s="28"/>
      <x:c r="H44" s="28"/>
      <x:c r="I44" s="28"/>
      <x:c r="J44" s="28"/>
      <x:c r="K44" s="28"/>
    </x:row>
    <x:row r="45" ht="21.75" hidden="0" customHeight="1">
      <x:c r="B45" s="18"/>
      <x:c r="C45" s="18"/>
      <x:c r="D45" s="21"/>
      <x:c r="E45" s="21"/>
      <x:c r="F45" s="33" t="str">
        <x:f aca="0">IF(AND(D45&lt;&gt;"",E45&lt;&gt;""),(E45-D45)*500000,"")</x:f>
      </x:c>
      <x:c r="G45" s="28"/>
      <x:c r="H45" s="28"/>
      <x:c r="I45" s="28"/>
      <x:c r="J45" s="28"/>
      <x:c r="K45" s="28"/>
    </x:row>
    <x:row r="46" ht="21.75" hidden="0" customHeight="1">
      <x:c r="B46" s="18"/>
      <x:c r="C46" s="18"/>
      <x:c r="D46" s="21"/>
      <x:c r="E46" s="21"/>
      <x:c r="F46" s="33" t="str">
        <x:f aca="0">IF(AND(D46&lt;&gt;"",E46&lt;&gt;""),(E46-D46)*500000,"")</x:f>
      </x:c>
      <x:c r="G46" s="28"/>
      <x:c r="H46" s="28"/>
      <x:c r="I46" s="28"/>
      <x:c r="J46" s="28"/>
      <x:c r="K46" s="28"/>
    </x:row>
    <x:row r="47" ht="21.75" hidden="0" customHeight="1">
      <x:c r="A47" s="52" t="s">
        <x:v>56</x:v>
      </x:c>
      <x:c r="B47" s="52"/>
      <x:c r="C47" s="52"/>
      <x:c r="D47" s="32" t="n">
        <x:f aca="0">IFERROR(SUM(E41:E46),0)</x:f>
        <x:v>0</x:v>
      </x:c>
      <x:c r="E47" s="40" t="s">
        <x:v>57</x:v>
      </x:c>
      <x:c r="F47" s="40"/>
      <x:c r="G47" s="40"/>
      <x:c r="H47" s="40"/>
      <x:c r="I47" s="40"/>
      <x:c r="J47" s="40"/>
      <x:c r="K47" s="40"/>
    </x:row>
    <x:row r="48" ht="7.5" hidden="0" customHeight="1"/>
    <x:row r="49" ht="18" hidden="0" customHeight="1">
      <x:c r="A49" s="51" t="str">
        <x:v>  Part B — Revised Scenario Reveal Result  (confirm the corrective portfolio now passes)</x:v>
      </x:c>
      <x:c r="B49" s="51"/>
      <x:c r="C49" s="51"/>
      <x:c r="D49" s="51"/>
      <x:c r="E49" s="51"/>
      <x:c r="F49" s="51"/>
      <x:c r="G49" s="51"/>
      <x:c r="H49" s="51"/>
      <x:c r="I49" s="51"/>
      <x:c r="J49" s="51"/>
      <x:c r="K49" s="51"/>
    </x:row>
    <x:row r="50" ht="31.5" hidden="0" customHeight="1">
      <x:c r="A50" s="8" t="str">
        <x:v>Using the new weights from Part A, recalculate the released scenario result. The result must be at or above the IPS Tripwire. Show the calculation clearly and retain the baseline evidence separately.</x:v>
      </x:c>
      <x:c r="B50" s="8"/>
      <x:c r="C50" s="8"/>
      <x:c r="D50" s="8"/>
      <x:c r="E50" s="8"/>
      <x:c r="F50" s="8"/>
      <x:c r="G50" s="8"/>
      <x:c r="H50" s="8"/>
      <x:c r="I50" s="8"/>
      <x:c r="J50" s="8"/>
      <x:c r="K50" s="8"/>
    </x:row>
    <x:row r="51" ht="30" hidden="0" customHeight="1">
      <x:c r="B51" s="25" t="s">
        <x:v>22</x:v>
      </x:c>
      <x:c r="C51" s="25" t="s">
        <x:v>58</x:v>
      </x:c>
      <x:c r="D51" s="25" t="s">
        <x:v>59</x:v>
      </x:c>
      <x:c r="E51" s="25" t="str">
        <x:v>Scenario Reveal E(R)</x:v>
      </x:c>
      <x:c r="F51" s="25" t="str">
        <x:v>Wtd Scenario Contribution</x:v>
      </x:c>
      <x:c r="G51" s="26" t="s">
        <x:v>60</x:v>
      </x:c>
      <x:c r="H51" s="26"/>
      <x:c r="I51" s="26"/>
      <x:c r="J51" s="26"/>
      <x:c r="K51" s="26"/>
    </x:row>
    <x:row r="52" ht="21.75" hidden="0" customHeight="1">
      <x:c r="B52" s="27" t="s">
        <x:v>19</x:v>
      </x:c>
      <x:c r="C52" s="21"/>
      <x:c r="D52" s="31" t="str">
        <x:f aca="0">IF(C52&lt;&gt;"",C52*$E$5,"")</x:f>
      </x:c>
      <x:c r="E52" s="32" t="n">
        <x:f aca="0">C10</x:f>
        <x:v>0</x:v>
      </x:c>
      <x:c r="F52" s="32" t="str">
        <x:f aca="0">IF(C52&lt;&gt;"",C52*C10,"")</x:f>
      </x:c>
      <x:c r="G52" s="33" t="str">
        <x:f aca="0">IF(D52&lt;&gt;"",D52*C10,"")</x:f>
      </x:c>
      <x:c r="H52" s="53"/>
      <x:c r="I52" s="53"/>
      <x:c r="J52" s="53"/>
      <x:c r="K52" s="53"/>
    </x:row>
    <x:row r="53" ht="21.75" hidden="0" customHeight="1">
      <x:c r="B53" s="29" t="s">
        <x:v>20</x:v>
      </x:c>
      <x:c r="C53" s="21"/>
      <x:c r="D53" s="31" t="str">
        <x:f aca="0">IF(C53&lt;&gt;"",C53*$E$5,"")</x:f>
      </x:c>
      <x:c r="E53" s="32" t="n">
        <x:f aca="0">C11</x:f>
        <x:v>0</x:v>
      </x:c>
      <x:c r="F53" s="32" t="str">
        <x:f aca="0">IF(C53&lt;&gt;"",C53*C11,"")</x:f>
      </x:c>
      <x:c r="G53" s="33" t="str">
        <x:f aca="0">IF(D53&lt;&gt;"",D53*C11,"")</x:f>
      </x:c>
      <x:c r="H53" s="54"/>
      <x:c r="I53" s="54"/>
      <x:c r="J53" s="54"/>
      <x:c r="K53" s="54"/>
    </x:row>
    <x:row r="54" ht="21.75" hidden="0" customHeight="1">
      <x:c r="B54" s="27" t="s">
        <x:v>21</x:v>
      </x:c>
      <x:c r="C54" s="21"/>
      <x:c r="D54" s="31" t="str">
        <x:f aca="0">IF(C54&lt;&gt;"",C54*$E$5,"")</x:f>
      </x:c>
      <x:c r="E54" s="32" t="n">
        <x:f aca="0">C12</x:f>
        <x:v>0</x:v>
      </x:c>
      <x:c r="F54" s="32" t="str">
        <x:f aca="0">IF(C54&lt;&gt;"",C54*C12,"")</x:f>
      </x:c>
      <x:c r="G54" s="33" t="str">
        <x:f aca="0">IF(D54&lt;&gt;"",D54*C12,"")</x:f>
      </x:c>
      <x:c r="H54" s="53"/>
      <x:c r="I54" s="53"/>
      <x:c r="J54" s="53"/>
      <x:c r="K54" s="53"/>
    </x:row>
    <x:row r="55" ht="24" hidden="0" customHeight="1">
      <x:c r="A55" s="38" t="s">
        <x:v>61</x:v>
      </x:c>
      <x:c r="B55" s="38"/>
      <x:c r="C55" s="32" t="n">
        <x:f aca="0">IFERROR(SUM(C52:C54),0)</x:f>
        <x:v>0</x:v>
      </x:c>
      <x:c r="D55" s="31" t="n">
        <x:f aca="0">IFERROR(SUM(D52:D54),0)</x:f>
        <x:v>0</x:v>
      </x:c>
      <x:c r="E55" s="32"/>
      <x:c r="F55" s="32" t="n">
        <x:f aca="0">IFERROR(SUMPRODUCT(C52:C54,C10:C12),"")</x:f>
        <x:v>0</x:v>
      </x:c>
      <x:c r="G55" s="33" t="n">
        <x:f aca="0">IFERROR(SUM(G52:G54),"")</x:f>
        <x:v>0</x:v>
      </x:c>
    </x:row>
    <x:row r="56" ht="25.5" hidden="0" customHeight="1">
      <x:c r="B56" s="10" t="s">
        <x:v>62</x:v>
      </x:c>
      <x:c r="C56" s="32" t="n">
        <x:f aca="0">$G$5</x:f>
        <x:v>0</x:v>
      </x:c>
      <x:c r="D56" s="32" t="n">
        <x:f aca="0">IFERROR(F55,"")</x:f>
        <x:v>0</x:v>
      </x:c>
      <x:c r="E56" s="32" t="n">
        <x:f aca="0">IFERROR(D56-C56,"")</x:f>
        <x:v>0</x:v>
      </x:c>
      <x:c r="F56" s="46" t="str">
        <x:f aca="0">IF(D56="","",IF(D56&gt;=$G$5,"✓ REVISED PASS","✗ STILL FAILING — ADJUST FURTHER"))</x:f>
      </x:c>
      <x:c r="G56" s="48" t="str">
        <x:v>Revised Scenario Reveal return must be ≥ IPS Tripwire (G5). If still failing, make a further documented adjustment and re-test.</x:v>
      </x:c>
      <x:c r="H56" s="48"/>
      <x:c r="I56" s="48"/>
      <x:c r="J56" s="48"/>
      <x:c r="K56" s="48"/>
    </x:row>
    <x:row r="57" ht="7.5" hidden="0" customHeight="1"/>
    <x:row r="58" ht="19.5" hidden="0" customHeight="1">
      <x:c r="A58" s="4" t="str">
        <x:v>  SECTION 6 — FINAL RISK METRICS SUMMARY  (for Gate 2 submission)</x:v>
      </x:c>
      <x:c r="B58" s="4"/>
      <x:c r="C58" s="4"/>
      <x:c r="D58" s="4"/>
      <x:c r="E58" s="4"/>
      <x:c r="F58" s="4"/>
      <x:c r="G58" s="4"/>
      <x:c r="H58" s="4"/>
      <x:c r="I58" s="4"/>
      <x:c r="J58" s="4"/>
      <x:c r="K58" s="4"/>
    </x:row>
    <x:row r="59" ht="31.5" hidden="0" customHeight="1">
      <x:c r="A59" s="8" t="str">
        <x:v>These are the final Gate 2 numbers. Use the revised portfolio metrics after the Scenario Reveal remediation and retain the pre-reveal baseline snapshot as a separate submitted record.</x:v>
      </x:c>
      <x:c r="B59" s="8"/>
      <x:c r="C59" s="8"/>
      <x:c r="D59" s="8"/>
      <x:c r="E59" s="8"/>
      <x:c r="F59" s="8"/>
      <x:c r="G59" s="8"/>
      <x:c r="H59" s="8"/>
      <x:c r="I59" s="8"/>
      <x:c r="J59" s="8"/>
      <x:c r="K59" s="8"/>
    </x:row>
    <x:row r="60" ht="30" hidden="0" customHeight="1">
      <x:c r="B60" s="25" t="s">
        <x:v>6</x:v>
      </x:c>
      <x:c r="C60" s="25" t="s">
        <x:v>63</x:v>
      </x:c>
      <x:c r="D60" s="25" t="s">
        <x:v>64</x:v>
      </x:c>
      <x:c r="E60" s="26" t="s">
        <x:v>65</x:v>
      </x:c>
      <x:c r="F60" s="26"/>
      <x:c r="G60" s="26"/>
      <x:c r="H60" s="26"/>
      <x:c r="I60" s="26"/>
      <x:c r="J60" s="26"/>
      <x:c r="K60" s="26"/>
    </x:row>
    <x:row r="61" ht="24" hidden="0" customHeight="1">
      <x:c r="B61" s="10" t="s">
        <x:v>11</x:v>
      </x:c>
      <x:c r="C61" s="42"/>
      <x:c r="D61" s="55" t="s">
        <x:v>66</x:v>
      </x:c>
      <x:c r="E61" s="44" t="str">
        <x:v>Weighted average β from the Phase 2 security-selection record</x:v>
      </x:c>
      <x:c r="F61" s="44"/>
      <x:c r="G61" s="44"/>
      <x:c r="H61" s="44"/>
      <x:c r="I61" s="44"/>
      <x:c r="J61" s="44"/>
      <x:c r="K61" s="44"/>
    </x:row>
    <x:row r="62" ht="24" hidden="0" customHeight="1">
      <x:c r="B62" s="12" t="s">
        <x:v>32</x:v>
      </x:c>
      <x:c r="C62" s="21"/>
      <x:c r="D62" s="55" t="str">
        <x:v>Must be ≤ IPS Max σ from Phase 1</x:v>
      </x:c>
      <x:c r="E62" s="44" t="str">
        <x:v>From the Phase 2 CME Matrix (Solver output)</x:v>
      </x:c>
      <x:c r="F62" s="44"/>
      <x:c r="G62" s="44"/>
      <x:c r="H62" s="44"/>
      <x:c r="I62" s="44"/>
      <x:c r="J62" s="44"/>
      <x:c r="K62" s="44"/>
    </x:row>
    <x:row r="63" ht="24" hidden="0" customHeight="1">
      <x:c r="B63" s="10" t="s">
        <x:v>67</x:v>
      </x:c>
      <x:c r="C63" s="42"/>
      <x:c r="D63" s="55" t="s">
        <x:v>68</x:v>
      </x:c>
      <x:c r="E63" s="44" t="s">
        <x:v>69</x:v>
      </x:c>
      <x:c r="F63" s="44"/>
      <x:c r="G63" s="44"/>
      <x:c r="H63" s="44"/>
      <x:c r="I63" s="44"/>
      <x:c r="J63" s="44"/>
      <x:c r="K63" s="44"/>
    </x:row>
    <x:row r="64" ht="24" hidden="0" customHeight="1">
      <x:c r="B64" s="12" t="str">
        <x:v>Scenario Reveal Portfolio Return</x:v>
      </x:c>
      <x:c r="C64" s="21"/>
      <x:c r="D64" s="55" t="s">
        <x:v>70</x:v>
      </x:c>
      <x:c r="E64" s="44" t="s">
        <x:v>71</x:v>
      </x:c>
      <x:c r="F64" s="44"/>
      <x:c r="G64" s="44"/>
      <x:c r="H64" s="44"/>
      <x:c r="I64" s="44"/>
      <x:c r="J64" s="44"/>
      <x:c r="K64" s="44"/>
    </x:row>
    <x:row r="65" ht="24" hidden="0" customHeight="1">
      <x:c r="B65" s="10" t="str">
        <x:v>Scenario Reveal $ P&amp;L</x:v>
      </x:c>
      <x:c r="C65" s="56"/>
      <x:c r="D65" s="55" t="s">
        <x:v>72</x:v>
      </x:c>
      <x:c r="E65" s="44" t="s">
        <x:v>71</x:v>
      </x:c>
      <x:c r="F65" s="44"/>
      <x:c r="G65" s="44"/>
      <x:c r="H65" s="44"/>
      <x:c r="I65" s="44"/>
      <x:c r="J65" s="44"/>
      <x:c r="K65" s="44"/>
    </x:row>
    <x:row r="66" ht="24" hidden="0" customHeight="1">
      <x:c r="B66" s="12" t="str">
        <x:v>IPS Mandate Status after re-test</x:v>
      </x:c>
      <x:c r="C66" s="57"/>
      <x:c r="D66" s="55" t="s">
        <x:v>73</x:v>
      </x:c>
      <x:c r="E66" s="44" t="s">
        <x:v>74</x:v>
      </x:c>
      <x:c r="F66" s="44"/>
      <x:c r="G66" s="44"/>
      <x:c r="H66" s="44"/>
      <x:c r="I66" s="44"/>
      <x:c r="J66" s="44"/>
      <x:c r="K66" s="44"/>
    </x:row>
    <x:row r="68" ht="7.5" hidden="0" customHeight="1"/>
    <x:row r="69" ht="19.5" hidden="0" customHeight="1">
      <x:c r="A69" s="4" t="s">
        <x:v>75</x:v>
      </x:c>
      <x:c r="B69" s="4"/>
      <x:c r="C69" s="4"/>
      <x:c r="D69" s="4"/>
      <x:c r="E69" s="4"/>
      <x:c r="F69" s="4"/>
      <x:c r="G69" s="4"/>
      <x:c r="H69" s="4"/>
      <x:c r="I69" s="4"/>
      <x:c r="J69" s="4"/>
      <x:c r="K69" s="4"/>
    </x:row>
    <x:row r="70" ht="18" hidden="0" customHeight="1">
      <x:c r="B70" s="58" t="s">
        <x:v>76</x:v>
      </x:c>
      <x:c r="C70" s="7" t="s">
        <x:v>77</x:v>
      </x:c>
      <x:c r="D70" s="7"/>
      <x:c r="E70" s="7"/>
      <x:c r="F70" s="7"/>
      <x:c r="G70" s="7"/>
      <x:c r="H70" s="7"/>
      <x:c r="I70" s="7"/>
      <x:c r="J70" s="7"/>
      <x:c r="K70" s="7"/>
    </x:row>
    <x:row r="71" ht="18" hidden="0" customHeight="1">
      <x:c r="B71" s="59" t="s">
        <x:v>76</x:v>
      </x:c>
      <x:c r="C71" s="7" t="s">
        <x:v>78</x:v>
      </x:c>
      <x:c r="D71" s="7"/>
      <x:c r="E71" s="7"/>
      <x:c r="F71" s="7"/>
      <x:c r="G71" s="7"/>
      <x:c r="H71" s="7"/>
      <x:c r="I71" s="7"/>
      <x:c r="J71" s="7"/>
      <x:c r="K71" s="7"/>
    </x:row>
    <x:row r="72" ht="18" hidden="0" customHeight="1">
      <x:c r="B72" s="60" t="s">
        <x:v>76</x:v>
      </x:c>
      <x:c r="C72" s="7" t="s">
        <x:v>79</x:v>
      </x:c>
      <x:c r="D72" s="7"/>
      <x:c r="E72" s="7"/>
      <x:c r="F72" s="7"/>
      <x:c r="G72" s="7"/>
      <x:c r="H72" s="7"/>
      <x:c r="I72" s="7"/>
      <x:c r="J72" s="7"/>
      <x:c r="K72" s="7"/>
    </x:row>
    <x:row r="73" ht="18" hidden="0" customHeight="1">
      <x:c r="B73" s="61" t="s">
        <x:v>76</x:v>
      </x:c>
      <x:c r="C73" s="7" t="s">
        <x:v>80</x:v>
      </x:c>
      <x:c r="D73" s="7"/>
      <x:c r="E73" s="7"/>
      <x:c r="F73" s="7"/>
      <x:c r="G73" s="7"/>
      <x:c r="H73" s="7"/>
      <x:c r="I73" s="7"/>
      <x:c r="J73" s="7"/>
      <x:c r="K73" s="7"/>
    </x:row>
    <x:row r="74" ht="18" hidden="0" customHeight="1">
      <x:c r="B74" s="62" t="s">
        <x:v>76</x:v>
      </x:c>
      <x:c r="C74" s="7" t="s">
        <x:v>81</x:v>
      </x:c>
      <x:c r="D74" s="7"/>
      <x:c r="E74" s="7"/>
      <x:c r="F74" s="7"/>
      <x:c r="G74" s="7"/>
      <x:c r="H74" s="7"/>
      <x:c r="I74" s="7"/>
      <x:c r="J74" s="7"/>
      <x:c r="K74" s="7"/>
    </x:row>
    <x:row r="75" ht="18" hidden="0" customHeight="1">
      <x:c r="B75" s="63" t="s">
        <x:v>76</x:v>
      </x:c>
      <x:c r="C75" s="7" t="s">
        <x:v>82</x:v>
      </x:c>
      <x:c r="D75" s="7"/>
      <x:c r="E75" s="7"/>
      <x:c r="F75" s="7"/>
      <x:c r="G75" s="7"/>
      <x:c r="H75" s="7"/>
      <x:c r="I75" s="7"/>
      <x:c r="J75" s="7"/>
      <x:c r="K75" s="7"/>
    </x:row>
  </x:sheetData>
  <x:mergeCells>
    <x:mergeCell ref="A2:K2"/>
    <x:mergeCell ref="A3:K3"/>
    <x:mergeCell ref="A7:K7"/>
    <x:mergeCell ref="A8:K8"/>
    <x:mergeCell ref="E9:K9"/>
    <x:mergeCell ref="E10:K10"/>
    <x:mergeCell ref="E11:K11"/>
    <x:mergeCell ref="E12:K12"/>
    <x:mergeCell ref="A14:K14"/>
    <x:mergeCell ref="A15:K15"/>
    <x:mergeCell ref="I16:K16"/>
    <x:mergeCell ref="I17:K17"/>
    <x:mergeCell ref="I18:K18"/>
    <x:mergeCell ref="I19:K19"/>
    <x:mergeCell ref="A20:B20"/>
    <x:mergeCell ref="H20:K20"/>
    <x:mergeCell ref="A22:K22"/>
    <x:mergeCell ref="A23:K23"/>
    <x:mergeCell ref="F24:K24"/>
    <x:mergeCell ref="D25:K25"/>
    <x:mergeCell ref="F26:K26"/>
    <x:mergeCell ref="F27:K27"/>
    <x:mergeCell ref="F28:K28"/>
    <x:mergeCell ref="F29:K29"/>
    <x:mergeCell ref="F30:K30"/>
    <x:mergeCell ref="A32:K32"/>
    <x:mergeCell ref="F33:K33"/>
    <x:mergeCell ref="G34:K34"/>
    <x:mergeCell ref="G35:K35"/>
    <x:mergeCell ref="A37:K37"/>
    <x:mergeCell ref="A38:K38"/>
    <x:mergeCell ref="A39:K39"/>
    <x:mergeCell ref="G40:K40"/>
    <x:mergeCell ref="G41:K41"/>
    <x:mergeCell ref="G42:K42"/>
    <x:mergeCell ref="G43:K43"/>
    <x:mergeCell ref="G44:K44"/>
    <x:mergeCell ref="G45:K45"/>
    <x:mergeCell ref="G46:K46"/>
    <x:mergeCell ref="A47:C47"/>
    <x:mergeCell ref="E47:K47"/>
    <x:mergeCell ref="A49:K49"/>
    <x:mergeCell ref="A50:K50"/>
    <x:mergeCell ref="G51:K51"/>
    <x:mergeCell ref="H52:K52"/>
    <x:mergeCell ref="H53:K53"/>
    <x:mergeCell ref="H54:K54"/>
    <x:mergeCell ref="A55:B55"/>
    <x:mergeCell ref="G56:K56"/>
    <x:mergeCell ref="A58:K58"/>
    <x:mergeCell ref="A59:K59"/>
    <x:mergeCell ref="E60:K60"/>
    <x:mergeCell ref="E61:K61"/>
    <x:mergeCell ref="E62:K62"/>
    <x:mergeCell ref="E63:K63"/>
    <x:mergeCell ref="E64:K64"/>
    <x:mergeCell ref="E65:K65"/>
    <x:mergeCell ref="E66:K66"/>
    <x:mergeCell ref="A69:K69"/>
    <x:mergeCell ref="C70:K70"/>
    <x:mergeCell ref="C71:K71"/>
    <x:mergeCell ref="C72:K72"/>
    <x:mergeCell ref="C73:K73"/>
    <x:mergeCell ref="C74:K74"/>
    <x:mergeCell ref="C75:K75"/>
    <x:mergeCell ref="I6:J6"/>
  </x:mergeCells>
  <x:conditionalFormatting sqref="C20:C20">
    <x:cfRule type="cellIs" dxfId="0" priority="2" aboveAverage="0" percent="0" bottom="0" operator="equal" rank="0" equalAverage="0">
      <x:formula>1</x:formula>
    </x:cfRule>
    <x:cfRule type="cellIs" dxfId="1" priority="3" aboveAverage="0" percent="0" bottom="0" operator="notEqual" rank="0" equalAverage="0">
      <x:formula>1</x:formula>
    </x:cfRule>
  </x:conditionalFormatting>
  <x:conditionalFormatting sqref="F34:F34">
    <x:cfRule type="expression" dxfId="4" priority="4" aboveAverage="0" percent="0" bottom="0" rank="0" equalAverage="0">
      <x:formula>D34&gt;=C34</x:formula>
    </x:cfRule>
    <x:cfRule type="expression" dxfId="5" priority="5" aboveAverage="0" percent="0" bottom="0" rank="0" equalAverage="0">
      <x:formula>AND(D34&lt;&gt;"",D34&lt;C34)</x:formula>
    </x:cfRule>
  </x:conditionalFormatting>
  <x:conditionalFormatting sqref="F35:F35">
    <x:cfRule type="expression" dxfId="4" priority="6" aboveAverage="0" percent="0" bottom="0" rank="0" equalAverage="0">
      <x:formula>AND(D35&lt;&gt;"",D35&lt;=C35)</x:formula>
    </x:cfRule>
    <x:cfRule type="expression" dxfId="6" priority="7" aboveAverage="0" percent="0" bottom="0" rank="0" equalAverage="0">
      <x:formula>AND(D35&lt;&gt;"",D35&gt;C35)</x:formula>
    </x:cfRule>
  </x:conditionalFormatting>
  <x:conditionalFormatting sqref="D47:D47">
    <x:cfRule type="cellIs" dxfId="0" priority="8" aboveAverage="0" percent="0" bottom="0" operator="equal" rank="0" equalAverage="0">
      <x:formula>1</x:formula>
    </x:cfRule>
    <x:cfRule type="cellIs" dxfId="1" priority="9" aboveAverage="0" percent="0" bottom="0" operator="notEqual" rank="0" equalAverage="0">
      <x:formula>1</x:formula>
    </x:cfRule>
  </x:conditionalFormatting>
  <x:conditionalFormatting sqref="F56:F56">
    <x:cfRule type="expression" dxfId="4" priority="10" aboveAverage="0" percent="0" bottom="0" rank="0" equalAverage="0">
      <x:formula>D56&gt;=$G$5</x:formula>
    </x:cfRule>
    <x:cfRule type="expression" dxfId="5" priority="11" aboveAverage="0" percent="0" bottom="0" rank="0" equalAverage="0">
      <x:formula>AND(D56&lt;&gt;"",D56&lt;$G$5)</x:formula>
    </x:cfRule>
  </x:conditionalFormatting>
  <x:dataValidations count="1">
    <x:dataValidation type="list" errorStyle="stop" operator="between" allowBlank="1" showDropDown="0" showInputMessage="0" showErrorMessage="0" sqref="B41:B46">
      <x:formula1>"BUY,SELL,HOLD"</x:formula1>
      <x:formula2>0</x:formula2>
    </x:dataValidation>
  </x:dataValidations>
  <x:pageMargins left="0.7" right="0.7" top="0.75" bottom="0.75" header="0.3" footer="0.3"/>
  <x:legacyDrawing xmlns:r="http://schemas.openxmlformats.org/officeDocument/2006/relationships" r:id="R3bd25e4235774f7b"/>
</x:worksheet>
</file>

<file path=xl/worksheets/sheet5.xml><?xml version="1.0" encoding="utf-8"?>
<x:worksheet xmlns:x="http://schemas.openxmlformats.org/spreadsheetml/2006/main">
  <x:sheetPr>
    <x:tabColor rgb="FF1A3A8B"/>
  </x:sheetPr>
  <x:sheetViews>
    <x:sheetView showGridLines="0" workbookViewId="0"/>
  </x:sheetViews>
  <x:sheetFormatPr defaultColWidth="8.6796875" defaultRowHeight="15"/>
  <x:cols>
    <x:col min="1" max="1" width="2" style="1" hidden="0" customWidth="1"/>
    <x:col min="2" max="2" width="30" style="1" hidden="0" customWidth="1"/>
    <x:col min="3" max="3" width="13" style="1" hidden="0" customWidth="1"/>
    <x:col min="4" max="7" width="16" style="1" hidden="0" customWidth="1"/>
    <x:col min="8" max="8" width="28" style="1" hidden="0" customWidth="1"/>
    <x:col min="9" max="10" width="14" style="1" hidden="0" customWidth="1"/>
    <x:col min="11" max="11" width="2" style="1" hidden="0" customWidth="1"/>
  </x:cols>
  <x:sheetData>
    <x:row r="1" ht="6" hidden="0" customHeight="1"/>
    <x:row r="2" ht="37.5" hidden="0" customHeight="1">
      <x:c r="A2" s="2" t="str">
        <x:v>Phase 2 Workstream C — Portfolio Stress Test &amp; Quantitative Audit  |  Client 3</x:v>
      </x:c>
      <x:c r="B2" s="2"/>
      <x:c r="C2" s="2"/>
      <x:c r="D2" s="2"/>
      <x:c r="E2" s="2"/>
      <x:c r="F2" s="2"/>
      <x:c r="G2" s="2"/>
      <x:c r="H2" s="2"/>
      <x:c r="I2" s="2"/>
      <x:c r="J2" s="2"/>
      <x:c r="K2" s="2"/>
    </x:row>
    <x:row r="3" ht="18" hidden="0" customHeight="1">
      <x:c r="A3" s="3" t="str">
        <x:v>BUS 331 Investments | Stage 1: submit baseline; Stage 2: run the instructor-issued Scenario Reveal and remediation test</x:v>
      </x:c>
      <x:c r="B3" s="3"/>
      <x:c r="C3" s="3"/>
      <x:c r="D3" s="3"/>
      <x:c r="E3" s="3"/>
      <x:c r="F3" s="3"/>
      <x:c r="G3" s="3"/>
      <x:c r="H3" s="3"/>
      <x:c r="I3" s="3"/>
      <x:c r="J3" s="3"/>
      <x:c r="K3" s="3"/>
    </x:row>
    <x:row r="4" ht="6" hidden="0" customHeight="1"/>
    <x:row r="5" ht="21.75" hidden="0" customHeight="1">
      <x:c r="B5" s="17" t="s">
        <x:v>14</x:v>
      </x:c>
      <x:c r="C5" s="18"/>
      <x:c r="D5" s="17" t="s">
        <x:v>15</x:v>
      </x:c>
      <x:c r="E5" s="19" t="n">
        <x:v>500000</x:v>
      </x:c>
      <x:c r="F5" s="20" t="s">
        <x:v>16</x:v>
      </x:c>
      <x:c r="G5" s="21"/>
      <x:c r="H5" s="17" t="s">
        <x:v>17</x:v>
      </x:c>
      <x:c r="I5" s="22" t="str">
        <x:v>(from Phase 1)</x:v>
      </x:c>
      <x:c r="J5" s="23" t="s">
        <x:v>18</x:v>
      </x:c>
    </x:row>
    <x:row r="6" ht="6" hidden="0" customHeight="1">
      <x:c r="H6" s="99" t="str">
        <x:v>Scenario Release Packet ID:</x:v>
      </x:c>
      <x:c r="I6" s="99" t="str"/>
      <x:c r="J6" s="99"/>
    </x:row>
    <x:row r="7" ht="19.5" hidden="0" customHeight="1">
      <x:c r="A7" s="4" t="str">
        <x:v>  SECTION 1 — SCENARIO REVEAL ASSUMPTIONS  (enter only after instructor release)</x:v>
      </x:c>
      <x:c r="B7" s="4"/>
      <x:c r="C7" s="4"/>
      <x:c r="D7" s="4"/>
      <x:c r="E7" s="4"/>
      <x:c r="F7" s="4"/>
      <x:c r="G7" s="4"/>
      <x:c r="H7" s="4"/>
      <x:c r="I7" s="4"/>
      <x:c r="J7" s="4"/>
      <x:c r="K7" s="4"/>
    </x:row>
    <x:row r="8" ht="31.5" hidden="0" customHeight="1">
      <x:c r="A8" s="24" t="str">
        <x:v>Stage 1: submit the baseline portfolio snapshot using your approved Phase 1 bear-case inputs. Stage 2: after the instructor issues a Scenario Reveal packet, copy the released inputs below exactly. These values drive the remediation test; do not soften them, change the client mandate, or enter values before the release.</x:v>
      </x:c>
      <x:c r="B8" s="24"/>
      <x:c r="C8" s="24"/>
      <x:c r="D8" s="24"/>
      <x:c r="E8" s="24"/>
      <x:c r="F8" s="24"/>
      <x:c r="G8" s="24"/>
      <x:c r="H8" s="24"/>
      <x:c r="I8" s="24"/>
      <x:c r="J8" s="24"/>
      <x:c r="K8" s="24"/>
    </x:row>
    <x:row r="9" ht="30" hidden="0" customHeight="1">
      <x:c r="B9" s="25" t="str">
        <x:v>Asset Class</x:v>
      </x:c>
      <x:c r="C9" s="25" t="str">
        <x:v>Scenario Reveal
E(R) Input</x:v>
      </x:c>
      <x:c r="D9" s="25" t="str">
        <x:v>Scenario Reveal
Std Dev (σ)</x:v>
      </x:c>
      <x:c r="E9" s="26" t="str">
        <x:v>Instructor packet / source reference</x:v>
      </x:c>
      <x:c r="F9" s="26"/>
      <x:c r="G9" s="26"/>
      <x:c r="H9" s="26"/>
      <x:c r="I9" s="26"/>
      <x:c r="J9" s="26"/>
      <x:c r="K9" s="26"/>
    </x:row>
    <x:row r="10" ht="21.75" hidden="0" customHeight="1">
      <x:c r="B10" s="27" t="s">
        <x:v>19</x:v>
      </x:c>
      <x:c r="C10" s="21"/>
      <x:c r="D10" s="21"/>
      <x:c r="E10" s="28"/>
      <x:c r="F10" s="28"/>
      <x:c r="G10" s="28"/>
      <x:c r="H10" s="28"/>
      <x:c r="I10" s="28"/>
      <x:c r="J10" s="28"/>
      <x:c r="K10" s="28"/>
    </x:row>
    <x:row r="11" ht="21.75" hidden="0" customHeight="1">
      <x:c r="B11" s="29" t="s">
        <x:v>20</x:v>
      </x:c>
      <x:c r="C11" s="21"/>
      <x:c r="D11" s="21"/>
      <x:c r="E11" s="28"/>
      <x:c r="F11" s="28"/>
      <x:c r="G11" s="28"/>
      <x:c r="H11" s="28"/>
      <x:c r="I11" s="28"/>
      <x:c r="J11" s="28"/>
      <x:c r="K11" s="28"/>
    </x:row>
    <x:row r="12" ht="21.75" hidden="0" customHeight="1">
      <x:c r="B12" s="27" t="s">
        <x:v>21</x:v>
      </x:c>
      <x:c r="C12" s="21"/>
      <x:c r="D12" s="21"/>
      <x:c r="E12" s="28"/>
      <x:c r="F12" s="28"/>
      <x:c r="G12" s="28"/>
      <x:c r="H12" s="28"/>
      <x:c r="I12" s="28"/>
      <x:c r="J12" s="28"/>
      <x:c r="K12" s="28"/>
    </x:row>
    <x:row r="13" ht="7.5" hidden="0" customHeight="1"/>
    <x:row r="14" ht="19.5" hidden="0" customHeight="1">
      <x:c r="A14" s="4" t="str">
        <x:v>  SECTION 2 — BASELINE PORTFOLIO  (submitted before Scenario Reveal)</x:v>
      </x:c>
      <x:c r="B14" s="4"/>
      <x:c r="C14" s="4"/>
      <x:c r="D14" s="4"/>
      <x:c r="E14" s="4"/>
      <x:c r="F14" s="4"/>
      <x:c r="G14" s="4"/>
      <x:c r="H14" s="4"/>
      <x:c r="I14" s="4"/>
      <x:c r="J14" s="4"/>
      <x:c r="K14" s="4"/>
    </x:row>
    <x:row r="15" ht="31.5" hidden="0" customHeight="1">
      <x:c r="A15" s="8" t="str">
        <x:v>Enter the Solver-supported baseline weights from Workstream A and submit the baseline snapshot before the Scenario Reveal. Keep that original evidence in Canvas. Do not overwrite the submitted allocation after the release; document all changes in Section 5.</x:v>
      </x:c>
      <x:c r="B15" s="8"/>
      <x:c r="C15" s="8"/>
      <x:c r="D15" s="8"/>
      <x:c r="E15" s="8"/>
      <x:c r="F15" s="8"/>
      <x:c r="G15" s="8"/>
      <x:c r="H15" s="8"/>
      <x:c r="I15" s="8"/>
      <x:c r="J15" s="8"/>
      <x:c r="K15" s="8"/>
    </x:row>
    <x:row r="16" ht="33.75" hidden="0" customHeight="1">
      <x:c r="B16" s="25" t="s">
        <x:v>22</x:v>
      </x:c>
      <x:c r="C16" s="25" t="str">
        <x:v>Weight
(Workstream A)</x:v>
      </x:c>
      <x:c r="D16" s="25" t="s">
        <x:v>23</x:v>
      </x:c>
      <x:c r="E16" s="25" t="str">
        <x:v>Baseline Case
E(R) Contrib.</x:v>
      </x:c>
      <x:c r="F16" s="25" t="str">
        <x:v>Scenario Reveal
Return Contrib.</x:v>
      </x:c>
      <x:c r="G16" s="25" t="str">
        <x:v>Scenario Reveal
$ P&amp;L</x:v>
      </x:c>
      <x:c r="H16" s="25" t="s">
        <x:v>24</x:v>
      </x:c>
      <x:c r="I16" s="30" t="s">
        <x:v>25</x:v>
      </x:c>
      <x:c r="J16" s="30"/>
      <x:c r="K16" s="30"/>
    </x:row>
    <x:row r="17" ht="21.75" hidden="0" customHeight="1">
      <x:c r="B17" s="27" t="s">
        <x:v>19</x:v>
      </x:c>
      <x:c r="C17" s="21"/>
      <x:c r="D17" s="31" t="str">
        <x:f aca="0">IF(C17&lt;&gt;"",C17*$E$5,"")</x:f>
      </x:c>
      <x:c r="E17" s="21"/>
      <x:c r="F17" s="32" t="str">
        <x:f aca="0">IF(C17&lt;&gt;"",C17*C10,"")</x:f>
      </x:c>
      <x:c r="G17" s="33" t="str">
        <x:f aca="0">IF(D17&lt;&gt;"",D17*C10,"")</x:f>
      </x:c>
      <x:c r="H17" s="34"/>
      <x:c r="I17" s="35"/>
      <x:c r="J17" s="35"/>
      <x:c r="K17" s="35"/>
    </x:row>
    <x:row r="18" ht="21.75" hidden="0" customHeight="1">
      <x:c r="B18" s="29" t="s">
        <x:v>20</x:v>
      </x:c>
      <x:c r="C18" s="21"/>
      <x:c r="D18" s="31" t="str">
        <x:f aca="0">IF(C18&lt;&gt;"",C18*$E$5,"")</x:f>
      </x:c>
      <x:c r="E18" s="21"/>
      <x:c r="F18" s="32" t="str">
        <x:f aca="0">IF(C18&lt;&gt;"",C18*C11,"")</x:f>
      </x:c>
      <x:c r="G18" s="33" t="str">
        <x:f aca="0">IF(D18&lt;&gt;"",D18*C11,"")</x:f>
      </x:c>
      <x:c r="H18" s="36"/>
      <x:c r="I18" s="37"/>
      <x:c r="J18" s="37"/>
      <x:c r="K18" s="37"/>
    </x:row>
    <x:row r="19" ht="21.75" hidden="0" customHeight="1">
      <x:c r="B19" s="27" t="s">
        <x:v>21</x:v>
      </x:c>
      <x:c r="C19" s="21"/>
      <x:c r="D19" s="31" t="str">
        <x:f aca="0">IF(C19&lt;&gt;"",C19*$E$5,"")</x:f>
      </x:c>
      <x:c r="E19" s="21"/>
      <x:c r="F19" s="32" t="str">
        <x:f aca="0">IF(C19&lt;&gt;"",C19*C12,"")</x:f>
      </x:c>
      <x:c r="G19" s="33" t="str">
        <x:f aca="0">IF(D19&lt;&gt;"",D19*C12,"")</x:f>
      </x:c>
      <x:c r="H19" s="34"/>
      <x:c r="I19" s="35"/>
      <x:c r="J19" s="35"/>
      <x:c r="K19" s="35"/>
    </x:row>
    <x:row r="20" ht="24" hidden="0" customHeight="1">
      <x:c r="A20" s="38" t="s">
        <x:v>26</x:v>
      </x:c>
      <x:c r="B20" s="38"/>
      <x:c r="C20" s="39" t="n">
        <x:f aca="0">IFERROR(SUM(C17:C19),0)</x:f>
        <x:v>0</x:v>
      </x:c>
      <x:c r="D20" s="31" t="n">
        <x:f aca="0">IFERROR(SUM(D17:D19),0)</x:f>
        <x:v>0</x:v>
      </x:c>
      <x:c r="E20" s="32" t="n">
        <x:f aca="0">IFERROR(SUMPRODUCT(C17:C19,E17:E19),"")</x:f>
        <x:v>0</x:v>
      </x:c>
      <x:c r="F20" s="32" t="n">
        <x:f aca="0">IFERROR(SUMPRODUCT(C17:C19,C10:C12),"")</x:f>
        <x:v>0</x:v>
      </x:c>
      <x:c r="G20" s="33" t="n">
        <x:f aca="0">IFERROR(SUM(G17:G19),"")</x:f>
        <x:v>0</x:v>
      </x:c>
      <x:c r="H20" s="40" t="str">
        <x:v>← Scenario Reveal return must be ≥ IPS Tripwire (cell G5). See Section 4 verdict below.</x:v>
      </x:c>
      <x:c r="I20" s="40"/>
      <x:c r="J20" s="40"/>
      <x:c r="K20" s="40"/>
    </x:row>
    <x:row r="21" ht="7.5" hidden="0" customHeight="1"/>
    <x:row r="22" ht="19.5" hidden="0" customHeight="1">
      <x:c r="A22" s="4" t="str">
        <x:v>  SECTION 3 — RISK METRICS  (Baseline &amp; Scenario Reveal)</x:v>
      </x:c>
      <x:c r="B22" s="4"/>
      <x:c r="C22" s="4"/>
      <x:c r="D22" s="4"/>
      <x:c r="E22" s="4"/>
      <x:c r="F22" s="4"/>
      <x:c r="G22" s="4"/>
      <x:c r="H22" s="4"/>
      <x:c r="I22" s="4"/>
      <x:c r="J22" s="4"/>
      <x:c r="K22" s="4"/>
    </x:row>
    <x:row r="23" ht="31.5" hidden="0" customHeight="1">
      <x:c r="A23" s="8" t="str">
        <x:v>Enter portfolio risk metrics for the submitted baseline and the Scenario Reveal. Beta and σ come from the Phase 2 allocation and selected holdings. Sharpe Ratio calculates automatically using the formula below.</x:v>
      </x:c>
      <x:c r="B23" s="8"/>
      <x:c r="C23" s="8"/>
      <x:c r="D23" s="8"/>
      <x:c r="E23" s="8"/>
      <x:c r="F23" s="8"/>
      <x:c r="G23" s="8"/>
      <x:c r="H23" s="8"/>
      <x:c r="I23" s="8"/>
      <x:c r="J23" s="8"/>
      <x:c r="K23" s="8"/>
    </x:row>
    <x:row r="24" ht="30" hidden="0" customHeight="1">
      <x:c r="B24" s="25" t="s">
        <x:v>6</x:v>
      </x:c>
      <x:c r="C24" s="25" t="str">
        <x:v>Baseline
(Phase 2)</x:v>
      </x:c>
      <x:c r="D24" s="25" t="str">
        <x:v>Scenario Reveal</x:v>
      </x:c>
      <x:c r="E24" s="25" t="s">
        <x:v>27</x:v>
      </x:c>
      <x:c r="F24" s="26" t="s">
        <x:v>28</x:v>
      </x:c>
      <x:c r="G24" s="26"/>
      <x:c r="H24" s="26"/>
      <x:c r="I24" s="26"/>
      <x:c r="J24" s="26"/>
      <x:c r="K24" s="26"/>
    </x:row>
    <x:row r="25" ht="21.75" hidden="0" customHeight="1">
      <x:c r="B25" s="17" t="s">
        <x:v>29</x:v>
      </x:c>
      <x:c r="C25" s="21"/>
      <x:c r="D25" s="40" t="s">
        <x:v>30</x:v>
      </x:c>
      <x:c r="E25" s="40"/>
      <x:c r="F25" s="40"/>
      <x:c r="G25" s="40"/>
      <x:c r="H25" s="40"/>
      <x:c r="I25" s="40"/>
      <x:c r="J25" s="40"/>
      <x:c r="K25" s="40"/>
    </x:row>
    <x:row r="26" ht="25.5" hidden="0" customHeight="1">
      <x:c r="B26" s="10" t="s">
        <x:v>11</x:v>
      </x:c>
      <x:c r="C26" s="41"/>
      <x:c r="D26" s="42"/>
      <x:c r="E26" s="43" t="str">
        <x:v>From Phase 2 security selection — weighted average beta of all holdings</x:v>
      </x:c>
      <x:c r="F26" s="44" t="s">
        <x:v>31</x:v>
      </x:c>
      <x:c r="G26" s="44"/>
      <x:c r="H26" s="44"/>
      <x:c r="I26" s="44"/>
      <x:c r="J26" s="44"/>
      <x:c r="K26" s="44"/>
    </x:row>
    <x:row r="27" ht="25.5" hidden="0" customHeight="1">
      <x:c r="B27" s="12" t="s">
        <x:v>32</x:v>
      </x:c>
      <x:c r="C27" s="21"/>
      <x:c r="D27" s="21"/>
      <x:c r="E27" s="43" t="str">
        <x:v>From Phase 2 CME Matrix — portfolio σ from Solver output</x:v>
      </x:c>
      <x:c r="F27" s="44" t="s">
        <x:v>33</x:v>
      </x:c>
      <x:c r="G27" s="44"/>
      <x:c r="H27" s="44"/>
      <x:c r="I27" s="44"/>
      <x:c r="J27" s="44"/>
      <x:c r="K27" s="44"/>
    </x:row>
    <x:row r="28" ht="25.5" hidden="0" customHeight="1">
      <x:c r="B28" s="10" t="s">
        <x:v>34</x:v>
      </x:c>
      <x:c r="C28" s="41" t="str">
        <x:f aca="0">IFERROR((E20-$C$25)/C27,"")</x:f>
      </x:c>
      <x:c r="D28" s="41" t="str">
        <x:f aca="0">IFERROR((F20-$C$25)/D27,"")</x:f>
      </x:c>
      <x:c r="E28" s="43" t="s">
        <x:v>35</x:v>
      </x:c>
      <x:c r="F28" s="44" t="s">
        <x:v>36</x:v>
      </x:c>
      <x:c r="G28" s="44"/>
      <x:c r="H28" s="44"/>
      <x:c r="I28" s="44"/>
      <x:c r="J28" s="44"/>
      <x:c r="K28" s="44"/>
    </x:row>
    <x:row r="29" ht="25.5" hidden="0" customHeight="1">
      <x:c r="B29" s="12" t="str">
        <x:v>Max Drawdown (Scenario Reveal)</x:v>
      </x:c>
      <x:c r="C29" s="45" t="s">
        <x:v>37</x:v>
      </x:c>
      <x:c r="D29" s="32" t="n">
        <x:f aca="0">IFERROR(F20,"")</x:f>
        <x:v>0</x:v>
      </x:c>
      <x:c r="E29" s="43" t="str">
        <x:v>Total Scenario Reveal Return (Section 2 row 20)</x:v>
      </x:c>
      <x:c r="F29" s="44" t="str">
        <x:v>Must be ≥ IPS Tripwire (cell G5). This drives the Scenario Reveal verdict.</x:v>
      </x:c>
      <x:c r="G29" s="44"/>
      <x:c r="H29" s="44"/>
      <x:c r="I29" s="44"/>
      <x:c r="J29" s="44"/>
      <x:c r="K29" s="44"/>
    </x:row>
    <x:row r="30" ht="25.5" hidden="0" customHeight="1">
      <x:c r="B30" s="10" t="s">
        <x:v>38</x:v>
      </x:c>
      <x:c r="C30" s="42"/>
      <x:c r="D30" s="42"/>
      <x:c r="E30" s="43" t="s">
        <x:v>39</x:v>
      </x:c>
      <x:c r="F30" s="44" t="s">
        <x:v>40</x:v>
      </x:c>
      <x:c r="G30" s="44"/>
      <x:c r="H30" s="44"/>
      <x:c r="I30" s="44"/>
      <x:c r="J30" s="44"/>
      <x:c r="K30" s="44"/>
    </x:row>
    <x:row r="31" ht="7.5" hidden="0" customHeight="1"/>
    <x:row r="32" ht="19.5" hidden="0" customHeight="1">
      <x:c r="A32" s="4" t="str">
        <x:v>  SECTION 4 — SCENARIO REVEAL VERDICT</x:v>
      </x:c>
      <x:c r="B32" s="4"/>
      <x:c r="C32" s="4"/>
      <x:c r="D32" s="4"/>
      <x:c r="E32" s="4"/>
      <x:c r="F32" s="4"/>
      <x:c r="G32" s="4"/>
      <x:c r="H32" s="4"/>
      <x:c r="I32" s="4"/>
      <x:c r="J32" s="4"/>
      <x:c r="K32" s="4"/>
    </x:row>
    <x:row r="33" ht="30" hidden="0" customHeight="1">
      <x:c r="B33" s="25" t="s">
        <x:v>41</x:v>
      </x:c>
      <x:c r="C33" s="25" t="s">
        <x:v>42</x:v>
      </x:c>
      <x:c r="D33" s="25" t="s">
        <x:v>43</x:v>
      </x:c>
      <x:c r="E33" s="25" t="s">
        <x:v>44</x:v>
      </x:c>
      <x:c r="F33" s="26" t="s">
        <x:v>45</x:v>
      </x:c>
      <x:c r="G33" s="26"/>
      <x:c r="H33" s="26"/>
      <x:c r="I33" s="26"/>
      <x:c r="J33" s="26"/>
      <x:c r="K33" s="26"/>
    </x:row>
    <x:row r="34" ht="25.5" hidden="0" customHeight="1">
      <x:c r="B34" s="10" t="s">
        <x:v>46</x:v>
      </x:c>
      <x:c r="C34" s="32" t="n">
        <x:f aca="0">$G$5</x:f>
        <x:v>0</x:v>
      </x:c>
      <x:c r="D34" s="32" t="n">
        <x:f aca="0">IFERROR(F20,"")</x:f>
        <x:v>0</x:v>
      </x:c>
      <x:c r="E34" s="32" t="n">
        <x:f aca="0">IFERROR(D34-C34,"")</x:f>
        <x:v>0</x:v>
      </x:c>
      <x:c r="F34" s="46" t="str">
        <x:f aca="0">IF(D34="","",IF(D34&gt;=C34,"✓ PASS","✗ FAIL — RE-ALLOCATE"))</x:f>
      </x:c>
      <x:c r="G34" s="47" t="str">
        <x:f aca="0">IF(D34="","",IF(D34&gt;=C34,"Scenario Reveal shows PASS. Stop and report this result to the instructor; do not use a PASS to skip the remediation checkpoint.","BREACH: Portfolio misses the IPS Tripwire by "&amp;TEXT(ABS(D34-C34),"0.0%")&amp;". Complete Section 5 with a real trade, trade-off, and full re-test before Gate 2."))</x:f>
      </x:c>
      <x:c r="H34" s="47"/>
      <x:c r="I34" s="47"/>
      <x:c r="J34" s="47"/>
      <x:c r="K34" s="47"/>
    </x:row>
    <x:row r="35" ht="25.5" hidden="0" customHeight="1">
      <x:c r="B35" s="12" t="s">
        <x:v>47</x:v>
      </x:c>
      <x:c r="C35" s="21"/>
      <x:c r="D35" s="32" t="str">
        <x:f aca="0">IF(C27&lt;&gt;"",C27,"")</x:f>
      </x:c>
      <x:c r="E35" s="32" t="n">
        <x:f aca="0">IFERROR(D35-C35,"")</x:f>
        <x:v>0</x:v>
      </x:c>
      <x:c r="F35" s="46" t="str">
        <x:f aca="0">IF(D35="","",IF(D35&lt;=C35,"✓ PASS","✗ EXCEED"))</x:f>
      </x:c>
      <x:c r="G35" s="48" t="s">
        <x:v>48</x:v>
      </x:c>
      <x:c r="H35" s="48"/>
      <x:c r="I35" s="48"/>
      <x:c r="J35" s="48"/>
      <x:c r="K35" s="48"/>
    </x:row>
    <x:row r="36" ht="7.5" hidden="0" customHeight="1">
      <x:c r="A36" t="str">
        <x:v>  SECTION 5 — REQUIRED REMEDIATION &amp; RE-TEST</x:v>
      </x:c>
    </x:row>
    <x:row r="37" ht="19.5" hidden="0" customHeight="1">
      <x:c r="A37" s="49" t="str">
        <x:v>  A breach requires a real portfolio change, stated trade-off, and full re-test</x:v>
      </x:c>
      <x:c r="B37" s="49"/>
      <x:c r="C37" s="49"/>
      <x:c r="D37" s="49"/>
      <x:c r="E37" s="49"/>
      <x:c r="F37" s="49"/>
      <x:c r="G37" s="49"/>
      <x:c r="H37" s="49"/>
      <x:c r="I37" s="49"/>
      <x:c r="J37" s="49"/>
      <x:c r="K37" s="49"/>
    </x:row>
    <x:row r="38" ht="31.5" hidden="0" customHeight="1">
      <x:c r="A38" s="50" t="str">
        <x:v>The Scenario Reveal is calibrated to test a client condition the baseline may not absorb. Document what was sold or reduced, what was bought or increased, old and new weights, dollar impact, rationale, and the trade-off. If the result is unexpectedly PASS, stop and report it to the instructor; do not skip the checkpoint.</x:v>
      </x:c>
      <x:c r="B38" s="50"/>
      <x:c r="C38" s="50"/>
      <x:c r="D38" s="50"/>
      <x:c r="E38" s="50"/>
      <x:c r="F38" s="50"/>
      <x:c r="G38" s="50"/>
      <x:c r="H38" s="50"/>
      <x:c r="I38" s="50"/>
      <x:c r="J38" s="50"/>
      <x:c r="K38" s="50"/>
    </x:row>
    <x:row r="39" ht="18" hidden="0" customHeight="1">
      <x:c r="A39" s="51" t="s">
        <x:v>49</x:v>
      </x:c>
      <x:c r="B39" s="51"/>
      <x:c r="C39" s="51"/>
      <x:c r="D39" s="51"/>
      <x:c r="E39" s="51"/>
      <x:c r="F39" s="51"/>
      <x:c r="G39" s="51"/>
      <x:c r="H39" s="51"/>
      <x:c r="I39" s="51"/>
      <x:c r="J39" s="51"/>
      <x:c r="K39" s="51"/>
    </x:row>
    <x:row r="40" ht="30" hidden="0" customHeight="1">
      <x:c r="B40" s="25" t="s">
        <x:v>50</x:v>
      </x:c>
      <x:c r="C40" s="25" t="s">
        <x:v>51</x:v>
      </x:c>
      <x:c r="D40" s="25" t="s">
        <x:v>52</x:v>
      </x:c>
      <x:c r="E40" s="25" t="s">
        <x:v>53</x:v>
      </x:c>
      <x:c r="F40" s="25" t="s">
        <x:v>54</x:v>
      </x:c>
      <x:c r="G40" s="26" t="s">
        <x:v>55</x:v>
      </x:c>
      <x:c r="H40" s="26"/>
      <x:c r="I40" s="26"/>
      <x:c r="J40" s="26"/>
      <x:c r="K40" s="26"/>
    </x:row>
    <x:row r="41" ht="21.75" hidden="0" customHeight="1">
      <x:c r="B41" s="18"/>
      <x:c r="C41" s="18"/>
      <x:c r="D41" s="21"/>
      <x:c r="E41" s="21"/>
      <x:c r="F41" s="33" t="str">
        <x:f aca="0">IF(AND(D41&lt;&gt;"",E41&lt;&gt;""),(E41-D41)*500000,"")</x:f>
      </x:c>
      <x:c r="G41" s="28"/>
      <x:c r="H41" s="28"/>
      <x:c r="I41" s="28"/>
      <x:c r="J41" s="28"/>
      <x:c r="K41" s="28"/>
    </x:row>
    <x:row r="42" ht="21.75" hidden="0" customHeight="1">
      <x:c r="B42" s="18"/>
      <x:c r="C42" s="18"/>
      <x:c r="D42" s="21"/>
      <x:c r="E42" s="21"/>
      <x:c r="F42" s="33" t="str">
        <x:f aca="0">IF(AND(D42&lt;&gt;"",E42&lt;&gt;""),(E42-D42)*500000,"")</x:f>
      </x:c>
      <x:c r="G42" s="28"/>
      <x:c r="H42" s="28"/>
      <x:c r="I42" s="28"/>
      <x:c r="J42" s="28"/>
      <x:c r="K42" s="28"/>
    </x:row>
    <x:row r="43" ht="21.75" hidden="0" customHeight="1">
      <x:c r="B43" s="18"/>
      <x:c r="C43" s="18"/>
      <x:c r="D43" s="21"/>
      <x:c r="E43" s="21"/>
      <x:c r="F43" s="33" t="str">
        <x:f aca="0">IF(AND(D43&lt;&gt;"",E43&lt;&gt;""),(E43-D43)*500000,"")</x:f>
      </x:c>
      <x:c r="G43" s="28"/>
      <x:c r="H43" s="28"/>
      <x:c r="I43" s="28"/>
      <x:c r="J43" s="28"/>
      <x:c r="K43" s="28"/>
    </x:row>
    <x:row r="44" ht="21.75" hidden="0" customHeight="1">
      <x:c r="B44" s="18"/>
      <x:c r="C44" s="18"/>
      <x:c r="D44" s="21"/>
      <x:c r="E44" s="21"/>
      <x:c r="F44" s="33" t="str">
        <x:f aca="0">IF(AND(D44&lt;&gt;"",E44&lt;&gt;""),(E44-D44)*500000,"")</x:f>
      </x:c>
      <x:c r="G44" s="28"/>
      <x:c r="H44" s="28"/>
      <x:c r="I44" s="28"/>
      <x:c r="J44" s="28"/>
      <x:c r="K44" s="28"/>
    </x:row>
    <x:row r="45" ht="21.75" hidden="0" customHeight="1">
      <x:c r="B45" s="18"/>
      <x:c r="C45" s="18"/>
      <x:c r="D45" s="21"/>
      <x:c r="E45" s="21"/>
      <x:c r="F45" s="33" t="str">
        <x:f aca="0">IF(AND(D45&lt;&gt;"",E45&lt;&gt;""),(E45-D45)*500000,"")</x:f>
      </x:c>
      <x:c r="G45" s="28"/>
      <x:c r="H45" s="28"/>
      <x:c r="I45" s="28"/>
      <x:c r="J45" s="28"/>
      <x:c r="K45" s="28"/>
    </x:row>
    <x:row r="46" ht="21.75" hidden="0" customHeight="1">
      <x:c r="B46" s="18"/>
      <x:c r="C46" s="18"/>
      <x:c r="D46" s="21"/>
      <x:c r="E46" s="21"/>
      <x:c r="F46" s="33" t="str">
        <x:f aca="0">IF(AND(D46&lt;&gt;"",E46&lt;&gt;""),(E46-D46)*500000,"")</x:f>
      </x:c>
      <x:c r="G46" s="28"/>
      <x:c r="H46" s="28"/>
      <x:c r="I46" s="28"/>
      <x:c r="J46" s="28"/>
      <x:c r="K46" s="28"/>
    </x:row>
    <x:row r="47" ht="21.75" hidden="0" customHeight="1">
      <x:c r="A47" s="52" t="s">
        <x:v>56</x:v>
      </x:c>
      <x:c r="B47" s="52"/>
      <x:c r="C47" s="52"/>
      <x:c r="D47" s="32" t="n">
        <x:f aca="0">IFERROR(SUM(E41:E46),0)</x:f>
        <x:v>0</x:v>
      </x:c>
      <x:c r="E47" s="40" t="s">
        <x:v>57</x:v>
      </x:c>
      <x:c r="F47" s="40"/>
      <x:c r="G47" s="40"/>
      <x:c r="H47" s="40"/>
      <x:c r="I47" s="40"/>
      <x:c r="J47" s="40"/>
      <x:c r="K47" s="40"/>
    </x:row>
    <x:row r="48" ht="7.5" hidden="0" customHeight="1"/>
    <x:row r="49" ht="18" hidden="0" customHeight="1">
      <x:c r="A49" s="51" t="str">
        <x:v>  Part B — Revised Scenario Reveal Result  (confirm the corrective portfolio now passes)</x:v>
      </x:c>
      <x:c r="B49" s="51"/>
      <x:c r="C49" s="51"/>
      <x:c r="D49" s="51"/>
      <x:c r="E49" s="51"/>
      <x:c r="F49" s="51"/>
      <x:c r="G49" s="51"/>
      <x:c r="H49" s="51"/>
      <x:c r="I49" s="51"/>
      <x:c r="J49" s="51"/>
      <x:c r="K49" s="51"/>
    </x:row>
    <x:row r="50" ht="31.5" hidden="0" customHeight="1">
      <x:c r="A50" s="8" t="str">
        <x:v>Using the new weights from Part A, recalculate the released scenario result. The result must be at or above the IPS Tripwire. Show the calculation clearly and retain the baseline evidence separately.</x:v>
      </x:c>
      <x:c r="B50" s="8"/>
      <x:c r="C50" s="8"/>
      <x:c r="D50" s="8"/>
      <x:c r="E50" s="8"/>
      <x:c r="F50" s="8"/>
      <x:c r="G50" s="8"/>
      <x:c r="H50" s="8"/>
      <x:c r="I50" s="8"/>
      <x:c r="J50" s="8"/>
      <x:c r="K50" s="8"/>
    </x:row>
    <x:row r="51" ht="30" hidden="0" customHeight="1">
      <x:c r="B51" s="25" t="s">
        <x:v>22</x:v>
      </x:c>
      <x:c r="C51" s="25" t="s">
        <x:v>58</x:v>
      </x:c>
      <x:c r="D51" s="25" t="s">
        <x:v>59</x:v>
      </x:c>
      <x:c r="E51" s="25" t="str">
        <x:v>Scenario Reveal E(R)</x:v>
      </x:c>
      <x:c r="F51" s="25" t="str">
        <x:v>Wtd Scenario Contribution</x:v>
      </x:c>
      <x:c r="G51" s="26" t="s">
        <x:v>60</x:v>
      </x:c>
      <x:c r="H51" s="26"/>
      <x:c r="I51" s="26"/>
      <x:c r="J51" s="26"/>
      <x:c r="K51" s="26"/>
    </x:row>
    <x:row r="52" ht="21.75" hidden="0" customHeight="1">
      <x:c r="B52" s="27" t="s">
        <x:v>19</x:v>
      </x:c>
      <x:c r="C52" s="21"/>
      <x:c r="D52" s="31" t="str">
        <x:f aca="0">IF(C52&lt;&gt;"",C52*$E$5,"")</x:f>
      </x:c>
      <x:c r="E52" s="32" t="n">
        <x:f aca="0">C10</x:f>
        <x:v>0</x:v>
      </x:c>
      <x:c r="F52" s="32" t="str">
        <x:f aca="0">IF(C52&lt;&gt;"",C52*C10,"")</x:f>
      </x:c>
      <x:c r="G52" s="33" t="str">
        <x:f aca="0">IF(D52&lt;&gt;"",D52*C10,"")</x:f>
      </x:c>
      <x:c r="H52" s="53"/>
      <x:c r="I52" s="53"/>
      <x:c r="J52" s="53"/>
      <x:c r="K52" s="53"/>
    </x:row>
    <x:row r="53" ht="21.75" hidden="0" customHeight="1">
      <x:c r="B53" s="29" t="s">
        <x:v>20</x:v>
      </x:c>
      <x:c r="C53" s="21"/>
      <x:c r="D53" s="31" t="str">
        <x:f aca="0">IF(C53&lt;&gt;"",C53*$E$5,"")</x:f>
      </x:c>
      <x:c r="E53" s="32" t="n">
        <x:f aca="0">C11</x:f>
        <x:v>0</x:v>
      </x:c>
      <x:c r="F53" s="32" t="str">
        <x:f aca="0">IF(C53&lt;&gt;"",C53*C11,"")</x:f>
      </x:c>
      <x:c r="G53" s="33" t="str">
        <x:f aca="0">IF(D53&lt;&gt;"",D53*C11,"")</x:f>
      </x:c>
      <x:c r="H53" s="54"/>
      <x:c r="I53" s="54"/>
      <x:c r="J53" s="54"/>
      <x:c r="K53" s="54"/>
    </x:row>
    <x:row r="54" ht="21.75" hidden="0" customHeight="1">
      <x:c r="B54" s="27" t="s">
        <x:v>21</x:v>
      </x:c>
      <x:c r="C54" s="21"/>
      <x:c r="D54" s="31" t="str">
        <x:f aca="0">IF(C54&lt;&gt;"",C54*$E$5,"")</x:f>
      </x:c>
      <x:c r="E54" s="32" t="n">
        <x:f aca="0">C12</x:f>
        <x:v>0</x:v>
      </x:c>
      <x:c r="F54" s="32" t="str">
        <x:f aca="0">IF(C54&lt;&gt;"",C54*C12,"")</x:f>
      </x:c>
      <x:c r="G54" s="33" t="str">
        <x:f aca="0">IF(D54&lt;&gt;"",D54*C12,"")</x:f>
      </x:c>
      <x:c r="H54" s="53"/>
      <x:c r="I54" s="53"/>
      <x:c r="J54" s="53"/>
      <x:c r="K54" s="53"/>
    </x:row>
    <x:row r="55" ht="24" hidden="0" customHeight="1">
      <x:c r="A55" s="38" t="s">
        <x:v>61</x:v>
      </x:c>
      <x:c r="B55" s="38"/>
      <x:c r="C55" s="32" t="n">
        <x:f aca="0">IFERROR(SUM(C52:C54),0)</x:f>
        <x:v>0</x:v>
      </x:c>
      <x:c r="D55" s="31" t="n">
        <x:f aca="0">IFERROR(SUM(D52:D54),0)</x:f>
        <x:v>0</x:v>
      </x:c>
      <x:c r="E55" s="32"/>
      <x:c r="F55" s="32" t="n">
        <x:f aca="0">IFERROR(SUMPRODUCT(C52:C54,C10:C12),"")</x:f>
        <x:v>0</x:v>
      </x:c>
      <x:c r="G55" s="33" t="n">
        <x:f aca="0">IFERROR(SUM(G52:G54),"")</x:f>
        <x:v>0</x:v>
      </x:c>
    </x:row>
    <x:row r="56" ht="25.5" hidden="0" customHeight="1">
      <x:c r="B56" s="10" t="s">
        <x:v>62</x:v>
      </x:c>
      <x:c r="C56" s="32" t="n">
        <x:f aca="0">$G$5</x:f>
        <x:v>0</x:v>
      </x:c>
      <x:c r="D56" s="32" t="n">
        <x:f aca="0">IFERROR(F55,"")</x:f>
        <x:v>0</x:v>
      </x:c>
      <x:c r="E56" s="32" t="n">
        <x:f aca="0">IFERROR(D56-C56,"")</x:f>
        <x:v>0</x:v>
      </x:c>
      <x:c r="F56" s="46" t="str">
        <x:f aca="0">IF(D56="","",IF(D56&gt;=$G$5,"✓ REVISED PASS","✗ STILL FAILING — ADJUST FURTHER"))</x:f>
      </x:c>
      <x:c r="G56" s="48" t="str">
        <x:v>Revised Scenario Reveal return must be ≥ IPS Tripwire (G5). If still failing, make a further documented adjustment and re-test.</x:v>
      </x:c>
      <x:c r="H56" s="48"/>
      <x:c r="I56" s="48"/>
      <x:c r="J56" s="48"/>
      <x:c r="K56" s="48"/>
    </x:row>
    <x:row r="57" ht="7.5" hidden="0" customHeight="1"/>
    <x:row r="58" ht="19.5" hidden="0" customHeight="1">
      <x:c r="A58" s="4" t="str">
        <x:v>  SECTION 6 — FINAL RISK METRICS SUMMARY  (for Gate 2 submission)</x:v>
      </x:c>
      <x:c r="B58" s="4"/>
      <x:c r="C58" s="4"/>
      <x:c r="D58" s="4"/>
      <x:c r="E58" s="4"/>
      <x:c r="F58" s="4"/>
      <x:c r="G58" s="4"/>
      <x:c r="H58" s="4"/>
      <x:c r="I58" s="4"/>
      <x:c r="J58" s="4"/>
      <x:c r="K58" s="4"/>
    </x:row>
    <x:row r="59" ht="31.5" hidden="0" customHeight="1">
      <x:c r="A59" s="8" t="str">
        <x:v>These are the final Gate 2 numbers. Use the revised portfolio metrics after the Scenario Reveal remediation and retain the pre-reveal baseline snapshot as a separate submitted record.</x:v>
      </x:c>
      <x:c r="B59" s="8"/>
      <x:c r="C59" s="8"/>
      <x:c r="D59" s="8"/>
      <x:c r="E59" s="8"/>
      <x:c r="F59" s="8"/>
      <x:c r="G59" s="8"/>
      <x:c r="H59" s="8"/>
      <x:c r="I59" s="8"/>
      <x:c r="J59" s="8"/>
      <x:c r="K59" s="8"/>
    </x:row>
    <x:row r="60" ht="30" hidden="0" customHeight="1">
      <x:c r="B60" s="25" t="s">
        <x:v>6</x:v>
      </x:c>
      <x:c r="C60" s="25" t="s">
        <x:v>63</x:v>
      </x:c>
      <x:c r="D60" s="25" t="s">
        <x:v>64</x:v>
      </x:c>
      <x:c r="E60" s="26" t="s">
        <x:v>65</x:v>
      </x:c>
      <x:c r="F60" s="26"/>
      <x:c r="G60" s="26"/>
      <x:c r="H60" s="26"/>
      <x:c r="I60" s="26"/>
      <x:c r="J60" s="26"/>
      <x:c r="K60" s="26"/>
    </x:row>
    <x:row r="61" ht="24" hidden="0" customHeight="1">
      <x:c r="B61" s="10" t="s">
        <x:v>11</x:v>
      </x:c>
      <x:c r="C61" s="42"/>
      <x:c r="D61" s="55" t="s">
        <x:v>66</x:v>
      </x:c>
      <x:c r="E61" s="44" t="str">
        <x:v>Weighted average β from the Phase 2 security-selection record</x:v>
      </x:c>
      <x:c r="F61" s="44"/>
      <x:c r="G61" s="44"/>
      <x:c r="H61" s="44"/>
      <x:c r="I61" s="44"/>
      <x:c r="J61" s="44"/>
      <x:c r="K61" s="44"/>
    </x:row>
    <x:row r="62" ht="24" hidden="0" customHeight="1">
      <x:c r="B62" s="12" t="s">
        <x:v>32</x:v>
      </x:c>
      <x:c r="C62" s="21"/>
      <x:c r="D62" s="55" t="str">
        <x:v>Must be ≤ IPS Max σ from Phase 1</x:v>
      </x:c>
      <x:c r="E62" s="44" t="str">
        <x:v>From the Phase 2 CME Matrix (Solver output)</x:v>
      </x:c>
      <x:c r="F62" s="44"/>
      <x:c r="G62" s="44"/>
      <x:c r="H62" s="44"/>
      <x:c r="I62" s="44"/>
      <x:c r="J62" s="44"/>
      <x:c r="K62" s="44"/>
    </x:row>
    <x:row r="63" ht="24" hidden="0" customHeight="1">
      <x:c r="B63" s="10" t="s">
        <x:v>67</x:v>
      </x:c>
      <x:c r="C63" s="42"/>
      <x:c r="D63" s="55" t="s">
        <x:v>68</x:v>
      </x:c>
      <x:c r="E63" s="44" t="s">
        <x:v>69</x:v>
      </x:c>
      <x:c r="F63" s="44"/>
      <x:c r="G63" s="44"/>
      <x:c r="H63" s="44"/>
      <x:c r="I63" s="44"/>
      <x:c r="J63" s="44"/>
      <x:c r="K63" s="44"/>
    </x:row>
    <x:row r="64" ht="24" hidden="0" customHeight="1">
      <x:c r="B64" s="12" t="str">
        <x:v>Scenario Reveal Portfolio Return</x:v>
      </x:c>
      <x:c r="C64" s="21"/>
      <x:c r="D64" s="55" t="s">
        <x:v>70</x:v>
      </x:c>
      <x:c r="E64" s="44" t="s">
        <x:v>71</x:v>
      </x:c>
      <x:c r="F64" s="44"/>
      <x:c r="G64" s="44"/>
      <x:c r="H64" s="44"/>
      <x:c r="I64" s="44"/>
      <x:c r="J64" s="44"/>
      <x:c r="K64" s="44"/>
    </x:row>
    <x:row r="65" ht="24" hidden="0" customHeight="1">
      <x:c r="B65" s="10" t="str">
        <x:v>Scenario Reveal $ P&amp;L</x:v>
      </x:c>
      <x:c r="C65" s="56"/>
      <x:c r="D65" s="55" t="s">
        <x:v>72</x:v>
      </x:c>
      <x:c r="E65" s="44" t="s">
        <x:v>71</x:v>
      </x:c>
      <x:c r="F65" s="44"/>
      <x:c r="G65" s="44"/>
      <x:c r="H65" s="44"/>
      <x:c r="I65" s="44"/>
      <x:c r="J65" s="44"/>
      <x:c r="K65" s="44"/>
    </x:row>
    <x:row r="66" ht="24" hidden="0" customHeight="1">
      <x:c r="B66" s="12" t="str">
        <x:v>IPS Mandate Status after re-test</x:v>
      </x:c>
      <x:c r="C66" s="57"/>
      <x:c r="D66" s="55" t="s">
        <x:v>73</x:v>
      </x:c>
      <x:c r="E66" s="44" t="s">
        <x:v>74</x:v>
      </x:c>
      <x:c r="F66" s="44"/>
      <x:c r="G66" s="44"/>
      <x:c r="H66" s="44"/>
      <x:c r="I66" s="44"/>
      <x:c r="J66" s="44"/>
      <x:c r="K66" s="44"/>
    </x:row>
    <x:row r="68" ht="7.5" hidden="0" customHeight="1"/>
    <x:row r="69" ht="19.5" hidden="0" customHeight="1">
      <x:c r="A69" s="4" t="s">
        <x:v>75</x:v>
      </x:c>
      <x:c r="B69" s="4"/>
      <x:c r="C69" s="4"/>
      <x:c r="D69" s="4"/>
      <x:c r="E69" s="4"/>
      <x:c r="F69" s="4"/>
      <x:c r="G69" s="4"/>
      <x:c r="H69" s="4"/>
      <x:c r="I69" s="4"/>
      <x:c r="J69" s="4"/>
      <x:c r="K69" s="4"/>
    </x:row>
    <x:row r="70" ht="18" hidden="0" customHeight="1">
      <x:c r="B70" s="58" t="s">
        <x:v>76</x:v>
      </x:c>
      <x:c r="C70" s="7" t="s">
        <x:v>77</x:v>
      </x:c>
      <x:c r="D70" s="7"/>
      <x:c r="E70" s="7"/>
      <x:c r="F70" s="7"/>
      <x:c r="G70" s="7"/>
      <x:c r="H70" s="7"/>
      <x:c r="I70" s="7"/>
      <x:c r="J70" s="7"/>
      <x:c r="K70" s="7"/>
    </x:row>
    <x:row r="71" ht="18" hidden="0" customHeight="1">
      <x:c r="B71" s="59" t="s">
        <x:v>76</x:v>
      </x:c>
      <x:c r="C71" s="7" t="s">
        <x:v>78</x:v>
      </x:c>
      <x:c r="D71" s="7"/>
      <x:c r="E71" s="7"/>
      <x:c r="F71" s="7"/>
      <x:c r="G71" s="7"/>
      <x:c r="H71" s="7"/>
      <x:c r="I71" s="7"/>
      <x:c r="J71" s="7"/>
      <x:c r="K71" s="7"/>
    </x:row>
    <x:row r="72" ht="18" hidden="0" customHeight="1">
      <x:c r="B72" s="60" t="s">
        <x:v>76</x:v>
      </x:c>
      <x:c r="C72" s="7" t="s">
        <x:v>79</x:v>
      </x:c>
      <x:c r="D72" s="7"/>
      <x:c r="E72" s="7"/>
      <x:c r="F72" s="7"/>
      <x:c r="G72" s="7"/>
      <x:c r="H72" s="7"/>
      <x:c r="I72" s="7"/>
      <x:c r="J72" s="7"/>
      <x:c r="K72" s="7"/>
    </x:row>
    <x:row r="73" ht="18" hidden="0" customHeight="1">
      <x:c r="B73" s="61" t="s">
        <x:v>76</x:v>
      </x:c>
      <x:c r="C73" s="7" t="s">
        <x:v>80</x:v>
      </x:c>
      <x:c r="D73" s="7"/>
      <x:c r="E73" s="7"/>
      <x:c r="F73" s="7"/>
      <x:c r="G73" s="7"/>
      <x:c r="H73" s="7"/>
      <x:c r="I73" s="7"/>
      <x:c r="J73" s="7"/>
      <x:c r="K73" s="7"/>
    </x:row>
    <x:row r="74" ht="18" hidden="0" customHeight="1">
      <x:c r="B74" s="62" t="s">
        <x:v>76</x:v>
      </x:c>
      <x:c r="C74" s="7" t="s">
        <x:v>81</x:v>
      </x:c>
      <x:c r="D74" s="7"/>
      <x:c r="E74" s="7"/>
      <x:c r="F74" s="7"/>
      <x:c r="G74" s="7"/>
      <x:c r="H74" s="7"/>
      <x:c r="I74" s="7"/>
      <x:c r="J74" s="7"/>
      <x:c r="K74" s="7"/>
    </x:row>
    <x:row r="75" ht="18" hidden="0" customHeight="1">
      <x:c r="B75" s="63" t="s">
        <x:v>76</x:v>
      </x:c>
      <x:c r="C75" s="7" t="s">
        <x:v>82</x:v>
      </x:c>
      <x:c r="D75" s="7"/>
      <x:c r="E75" s="7"/>
      <x:c r="F75" s="7"/>
      <x:c r="G75" s="7"/>
      <x:c r="H75" s="7"/>
      <x:c r="I75" s="7"/>
      <x:c r="J75" s="7"/>
      <x:c r="K75" s="7"/>
    </x:row>
  </x:sheetData>
  <x:mergeCells>
    <x:mergeCell ref="A2:K2"/>
    <x:mergeCell ref="A3:K3"/>
    <x:mergeCell ref="A7:K7"/>
    <x:mergeCell ref="A8:K8"/>
    <x:mergeCell ref="E9:K9"/>
    <x:mergeCell ref="E10:K10"/>
    <x:mergeCell ref="E11:K11"/>
    <x:mergeCell ref="E12:K12"/>
    <x:mergeCell ref="A14:K14"/>
    <x:mergeCell ref="A15:K15"/>
    <x:mergeCell ref="I16:K16"/>
    <x:mergeCell ref="I17:K17"/>
    <x:mergeCell ref="I18:K18"/>
    <x:mergeCell ref="I19:K19"/>
    <x:mergeCell ref="A20:B20"/>
    <x:mergeCell ref="H20:K20"/>
    <x:mergeCell ref="A22:K22"/>
    <x:mergeCell ref="A23:K23"/>
    <x:mergeCell ref="F24:K24"/>
    <x:mergeCell ref="D25:K25"/>
    <x:mergeCell ref="F26:K26"/>
    <x:mergeCell ref="F27:K27"/>
    <x:mergeCell ref="F28:K28"/>
    <x:mergeCell ref="F29:K29"/>
    <x:mergeCell ref="F30:K30"/>
    <x:mergeCell ref="A32:K32"/>
    <x:mergeCell ref="F33:K33"/>
    <x:mergeCell ref="G34:K34"/>
    <x:mergeCell ref="G35:K35"/>
    <x:mergeCell ref="A37:K37"/>
    <x:mergeCell ref="A38:K38"/>
    <x:mergeCell ref="A39:K39"/>
    <x:mergeCell ref="G40:K40"/>
    <x:mergeCell ref="G41:K41"/>
    <x:mergeCell ref="G42:K42"/>
    <x:mergeCell ref="G43:K43"/>
    <x:mergeCell ref="G44:K44"/>
    <x:mergeCell ref="G45:K45"/>
    <x:mergeCell ref="G46:K46"/>
    <x:mergeCell ref="A47:C47"/>
    <x:mergeCell ref="E47:K47"/>
    <x:mergeCell ref="A49:K49"/>
    <x:mergeCell ref="A50:K50"/>
    <x:mergeCell ref="G51:K51"/>
    <x:mergeCell ref="H52:K52"/>
    <x:mergeCell ref="H53:K53"/>
    <x:mergeCell ref="H54:K54"/>
    <x:mergeCell ref="A55:B55"/>
    <x:mergeCell ref="G56:K56"/>
    <x:mergeCell ref="A58:K58"/>
    <x:mergeCell ref="A59:K59"/>
    <x:mergeCell ref="E60:K60"/>
    <x:mergeCell ref="E61:K61"/>
    <x:mergeCell ref="E62:K62"/>
    <x:mergeCell ref="E63:K63"/>
    <x:mergeCell ref="E64:K64"/>
    <x:mergeCell ref="E65:K65"/>
    <x:mergeCell ref="E66:K66"/>
    <x:mergeCell ref="A69:K69"/>
    <x:mergeCell ref="C70:K70"/>
    <x:mergeCell ref="C71:K71"/>
    <x:mergeCell ref="C72:K72"/>
    <x:mergeCell ref="C73:K73"/>
    <x:mergeCell ref="C74:K74"/>
    <x:mergeCell ref="C75:K75"/>
    <x:mergeCell ref="I6:J6"/>
  </x:mergeCells>
  <x:conditionalFormatting sqref="C20:C20">
    <x:cfRule type="cellIs" dxfId="0" priority="2" aboveAverage="0" percent="0" bottom="0" operator="equal" rank="0" equalAverage="0">
      <x:formula>1</x:formula>
    </x:cfRule>
    <x:cfRule type="cellIs" dxfId="1" priority="3" aboveAverage="0" percent="0" bottom="0" operator="notEqual" rank="0" equalAverage="0">
      <x:formula>1</x:formula>
    </x:cfRule>
  </x:conditionalFormatting>
  <x:conditionalFormatting sqref="F34:F34">
    <x:cfRule type="expression" dxfId="4" priority="4" aboveAverage="0" percent="0" bottom="0" rank="0" equalAverage="0">
      <x:formula>D34&gt;=C34</x:formula>
    </x:cfRule>
    <x:cfRule type="expression" dxfId="5" priority="5" aboveAverage="0" percent="0" bottom="0" rank="0" equalAverage="0">
      <x:formula>AND(D34&lt;&gt;"",D34&lt;C34)</x:formula>
    </x:cfRule>
  </x:conditionalFormatting>
  <x:conditionalFormatting sqref="F35:F35">
    <x:cfRule type="expression" dxfId="4" priority="6" aboveAverage="0" percent="0" bottom="0" rank="0" equalAverage="0">
      <x:formula>AND(D35&lt;&gt;"",D35&lt;=C35)</x:formula>
    </x:cfRule>
    <x:cfRule type="expression" dxfId="6" priority="7" aboveAverage="0" percent="0" bottom="0" rank="0" equalAverage="0">
      <x:formula>AND(D35&lt;&gt;"",D35&gt;C35)</x:formula>
    </x:cfRule>
  </x:conditionalFormatting>
  <x:conditionalFormatting sqref="D47:D47">
    <x:cfRule type="cellIs" dxfId="0" priority="8" aboveAverage="0" percent="0" bottom="0" operator="equal" rank="0" equalAverage="0">
      <x:formula>1</x:formula>
    </x:cfRule>
    <x:cfRule type="cellIs" dxfId="1" priority="9" aboveAverage="0" percent="0" bottom="0" operator="notEqual" rank="0" equalAverage="0">
      <x:formula>1</x:formula>
    </x:cfRule>
  </x:conditionalFormatting>
  <x:conditionalFormatting sqref="F56:F56">
    <x:cfRule type="expression" dxfId="4" priority="10" aboveAverage="0" percent="0" bottom="0" rank="0" equalAverage="0">
      <x:formula>D56&gt;=$G$5</x:formula>
    </x:cfRule>
    <x:cfRule type="expression" dxfId="5" priority="11" aboveAverage="0" percent="0" bottom="0" rank="0" equalAverage="0">
      <x:formula>AND(D56&lt;&gt;"",D56&lt;$G$5)</x:formula>
    </x:cfRule>
  </x:conditionalFormatting>
  <x:dataValidations count="1">
    <x:dataValidation type="list" errorStyle="stop" operator="between" allowBlank="1" showDropDown="0" showInputMessage="0" showErrorMessage="0" sqref="B41:B46">
      <x:formula1>"BUY,SELL,HOLD"</x:formula1>
      <x:formula2>0</x:formula2>
    </x:dataValidation>
  </x:dataValidations>
  <x:pageMargins left="0.7" right="0.7" top="0.75" bottom="0.75" header="0.3" footer="0.3"/>
  <x:legacyDrawing xmlns:r="http://schemas.openxmlformats.org/officeDocument/2006/relationships" r:id="R2ecc168ba35c43f4"/>
</x:worksheet>
</file>

<file path=xl/worksheets/sheet6.xml><?xml version="1.0" encoding="utf-8"?>
<x:worksheet xmlns:x="http://schemas.openxmlformats.org/spreadsheetml/2006/main">
  <x:sheetViews>
    <x:sheetView showGridLines="0" workbookViewId="0"/>
  </x:sheetViews>
  <x:sheetFormatPr defaultRowHeight="15"/>
  <x:cols>
    <x:col min="1" max="1" width="14" hidden="0" customWidth="1"/>
    <x:col min="2" max="2" width="15" hidden="0" customWidth="1"/>
    <x:col min="3" max="3" width="14" hidden="0" customWidth="1"/>
    <x:col min="4" max="4" width="28" hidden="0" customWidth="1"/>
    <x:col min="5" max="5" width="34" hidden="0" customWidth="1"/>
    <x:col min="6" max="6" width="28" hidden="0" customWidth="1"/>
    <x:col min="7" max="7" width="14" hidden="0" customWidth="1"/>
    <x:col min="8" max="8" width="30" hidden="0" customWidth="1"/>
  </x:cols>
  <x:sheetData>
    <x:row r="1" ht="30" customHeight="1">
      <x:c r="A1" s="66" t="str">
        <x:v>Phase 2 · Scenario Reveal &amp; Required Remediation</x:v>
      </x:c>
      <x:c r="B1" s="66"/>
      <x:c r="C1" s="66"/>
      <x:c r="D1" s="66"/>
      <x:c r="E1" s="66"/>
      <x:c r="F1" s="66"/>
      <x:c r="G1" s="66"/>
      <x:c r="H1" s="66"/>
    </x:row>
    <x:row r="2">
      <x:c r="A2" s="68" t="str">
        <x:v>BUS331 Investments | Use this tab only after the instructor releases the client-specific adverse-event packet.</x:v>
      </x:c>
      <x:c r="B2" s="68"/>
      <x:c r="C2" s="68"/>
      <x:c r="D2" s="68"/>
      <x:c r="E2" s="68"/>
      <x:c r="F2" s="68"/>
      <x:c r="G2" s="68"/>
      <x:c r="H2" s="68"/>
    </x:row>
    <x:row r="5">
      <x:c r="A5" s="72" t="str">
        <x:v>Purpose</x:v>
      </x:c>
      <x:c r="B5" s="73"/>
      <x:c r="C5" s="73"/>
      <x:c r="D5" s="73"/>
      <x:c r="E5" s="73"/>
      <x:c r="F5" s="73"/>
      <x:c r="G5" s="73"/>
      <x:c r="H5" s="74"/>
    </x:row>
    <x:row r="6" ht="30" customHeight="1">
      <x:c r="A6" s="79" t="str">
        <x:v>Your committee first submits a baseline portfolio snapshot. The instructor then releases an adverse-event scenario calibrated to test a named client goal, constraint, or tripwire. The reveal is intentionally not included in this public template.</x:v>
      </x:c>
      <x:c r="B6" s="80"/>
      <x:c r="C6" s="80"/>
      <x:c r="D6" s="80"/>
      <x:c r="E6" s="80"/>
      <x:c r="F6" s="80"/>
      <x:c r="G6" s="80"/>
      <x:c r="H6" s="81"/>
    </x:row>
    <x:row r="7" ht="30" customHeight="1">
      <x:c r="A7" s="82"/>
      <x:c r="B7" s="83"/>
      <x:c r="C7" s="83"/>
      <x:c r="D7" s="83"/>
      <x:c r="E7" s="83"/>
      <x:c r="F7" s="83"/>
      <x:c r="G7" s="83"/>
      <x:c r="H7" s="84"/>
    </x:row>
    <x:row r="9">
      <x:c r="A9" s="72" t="str">
        <x:v>1 · Lock the baseline</x:v>
      </x:c>
      <x:c r="B9" s="73"/>
      <x:c r="C9" s="73"/>
      <x:c r="D9" s="73"/>
      <x:c r="E9" s="73"/>
      <x:c r="F9" s="73"/>
      <x:c r="G9" s="73"/>
      <x:c r="H9" s="74"/>
    </x:row>
    <x:row r="10" ht="30" customHeight="1">
      <x:c r="A10" s="79" t="str">
        <x:v>Before receiving the Scenario Reveal, submit the baseline allocation, IPS scorecard, and initial results through the designated Canvas checkpoint. Do not alter the submitted baseline after the reveal.</x:v>
      </x:c>
      <x:c r="B10" s="80"/>
      <x:c r="C10" s="80"/>
      <x:c r="D10" s="80"/>
      <x:c r="E10" s="80"/>
      <x:c r="F10" s="80"/>
      <x:c r="G10" s="80"/>
      <x:c r="H10" s="81"/>
    </x:row>
    <x:row r="11" ht="30" customHeight="1">
      <x:c r="A11" s="82"/>
      <x:c r="B11" s="83"/>
      <x:c r="C11" s="83"/>
      <x:c r="D11" s="83"/>
      <x:c r="E11" s="83"/>
      <x:c r="F11" s="83"/>
      <x:c r="G11" s="83"/>
      <x:c r="H11" s="84"/>
    </x:row>
    <x:row r="13">
      <x:c r="A13" s="72" t="str">
        <x:v>2 · Record the instructor release</x:v>
      </x:c>
      <x:c r="B13" s="73"/>
      <x:c r="C13" s="73"/>
      <x:c r="D13" s="73"/>
      <x:c r="E13" s="73"/>
      <x:c r="F13" s="73"/>
      <x:c r="G13" s="73"/>
      <x:c r="H13" s="74"/>
    </x:row>
    <x:row r="14" ht="30" customHeight="1">
      <x:c r="A14" s="79" t="str">
        <x:v>Enter the packet identifier, release date, and the exact scenario inputs or event facts supplied by the instructor. Do not soften the inputs, change the client mandate, or invent values not in the packet.</x:v>
      </x:c>
      <x:c r="B14" s="80"/>
      <x:c r="C14" s="80"/>
      <x:c r="D14" s="80"/>
      <x:c r="E14" s="80"/>
      <x:c r="F14" s="80"/>
      <x:c r="G14" s="80"/>
      <x:c r="H14" s="81"/>
    </x:row>
    <x:row r="15" ht="30" customHeight="1">
      <x:c r="A15" s="82"/>
      <x:c r="B15" s="83"/>
      <x:c r="C15" s="83"/>
      <x:c r="D15" s="83"/>
      <x:c r="E15" s="83"/>
      <x:c r="F15" s="83"/>
      <x:c r="G15" s="83"/>
      <x:c r="H15" s="84"/>
    </x:row>
    <x:row r="17">
      <x:c r="A17" s="72" t="str">
        <x:v>3 · Run the revealed scenario</x:v>
      </x:c>
      <x:c r="B17" s="73"/>
      <x:c r="C17" s="73"/>
      <x:c r="D17" s="73"/>
      <x:c r="E17" s="73"/>
      <x:c r="F17" s="73"/>
      <x:c r="G17" s="73"/>
      <x:c r="H17" s="74"/>
    </x:row>
    <x:row r="18" ht="30" customHeight="1">
      <x:c r="A18" s="79" t="str">
        <x:v>Transfer the released assumptions to the relevant Client tab, calculate the percentage and dollar impact, identify the exposed client goal or constraint, and record the result as Pass, Warning, or Breach.</x:v>
      </x:c>
      <x:c r="B18" s="80"/>
      <x:c r="C18" s="80"/>
      <x:c r="D18" s="80"/>
      <x:c r="E18" s="80"/>
      <x:c r="F18" s="80"/>
      <x:c r="G18" s="80"/>
      <x:c r="H18" s="81"/>
    </x:row>
    <x:row r="19" ht="30" customHeight="1">
      <x:c r="A19" s="82"/>
      <x:c r="B19" s="83"/>
      <x:c r="C19" s="83"/>
      <x:c r="D19" s="83"/>
      <x:c r="E19" s="83"/>
      <x:c r="F19" s="83"/>
      <x:c r="G19" s="83"/>
      <x:c r="H19" s="84"/>
    </x:row>
    <x:row r="21">
      <x:c r="A21" s="72" t="str">
        <x:v>4 · Remediate and re-test</x:v>
      </x:c>
      <x:c r="B21" s="73"/>
      <x:c r="C21" s="73"/>
      <x:c r="D21" s="73"/>
      <x:c r="E21" s="73"/>
      <x:c r="F21" s="73"/>
      <x:c r="G21" s="73"/>
      <x:c r="H21" s="74"/>
    </x:row>
    <x:row r="22" ht="30" customHeight="1">
      <x:c r="A22" s="79" t="str">
        <x:v>A quantitative breach requires a real security, sleeve, or weight change. State the trade-off, re-run the full scenario and IPS tests, and retain both the baseline and revised evidence for Gate 2.</x:v>
      </x:c>
      <x:c r="B22" s="80"/>
      <x:c r="C22" s="80"/>
      <x:c r="D22" s="80"/>
      <x:c r="E22" s="80"/>
      <x:c r="F22" s="80"/>
      <x:c r="G22" s="80"/>
      <x:c r="H22" s="81"/>
    </x:row>
    <x:row r="23" ht="30" customHeight="1">
      <x:c r="A23" s="82"/>
      <x:c r="B23" s="83"/>
      <x:c r="C23" s="83"/>
      <x:c r="D23" s="83"/>
      <x:c r="E23" s="83"/>
      <x:c r="F23" s="83"/>
      <x:c r="G23" s="83"/>
      <x:c r="H23" s="84"/>
    </x:row>
    <x:row r="25">
      <x:c r="A25" s="72" t="str">
        <x:v>Scenario Release Log — Complete after the instructor releases the packet</x:v>
      </x:c>
      <x:c r="B25" s="73"/>
      <x:c r="C25" s="73"/>
      <x:c r="D25" s="73"/>
      <x:c r="E25" s="73"/>
      <x:c r="F25" s="73"/>
      <x:c r="G25" s="73"/>
      <x:c r="H25" s="74"/>
    </x:row>
    <x:row r="26">
      <x:c r="A26" s="91" t="str">
        <x:v>Client</x:v>
      </x:c>
      <x:c r="B26" s="91" t="str">
        <x:v>Packet ID</x:v>
      </x:c>
      <x:c r="C26" s="91" t="str">
        <x:v>Release date</x:v>
      </x:c>
      <x:c r="D26" s="91" t="str">
        <x:v>Named client goal / constraint tested</x:v>
      </x:c>
      <x:c r="E26" s="91" t="str">
        <x:v>Scenario inputs or event facts</x:v>
      </x:c>
      <x:c r="F26" s="91" t="str">
        <x:v>Baseline receipt / submission confirmation</x:v>
      </x:c>
      <x:c r="G26" s="91" t="str">
        <x:v>Initial result</x:v>
      </x:c>
      <x:c r="H26" s="91" t="str">
        <x:v>Instructor follow-up if result is Pass</x:v>
      </x:c>
    </x:row>
    <x:row r="27" ht="42" customHeight="1">
      <x:c r="A27" s="93" t="str">
        <x:v>Client 1</x:v>
      </x:c>
      <x:c r="B27" s="93" t="str"/>
      <x:c r="C27" s="93" t="str"/>
      <x:c r="D27" s="93" t="str"/>
      <x:c r="E27" s="93" t="str"/>
      <x:c r="F27" s="93" t="str"/>
      <x:c r="G27" s="93" t="str"/>
      <x:c r="H27" s="93" t="str"/>
    </x:row>
    <x:row r="28" ht="42" customHeight="1">
      <x:c r="A28" s="93" t="str">
        <x:v>Client 2</x:v>
      </x:c>
      <x:c r="B28" s="93" t="str"/>
      <x:c r="C28" s="93" t="str"/>
      <x:c r="D28" s="93" t="str"/>
      <x:c r="E28" s="93" t="str"/>
      <x:c r="F28" s="93" t="str"/>
      <x:c r="G28" s="93" t="str"/>
      <x:c r="H28" s="93" t="str"/>
    </x:row>
    <x:row r="29" ht="42" customHeight="1">
      <x:c r="A29" s="93" t="str">
        <x:v>Client 3</x:v>
      </x:c>
      <x:c r="B29" s="93" t="str"/>
      <x:c r="C29" s="93" t="str"/>
      <x:c r="D29" s="93" t="str"/>
      <x:c r="E29" s="93" t="str"/>
      <x:c r="F29" s="93" t="str"/>
      <x:c r="G29" s="93" t="str"/>
      <x:c r="H29" s="93" t="str"/>
    </x:row>
    <x:row r="32">
      <x:c r="A32" s="72" t="str">
        <x:v>Required response rule</x:v>
      </x:c>
      <x:c r="B32" s="73"/>
      <x:c r="C32" s="73"/>
      <x:c r="D32" s="73"/>
      <x:c r="E32" s="73"/>
      <x:c r="F32" s="73"/>
      <x:c r="G32" s="73"/>
      <x:c r="H32" s="74"/>
    </x:row>
    <x:row r="33" ht="34" customHeight="1">
      <x:c r="A33" s="79" t="str">
        <x:v>Do not use a pre-hedged baseline or revised assumptions to avoid the exercise. If the revealed scenario shows a Breach, complete the trade log and revised test in the matching Client tab. If it unexpectedly shows Pass, stop and report the result to the instructor; do not treat a Pass as permission to skip the remediation checkpoint.</x:v>
      </x:c>
      <x:c r="B33" s="80"/>
      <x:c r="C33" s="80"/>
      <x:c r="D33" s="80"/>
      <x:c r="E33" s="80"/>
      <x:c r="F33" s="80"/>
      <x:c r="G33" s="80"/>
      <x:c r="H33" s="81"/>
    </x:row>
    <x:row r="34" ht="34" customHeight="1">
      <x:c r="A34" s="94"/>
      <x:c r="B34" s="95"/>
      <x:c r="C34" s="95"/>
      <x:c r="D34" s="95"/>
      <x:c r="E34" s="95"/>
      <x:c r="F34" s="95"/>
      <x:c r="G34" s="95"/>
      <x:c r="H34" s="96"/>
    </x:row>
    <x:row r="35" ht="34" customHeight="1">
      <x:c r="A35" s="82"/>
      <x:c r="B35" s="83"/>
      <x:c r="C35" s="83"/>
      <x:c r="D35" s="83"/>
      <x:c r="E35" s="83"/>
      <x:c r="F35" s="83"/>
      <x:c r="G35" s="83"/>
      <x:c r="H35" s="84"/>
    </x:row>
  </x:sheetData>
  <x:mergeCells>
    <x:mergeCell ref="A1:H1"/>
    <x:mergeCell ref="A2:H2"/>
    <x:mergeCell ref="A5:H5"/>
    <x:mergeCell ref="A6:H7"/>
    <x:mergeCell ref="A9:H9"/>
    <x:mergeCell ref="A10:H11"/>
    <x:mergeCell ref="A13:H13"/>
    <x:mergeCell ref="A14:H15"/>
    <x:mergeCell ref="A17:H17"/>
    <x:mergeCell ref="A18:H19"/>
    <x:mergeCell ref="A21:H21"/>
    <x:mergeCell ref="A22:H23"/>
    <x:mergeCell ref="A25:H25"/>
    <x:mergeCell ref="A32:H32"/>
    <x:mergeCell ref="A33:H35"/>
  </x:mergeCells>
  <x:dataValidations count="1">
    <x:dataValidation type="list" sqref="G27:G29">
      <x:formula1>"Pass,Warning,Breach"</x:formula1>
    </x:dataValidation>
  </x:dataValidations>
  <x:pageMargins left="0.7" right="0.7" top="0.75" bottom="0.75" header="0.3" footer="0.3"/>
</x:worksheet>
</file>