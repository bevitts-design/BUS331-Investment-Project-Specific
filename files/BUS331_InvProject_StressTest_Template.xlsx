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UMMARY" sheetId="2" state="visible" r:id="rId4"/>
    <sheet name="Client 1" sheetId="3" state="visible" r:id="rId5"/>
    <sheet name="Client 2" sheetId="4" state="visible" r:id="rId6"/>
    <sheet name="Client 3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1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B42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B43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B44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B45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B46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C5" authorId="0">
      <text>
        <r>
          <rPr>
            <sz val="10"/>
            <rFont val="Arial"/>
            <family val="2"/>
          </rPr>
          <t xml:space="preserve">Client name or ID — e.g. Eleanor Vance — Client 1</t>
        </r>
      </text>
    </comment>
    <comment ref="C10" authorId="0">
      <text>
        <r>
          <rPr>
            <sz val="10"/>
            <rFont val="Arial"/>
            <family val="2"/>
          </rPr>
          <t xml:space="preserve">Bear Case expected return for U.S. Equities. Must match Phase 1 Bear Case table. E.g. –18.0% (Bear Case from Phase 1 scenario table)</t>
        </r>
      </text>
    </comment>
    <comment ref="C11" authorId="0">
      <text>
        <r>
          <rPr>
            <sz val="10"/>
            <rFont val="Arial"/>
            <family val="2"/>
          </rPr>
          <t xml:space="preserve">Bear Case expected return for Fixed Income. Must match Phase 1 Bear Case table. E.g. –4.5%  (rising rates compress bond prices)</t>
        </r>
      </text>
    </comment>
    <comment ref="C12" authorId="0">
      <text>
        <r>
          <rPr>
            <sz val="10"/>
            <rFont val="Arial"/>
            <family val="2"/>
          </rPr>
          <t xml:space="preserve">Bear Case expected return for Cash / Cash Equivalents. Must match Phase 1 Bear Case table. E.g. +2.5%  (risk-free rate — stable in Bear Case)</t>
        </r>
      </text>
    </comment>
    <comment ref="C17" authorId="0">
      <text>
        <r>
          <rPr>
            <sz val="10"/>
            <rFont val="Arial"/>
            <family val="2"/>
          </rPr>
          <t xml:space="preserve">Enter Solver-optimized weight for U.S. Equities from Phase 3 CME Matrix.</t>
        </r>
      </text>
    </comment>
    <comment ref="C18" authorId="0">
      <text>
        <r>
          <rPr>
            <sz val="10"/>
            <rFont val="Arial"/>
            <family val="2"/>
          </rPr>
          <t xml:space="preserve">Enter Solver-optimized weight for Fixed Income from Phase 3 CME Matrix.</t>
        </r>
      </text>
    </comment>
    <comment ref="C19" authorId="0">
      <text>
        <r>
          <rPr>
            <sz val="10"/>
            <rFont val="Arial"/>
            <family val="2"/>
          </rPr>
          <t xml:space="preserve">Enter Solver-optimized weight for Cash / Cash Equivalents from Phase 3 CME Matrix.</t>
        </r>
      </text>
    </comment>
    <comment ref="C25" authorId="0">
      <text>
        <r>
          <rPr>
            <sz val="10"/>
            <rFont val="Arial"/>
            <family val="2"/>
          </rPr>
          <t xml:space="preserve">Current 3-Month T-Bill yield. Source: FRED series TB3MS. This is used in both Base and Bear Case Sharpe Ratio calculations.</t>
        </r>
      </text>
    </comment>
    <comment ref="C26" authorId="0">
      <text>
        <r>
          <rPr>
            <sz val="10"/>
            <rFont val="Arial"/>
            <family val="2"/>
          </rPr>
          <t xml:space="preserve">Formula auto-calculated from entries above</t>
        </r>
      </text>
    </comment>
    <comment ref="C27" authorId="0">
      <text>
        <r>
          <rPr>
            <sz val="10"/>
            <rFont val="Arial"/>
            <family val="2"/>
          </rPr>
          <t xml:space="preserve">Enter Portfolio Std Dev (σ) from Phase 3 / Phase 4 model.</t>
        </r>
      </text>
    </comment>
    <comment ref="C28" authorId="0">
      <text>
        <r>
          <rPr>
            <sz val="10"/>
            <rFont val="Arial"/>
            <family val="2"/>
          </rPr>
          <t xml:space="preserve">Formula auto-calculated from entries above</t>
        </r>
      </text>
    </comment>
    <comment ref="C30" authorId="0">
      <text>
        <r>
          <rPr>
            <sz val="10"/>
            <rFont val="Arial"/>
            <family val="2"/>
          </rPr>
          <t xml:space="preserve">Enter Value at Risk — 95% VaR from Phase 3 / Phase 4 model.</t>
        </r>
      </text>
    </comment>
    <comment ref="C34" authorId="0">
      <text>
        <r>
          <rPr>
            <sz val="10"/>
            <rFont val="Arial"/>
            <family val="2"/>
          </rPr>
          <t xml:space="preserve">IPS maximum drawdown limit from client strip (row 5).</t>
        </r>
      </text>
    </comment>
    <comment ref="C35" authorId="0">
      <text>
        <r>
          <rPr>
            <sz val="10"/>
            <rFont val="Arial"/>
            <family val="2"/>
          </rPr>
          <t xml:space="preserve">IPS maximum portfolio σ from Phase 2. Enter here for reference.</t>
        </r>
      </text>
    </comment>
    <comment ref="C41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42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43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44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45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46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52" authorId="0">
      <text>
        <r>
          <rPr>
            <sz val="10"/>
            <rFont val="Arial"/>
            <family val="2"/>
          </rPr>
          <t xml:space="preserve">New weight for U.S. Equities after re-allocation (from Part A)</t>
        </r>
      </text>
    </comment>
    <comment ref="C53" authorId="0">
      <text>
        <r>
          <rPr>
            <sz val="10"/>
            <rFont val="Arial"/>
            <family val="2"/>
          </rPr>
          <t xml:space="preserve">New weight for Fixed Income after re-allocation (from Part A)</t>
        </r>
      </text>
    </comment>
    <comment ref="C54" authorId="0">
      <text>
        <r>
          <rPr>
            <sz val="10"/>
            <rFont val="Arial"/>
            <family val="2"/>
          </rPr>
          <t xml:space="preserve">New weight for Cash / Cash Equivalents after re-allocation (from Part A)</t>
        </r>
      </text>
    </comment>
    <comment ref="C61" authorId="0">
      <text>
        <r>
          <rPr>
            <sz val="10"/>
            <rFont val="Arial"/>
            <family val="2"/>
          </rPr>
          <t xml:space="preserve">Enter final Portfolio Beta (β). Weighted average β from Phase 4 Security Selection tab</t>
        </r>
      </text>
    </comment>
    <comment ref="C62" authorId="0">
      <text>
        <r>
          <rPr>
            <sz val="10"/>
            <rFont val="Arial"/>
            <family val="2"/>
          </rPr>
          <t xml:space="preserve">Enter final Portfolio Std Dev (σ). From Phase 3 CME Matrix Section 3 (Solver output)</t>
        </r>
      </text>
    </comment>
    <comment ref="C63" authorId="0">
      <text>
        <r>
          <rPr>
            <sz val="10"/>
            <rFont val="Arial"/>
            <family val="2"/>
          </rPr>
          <t xml:space="preserve">Enter final Sharpe Ratio (Base Case). = (Portfolio E(R) – Rf) ÷ σ; Rf from Section 3</t>
        </r>
      </text>
    </comment>
    <comment ref="C64" authorId="0">
      <text>
        <r>
          <rPr>
            <sz val="10"/>
            <rFont val="Arial"/>
            <family val="2"/>
          </rPr>
          <t xml:space="preserve">Enter final Bear Case Portfolio Return. From Section 2 total row (or Section 5 revised total if re-allocated)</t>
        </r>
      </text>
    </comment>
    <comment ref="C65" authorId="0">
      <text>
        <r>
          <rPr>
            <sz val="10"/>
            <rFont val="Arial"/>
            <family val="2"/>
          </rPr>
          <t xml:space="preserve">Enter final Bear Case $ P&amp;L. From Section 2 total row (or Section 5 revised total if re-allocated)</t>
        </r>
      </text>
    </comment>
    <comment ref="C66" authorId="0">
      <text>
        <r>
          <rPr>
            <sz val="10"/>
            <rFont val="Arial"/>
            <family val="2"/>
          </rPr>
          <t xml:space="preserve">Enter PASS or FAIL, matching your Section 4 / Section 5 verdict.</t>
        </r>
      </text>
    </comment>
    <comment ref="D10" authorId="0">
      <text>
        <r>
          <rPr>
            <sz val="10"/>
            <rFont val="Arial"/>
            <family val="2"/>
          </rPr>
          <t xml:space="preserve">Bear Case standard deviation for U.S. Equities. Must match Phase 1 Bear Case CME Matrix.</t>
        </r>
      </text>
    </comment>
    <comment ref="D11" authorId="0">
      <text>
        <r>
          <rPr>
            <sz val="10"/>
            <rFont val="Arial"/>
            <family val="2"/>
          </rPr>
          <t xml:space="preserve">Bear Case standard deviation for Fixed Income. Must match Phase 1 Bear Case CME Matrix.</t>
        </r>
      </text>
    </comment>
    <comment ref="D12" authorId="0">
      <text>
        <r>
          <rPr>
            <sz val="10"/>
            <rFont val="Arial"/>
            <family val="2"/>
          </rPr>
          <t xml:space="preserve">Bear Case standard deviation for Cash / Cash Equivalents. Must match Phase 1 Bear Case CME Matrix.</t>
        </r>
      </text>
    </comment>
    <comment ref="D17" authorId="0">
      <text>
        <r>
          <rPr>
            <sz val="10"/>
            <rFont val="Arial"/>
            <family val="2"/>
          </rPr>
          <t xml:space="preserve">Dollar allocation = weight × $500,000 AUM</t>
        </r>
      </text>
    </comment>
    <comment ref="D18" authorId="0">
      <text>
        <r>
          <rPr>
            <sz val="10"/>
            <rFont val="Arial"/>
            <family val="2"/>
          </rPr>
          <t xml:space="preserve">Dollar allocation = weight × $500,000 AUM</t>
        </r>
      </text>
    </comment>
    <comment ref="D19" authorId="0">
      <text>
        <r>
          <rPr>
            <sz val="10"/>
            <rFont val="Arial"/>
            <family val="2"/>
          </rPr>
          <t xml:space="preserve">Dollar allocation = weight × $500,000 AUM</t>
        </r>
      </text>
    </comment>
    <comment ref="D26" authorId="0">
      <text>
        <r>
          <rPr>
            <sz val="10"/>
            <rFont val="Arial"/>
            <family val="2"/>
          </rPr>
          <t xml:space="preserve">Enter Bear Case Portfolio Beta (β).</t>
        </r>
      </text>
    </comment>
    <comment ref="D27" authorId="0">
      <text>
        <r>
          <rPr>
            <sz val="10"/>
            <rFont val="Arial"/>
            <family val="2"/>
          </rPr>
          <t xml:space="preserve">Enter Bear Case Portfolio Std Dev (σ).</t>
        </r>
      </text>
    </comment>
    <comment ref="D30" authorId="0">
      <text>
        <r>
          <rPr>
            <sz val="10"/>
            <rFont val="Arial"/>
            <family val="2"/>
          </rPr>
          <t xml:space="preserve">Enter Bear Case Value at Risk — 95% VaR.</t>
        </r>
      </text>
    </comment>
    <comment ref="D34" authorId="0">
      <text>
        <r>
          <rPr>
            <sz val="10"/>
            <rFont val="Arial"/>
            <family val="2"/>
          </rPr>
          <t xml:space="preserve">Bear Case portfolio return from Section 2 total row.</t>
        </r>
      </text>
    </comment>
    <comment ref="D35" authorId="0">
      <text>
        <r>
          <rPr>
            <sz val="10"/>
            <rFont val="Arial"/>
            <family val="2"/>
          </rPr>
          <t xml:space="preserve">Base Case portfolio σ from risk metrics row 27.</t>
        </r>
      </text>
    </comment>
    <comment ref="D41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D42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D43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D44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D45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D46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E10" authorId="0">
      <text>
        <r>
          <rPr>
            <sz val="10"/>
            <rFont val="Arial"/>
            <family val="2"/>
          </rPr>
          <t xml:space="preserve">Cite your Phase 1 source exactly. E.g. 'Phase 1 Bear Case table, row 2 — GDP –1.5%, S&amp;P expected return –18.0% based on historical recession drawdown analysis.'</t>
        </r>
      </text>
    </comment>
    <comment ref="E11" authorId="0">
      <text>
        <r>
          <rPr>
            <sz val="10"/>
            <rFont val="Arial"/>
            <family val="2"/>
          </rPr>
          <t xml:space="preserve">Cite your Phase 1 source exactly. E.g. 'Phase 1 Bear Case table, row 2 — GDP –1.5%, S&amp;P expected return –18.0% based on historical recession drawdown analysis.'</t>
        </r>
      </text>
    </comment>
    <comment ref="E12" authorId="0">
      <text>
        <r>
          <rPr>
            <sz val="10"/>
            <rFont val="Arial"/>
            <family val="2"/>
          </rPr>
          <t xml:space="preserve">Cite your Phase 1 source exactly. E.g. 'Phase 1 Bear Case table, row 2 — GDP –1.5%, S&amp;P expected return –18.0% based on historical recession drawdown analysis.'</t>
        </r>
      </text>
    </comment>
    <comment ref="E17" authorId="0">
      <text>
        <r>
          <rPr>
            <sz val="10"/>
            <rFont val="Arial"/>
            <family val="2"/>
          </rPr>
          <t xml:space="preserve">Base Case expected return for U.S. Equities from Phase 3 CME Matrix Base Case. E.g. 8.5% for equities.</t>
        </r>
      </text>
    </comment>
    <comment ref="E18" authorId="0">
      <text>
        <r>
          <rPr>
            <sz val="10"/>
            <rFont val="Arial"/>
            <family val="2"/>
          </rPr>
          <t xml:space="preserve">Base Case expected return for Fixed Income from Phase 3 CME Matrix Base Case. E.g. 8.5% for equities.</t>
        </r>
      </text>
    </comment>
    <comment ref="E19" authorId="0">
      <text>
        <r>
          <rPr>
            <sz val="10"/>
            <rFont val="Arial"/>
            <family val="2"/>
          </rPr>
          <t xml:space="preserve">Base Case expected return for Cash / Cash Equivalents from Phase 3 CME Matrix Base Case. E.g. 8.5% for equities.</t>
        </r>
      </text>
    </comment>
    <comment ref="E20" authorId="0">
      <text>
        <r>
          <rPr>
            <sz val="10"/>
            <rFont val="Arial"/>
            <family val="2"/>
          </rPr>
          <t xml:space="preserve">Weighted average Base Case E(R) = sum of weight × return for each asset class</t>
        </r>
      </text>
    </comment>
    <comment ref="E34" authorId="0">
      <text>
        <r>
          <rPr>
            <sz val="10"/>
            <rFont val="Arial"/>
            <family val="2"/>
          </rPr>
          <t xml:space="preserve">Margin = Actual – Limit. Positive = headroom; negative = breach.</t>
        </r>
      </text>
    </comment>
    <comment ref="E41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42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43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44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45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46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52" authorId="0">
      <text>
        <r>
          <rPr>
            <sz val="10"/>
            <rFont val="Arial"/>
            <family val="2"/>
          </rPr>
          <t xml:space="preserve">Bear Case E(R) from Section 1 — same as original stress test</t>
        </r>
      </text>
    </comment>
    <comment ref="E53" authorId="0">
      <text>
        <r>
          <rPr>
            <sz val="10"/>
            <rFont val="Arial"/>
            <family val="2"/>
          </rPr>
          <t xml:space="preserve">Bear Case E(R) from Section 1 — same as original stress test</t>
        </r>
      </text>
    </comment>
    <comment ref="E54" authorId="0">
      <text>
        <r>
          <rPr>
            <sz val="10"/>
            <rFont val="Arial"/>
            <family val="2"/>
          </rPr>
          <t xml:space="preserve">Bear Case E(R) from Section 1 — same as original stress test</t>
        </r>
      </text>
    </comment>
    <comment ref="F17" authorId="0">
      <text>
        <r>
          <rPr>
            <sz val="10"/>
            <rFont val="Arial"/>
            <family val="2"/>
          </rPr>
          <t xml:space="preserve">Weighted Bear Case contribution = weight × Bear Case E(R) from Section 1</t>
        </r>
      </text>
    </comment>
    <comment ref="F18" authorId="0">
      <text>
        <r>
          <rPr>
            <sz val="10"/>
            <rFont val="Arial"/>
            <family val="2"/>
          </rPr>
          <t xml:space="preserve">Weighted Bear Case contribution = weight × Bear Case E(R) from Section 1</t>
        </r>
      </text>
    </comment>
    <comment ref="F19" authorId="0">
      <text>
        <r>
          <rPr>
            <sz val="10"/>
            <rFont val="Arial"/>
            <family val="2"/>
          </rPr>
          <t xml:space="preserve">Weighted Bear Case contribution = weight × Bear Case E(R) from Section 1</t>
        </r>
      </text>
    </comment>
    <comment ref="F20" authorId="0">
      <text>
        <r>
          <rPr>
            <sz val="10"/>
            <rFont val="Arial"/>
            <family val="2"/>
          </rPr>
          <t xml:space="preserve">Total portfolio Bear Case return = sum of weighted Bear Case contributions</t>
        </r>
      </text>
    </comment>
    <comment ref="F41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F42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F43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F44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F45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F46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G5" authorId="0">
      <text>
        <r>
          <rPr>
            <sz val="10"/>
            <rFont val="Arial"/>
            <family val="2"/>
          </rPr>
          <t xml:space="preserve">Maximum acceptable drawdown from Phase 2 IPS. Enter as negative. E.g. –10% = –0.10</t>
        </r>
      </text>
    </comment>
    <comment ref="G17" authorId="0">
      <text>
        <r>
          <rPr>
            <sz val="10"/>
            <rFont val="Arial"/>
            <family val="2"/>
          </rPr>
          <t xml:space="preserve">Dollar P&amp;L in Bear Case = $ allocation × Bear Case E(R)</t>
        </r>
      </text>
    </comment>
    <comment ref="G18" authorId="0">
      <text>
        <r>
          <rPr>
            <sz val="10"/>
            <rFont val="Arial"/>
            <family val="2"/>
          </rPr>
          <t xml:space="preserve">Dollar P&amp;L in Bear Case = $ allocation × Bear Case E(R)</t>
        </r>
      </text>
    </comment>
    <comment ref="G19" authorId="0">
      <text>
        <r>
          <rPr>
            <sz val="10"/>
            <rFont val="Arial"/>
            <family val="2"/>
          </rPr>
          <t xml:space="preserve">Dollar P&amp;L in Bear Case = $ allocation × Bear Case E(R)</t>
        </r>
      </text>
    </comment>
    <comment ref="G20" authorId="0">
      <text>
        <r>
          <rPr>
            <sz val="10"/>
            <rFont val="Arial"/>
            <family val="2"/>
          </rPr>
          <t xml:space="preserve">Total dollar P&amp;L in Bear Case scenario</t>
        </r>
      </text>
    </comment>
    <comment ref="G41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G42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G43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G44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G45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G46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I5" authorId="0">
      <text>
        <r>
          <rPr>
            <sz val="10"/>
            <rFont val="Arial"/>
            <family val="2"/>
          </rPr>
          <t xml:space="preserve">Risk aversion coefficient A from BKM / Phase 2 IPS. E.g. 4.0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1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B42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B43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B44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B45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B46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C5" authorId="0">
      <text>
        <r>
          <rPr>
            <sz val="10"/>
            <rFont val="Arial"/>
            <family val="2"/>
          </rPr>
          <t xml:space="preserve">Client name or ID — e.g. Eleanor Vance — Client 1</t>
        </r>
      </text>
    </comment>
    <comment ref="C10" authorId="0">
      <text>
        <r>
          <rPr>
            <sz val="10"/>
            <rFont val="Arial"/>
            <family val="2"/>
          </rPr>
          <t xml:space="preserve">Bear Case expected return for U.S. Equities. Must match Phase 1 Bear Case table. E.g. –18.0% (Bear Case from Phase 1 scenario table)</t>
        </r>
      </text>
    </comment>
    <comment ref="C11" authorId="0">
      <text>
        <r>
          <rPr>
            <sz val="10"/>
            <rFont val="Arial"/>
            <family val="2"/>
          </rPr>
          <t xml:space="preserve">Bear Case expected return for Fixed Income. Must match Phase 1 Bear Case table. E.g. –4.5%  (rising rates compress bond prices)</t>
        </r>
      </text>
    </comment>
    <comment ref="C12" authorId="0">
      <text>
        <r>
          <rPr>
            <sz val="10"/>
            <rFont val="Arial"/>
            <family val="2"/>
          </rPr>
          <t xml:space="preserve">Bear Case expected return for Cash / Cash Equivalents. Must match Phase 1 Bear Case table. E.g. +2.5%  (risk-free rate — stable in Bear Case)</t>
        </r>
      </text>
    </comment>
    <comment ref="C17" authorId="0">
      <text>
        <r>
          <rPr>
            <sz val="10"/>
            <rFont val="Arial"/>
            <family val="2"/>
          </rPr>
          <t xml:space="preserve">Enter Solver-optimized weight for U.S. Equities from Phase 3 CME Matrix.</t>
        </r>
      </text>
    </comment>
    <comment ref="C18" authorId="0">
      <text>
        <r>
          <rPr>
            <sz val="10"/>
            <rFont val="Arial"/>
            <family val="2"/>
          </rPr>
          <t xml:space="preserve">Enter Solver-optimized weight for Fixed Income from Phase 3 CME Matrix.</t>
        </r>
      </text>
    </comment>
    <comment ref="C19" authorId="0">
      <text>
        <r>
          <rPr>
            <sz val="10"/>
            <rFont val="Arial"/>
            <family val="2"/>
          </rPr>
          <t xml:space="preserve">Enter Solver-optimized weight for Cash / Cash Equivalents from Phase 3 CME Matrix.</t>
        </r>
      </text>
    </comment>
    <comment ref="C25" authorId="0">
      <text>
        <r>
          <rPr>
            <sz val="10"/>
            <rFont val="Arial"/>
            <family val="2"/>
          </rPr>
          <t xml:space="preserve">Current 3-Month T-Bill yield. Source: FRED series TB3MS. This is used in both Base and Bear Case Sharpe Ratio calculations.</t>
        </r>
      </text>
    </comment>
    <comment ref="C26" authorId="0">
      <text>
        <r>
          <rPr>
            <sz val="10"/>
            <rFont val="Arial"/>
            <family val="2"/>
          </rPr>
          <t xml:space="preserve">Formula auto-calculated from entries above</t>
        </r>
      </text>
    </comment>
    <comment ref="C27" authorId="0">
      <text>
        <r>
          <rPr>
            <sz val="10"/>
            <rFont val="Arial"/>
            <family val="2"/>
          </rPr>
          <t xml:space="preserve">Enter Portfolio Std Dev (σ) from Phase 3 / Phase 4 model.</t>
        </r>
      </text>
    </comment>
    <comment ref="C28" authorId="0">
      <text>
        <r>
          <rPr>
            <sz val="10"/>
            <rFont val="Arial"/>
            <family val="2"/>
          </rPr>
          <t xml:space="preserve">Formula auto-calculated from entries above</t>
        </r>
      </text>
    </comment>
    <comment ref="C30" authorId="0">
      <text>
        <r>
          <rPr>
            <sz val="10"/>
            <rFont val="Arial"/>
            <family val="2"/>
          </rPr>
          <t xml:space="preserve">Enter Value at Risk — 95% VaR from Phase 3 / Phase 4 model.</t>
        </r>
      </text>
    </comment>
    <comment ref="C34" authorId="0">
      <text>
        <r>
          <rPr>
            <sz val="10"/>
            <rFont val="Arial"/>
            <family val="2"/>
          </rPr>
          <t xml:space="preserve">IPS maximum drawdown limit from client strip (row 5).</t>
        </r>
      </text>
    </comment>
    <comment ref="C35" authorId="0">
      <text>
        <r>
          <rPr>
            <sz val="10"/>
            <rFont val="Arial"/>
            <family val="2"/>
          </rPr>
          <t xml:space="preserve">IPS maximum portfolio σ from Phase 2. Enter here for reference.</t>
        </r>
      </text>
    </comment>
    <comment ref="C41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42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43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44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45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46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52" authorId="0">
      <text>
        <r>
          <rPr>
            <sz val="10"/>
            <rFont val="Arial"/>
            <family val="2"/>
          </rPr>
          <t xml:space="preserve">New weight for U.S. Equities after re-allocation (from Part A)</t>
        </r>
      </text>
    </comment>
    <comment ref="C53" authorId="0">
      <text>
        <r>
          <rPr>
            <sz val="10"/>
            <rFont val="Arial"/>
            <family val="2"/>
          </rPr>
          <t xml:space="preserve">New weight for Fixed Income after re-allocation (from Part A)</t>
        </r>
      </text>
    </comment>
    <comment ref="C54" authorId="0">
      <text>
        <r>
          <rPr>
            <sz val="10"/>
            <rFont val="Arial"/>
            <family val="2"/>
          </rPr>
          <t xml:space="preserve">New weight for Cash / Cash Equivalents after re-allocation (from Part A)</t>
        </r>
      </text>
    </comment>
    <comment ref="C61" authorId="0">
      <text>
        <r>
          <rPr>
            <sz val="10"/>
            <rFont val="Arial"/>
            <family val="2"/>
          </rPr>
          <t xml:space="preserve">Enter final Portfolio Beta (β). Weighted average β from Phase 4 Security Selection tab</t>
        </r>
      </text>
    </comment>
    <comment ref="C62" authorId="0">
      <text>
        <r>
          <rPr>
            <sz val="10"/>
            <rFont val="Arial"/>
            <family val="2"/>
          </rPr>
          <t xml:space="preserve">Enter final Portfolio Std Dev (σ). From Phase 3 CME Matrix Section 3 (Solver output)</t>
        </r>
      </text>
    </comment>
    <comment ref="C63" authorId="0">
      <text>
        <r>
          <rPr>
            <sz val="10"/>
            <rFont val="Arial"/>
            <family val="2"/>
          </rPr>
          <t xml:space="preserve">Enter final Sharpe Ratio (Base Case). = (Portfolio E(R) – Rf) ÷ σ; Rf from Section 3</t>
        </r>
      </text>
    </comment>
    <comment ref="C64" authorId="0">
      <text>
        <r>
          <rPr>
            <sz val="10"/>
            <rFont val="Arial"/>
            <family val="2"/>
          </rPr>
          <t xml:space="preserve">Enter final Bear Case Portfolio Return. From Section 2 total row (or Section 5 revised total if re-allocated)</t>
        </r>
      </text>
    </comment>
    <comment ref="C65" authorId="0">
      <text>
        <r>
          <rPr>
            <sz val="10"/>
            <rFont val="Arial"/>
            <family val="2"/>
          </rPr>
          <t xml:space="preserve">Enter final Bear Case $ P&amp;L. From Section 2 total row (or Section 5 revised total if re-allocated)</t>
        </r>
      </text>
    </comment>
    <comment ref="C66" authorId="0">
      <text>
        <r>
          <rPr>
            <sz val="10"/>
            <rFont val="Arial"/>
            <family val="2"/>
          </rPr>
          <t xml:space="preserve">Enter PASS or FAIL, matching your Section 4 / Section 5 verdict.</t>
        </r>
      </text>
    </comment>
    <comment ref="D10" authorId="0">
      <text>
        <r>
          <rPr>
            <sz val="10"/>
            <rFont val="Arial"/>
            <family val="2"/>
          </rPr>
          <t xml:space="preserve">Bear Case standard deviation for U.S. Equities. Must match Phase 1 Bear Case CME Matrix.</t>
        </r>
      </text>
    </comment>
    <comment ref="D11" authorId="0">
      <text>
        <r>
          <rPr>
            <sz val="10"/>
            <rFont val="Arial"/>
            <family val="2"/>
          </rPr>
          <t xml:space="preserve">Bear Case standard deviation for Fixed Income. Must match Phase 1 Bear Case CME Matrix.</t>
        </r>
      </text>
    </comment>
    <comment ref="D12" authorId="0">
      <text>
        <r>
          <rPr>
            <sz val="10"/>
            <rFont val="Arial"/>
            <family val="2"/>
          </rPr>
          <t xml:space="preserve">Bear Case standard deviation for Cash / Cash Equivalents. Must match Phase 1 Bear Case CME Matrix.</t>
        </r>
      </text>
    </comment>
    <comment ref="D17" authorId="0">
      <text>
        <r>
          <rPr>
            <sz val="10"/>
            <rFont val="Arial"/>
            <family val="2"/>
          </rPr>
          <t xml:space="preserve">Dollar allocation = weight × $500,000 AUM</t>
        </r>
      </text>
    </comment>
    <comment ref="D18" authorId="0">
      <text>
        <r>
          <rPr>
            <sz val="10"/>
            <rFont val="Arial"/>
            <family val="2"/>
          </rPr>
          <t xml:space="preserve">Dollar allocation = weight × $500,000 AUM</t>
        </r>
      </text>
    </comment>
    <comment ref="D19" authorId="0">
      <text>
        <r>
          <rPr>
            <sz val="10"/>
            <rFont val="Arial"/>
            <family val="2"/>
          </rPr>
          <t xml:space="preserve">Dollar allocation = weight × $500,000 AUM</t>
        </r>
      </text>
    </comment>
    <comment ref="D26" authorId="0">
      <text>
        <r>
          <rPr>
            <sz val="10"/>
            <rFont val="Arial"/>
            <family val="2"/>
          </rPr>
          <t xml:space="preserve">Enter Bear Case Portfolio Beta (β).</t>
        </r>
      </text>
    </comment>
    <comment ref="D27" authorId="0">
      <text>
        <r>
          <rPr>
            <sz val="10"/>
            <rFont val="Arial"/>
            <family val="2"/>
          </rPr>
          <t xml:space="preserve">Enter Bear Case Portfolio Std Dev (σ).</t>
        </r>
      </text>
    </comment>
    <comment ref="D30" authorId="0">
      <text>
        <r>
          <rPr>
            <sz val="10"/>
            <rFont val="Arial"/>
            <family val="2"/>
          </rPr>
          <t xml:space="preserve">Enter Bear Case Value at Risk — 95% VaR.</t>
        </r>
      </text>
    </comment>
    <comment ref="D34" authorId="0">
      <text>
        <r>
          <rPr>
            <sz val="10"/>
            <rFont val="Arial"/>
            <family val="2"/>
          </rPr>
          <t xml:space="preserve">Bear Case portfolio return from Section 2 total row.</t>
        </r>
      </text>
    </comment>
    <comment ref="D35" authorId="0">
      <text>
        <r>
          <rPr>
            <sz val="10"/>
            <rFont val="Arial"/>
            <family val="2"/>
          </rPr>
          <t xml:space="preserve">Base Case portfolio σ from risk metrics row 27.</t>
        </r>
      </text>
    </comment>
    <comment ref="D41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D42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D43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D44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D45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D46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E10" authorId="0">
      <text>
        <r>
          <rPr>
            <sz val="10"/>
            <rFont val="Arial"/>
            <family val="2"/>
          </rPr>
          <t xml:space="preserve">Cite your Phase 1 source exactly. E.g. 'Phase 1 Bear Case table, row 2 — GDP –1.5%, S&amp;P expected return –18.0% based on historical recession drawdown analysis.'</t>
        </r>
      </text>
    </comment>
    <comment ref="E11" authorId="0">
      <text>
        <r>
          <rPr>
            <sz val="10"/>
            <rFont val="Arial"/>
            <family val="2"/>
          </rPr>
          <t xml:space="preserve">Cite your Phase 1 source exactly. E.g. 'Phase 1 Bear Case table, row 2 — GDP –1.5%, S&amp;P expected return –18.0% based on historical recession drawdown analysis.'</t>
        </r>
      </text>
    </comment>
    <comment ref="E12" authorId="0">
      <text>
        <r>
          <rPr>
            <sz val="10"/>
            <rFont val="Arial"/>
            <family val="2"/>
          </rPr>
          <t xml:space="preserve">Cite your Phase 1 source exactly. E.g. 'Phase 1 Bear Case table, row 2 — GDP –1.5%, S&amp;P expected return –18.0% based on historical recession drawdown analysis.'</t>
        </r>
      </text>
    </comment>
    <comment ref="E17" authorId="0">
      <text>
        <r>
          <rPr>
            <sz val="10"/>
            <rFont val="Arial"/>
            <family val="2"/>
          </rPr>
          <t xml:space="preserve">Base Case expected return for U.S. Equities from Phase 3 CME Matrix Base Case. E.g. 8.5% for equities.</t>
        </r>
      </text>
    </comment>
    <comment ref="E18" authorId="0">
      <text>
        <r>
          <rPr>
            <sz val="10"/>
            <rFont val="Arial"/>
            <family val="2"/>
          </rPr>
          <t xml:space="preserve">Base Case expected return for Fixed Income from Phase 3 CME Matrix Base Case. E.g. 8.5% for equities.</t>
        </r>
      </text>
    </comment>
    <comment ref="E19" authorId="0">
      <text>
        <r>
          <rPr>
            <sz val="10"/>
            <rFont val="Arial"/>
            <family val="2"/>
          </rPr>
          <t xml:space="preserve">Base Case expected return for Cash / Cash Equivalents from Phase 3 CME Matrix Base Case. E.g. 8.5% for equities.</t>
        </r>
      </text>
    </comment>
    <comment ref="E20" authorId="0">
      <text>
        <r>
          <rPr>
            <sz val="10"/>
            <rFont val="Arial"/>
            <family val="2"/>
          </rPr>
          <t xml:space="preserve">Weighted average Base Case E(R) = sum of weight × return for each asset class</t>
        </r>
      </text>
    </comment>
    <comment ref="E34" authorId="0">
      <text>
        <r>
          <rPr>
            <sz val="10"/>
            <rFont val="Arial"/>
            <family val="2"/>
          </rPr>
          <t xml:space="preserve">Margin = Actual – Limit. Positive = headroom; negative = breach.</t>
        </r>
      </text>
    </comment>
    <comment ref="E41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42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43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44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45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46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52" authorId="0">
      <text>
        <r>
          <rPr>
            <sz val="10"/>
            <rFont val="Arial"/>
            <family val="2"/>
          </rPr>
          <t xml:space="preserve">Bear Case E(R) from Section 1 — same as original stress test</t>
        </r>
      </text>
    </comment>
    <comment ref="E53" authorId="0">
      <text>
        <r>
          <rPr>
            <sz val="10"/>
            <rFont val="Arial"/>
            <family val="2"/>
          </rPr>
          <t xml:space="preserve">Bear Case E(R) from Section 1 — same as original stress test</t>
        </r>
      </text>
    </comment>
    <comment ref="E54" authorId="0">
      <text>
        <r>
          <rPr>
            <sz val="10"/>
            <rFont val="Arial"/>
            <family val="2"/>
          </rPr>
          <t xml:space="preserve">Bear Case E(R) from Section 1 — same as original stress test</t>
        </r>
      </text>
    </comment>
    <comment ref="F17" authorId="0">
      <text>
        <r>
          <rPr>
            <sz val="10"/>
            <rFont val="Arial"/>
            <family val="2"/>
          </rPr>
          <t xml:space="preserve">Weighted Bear Case contribution = weight × Bear Case E(R) from Section 1</t>
        </r>
      </text>
    </comment>
    <comment ref="F18" authorId="0">
      <text>
        <r>
          <rPr>
            <sz val="10"/>
            <rFont val="Arial"/>
            <family val="2"/>
          </rPr>
          <t xml:space="preserve">Weighted Bear Case contribution = weight × Bear Case E(R) from Section 1</t>
        </r>
      </text>
    </comment>
    <comment ref="F19" authorId="0">
      <text>
        <r>
          <rPr>
            <sz val="10"/>
            <rFont val="Arial"/>
            <family val="2"/>
          </rPr>
          <t xml:space="preserve">Weighted Bear Case contribution = weight × Bear Case E(R) from Section 1</t>
        </r>
      </text>
    </comment>
    <comment ref="F20" authorId="0">
      <text>
        <r>
          <rPr>
            <sz val="10"/>
            <rFont val="Arial"/>
            <family val="2"/>
          </rPr>
          <t xml:space="preserve">Total portfolio Bear Case return = sum of weighted Bear Case contributions</t>
        </r>
      </text>
    </comment>
    <comment ref="F41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F42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F43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F44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F45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F46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G5" authorId="0">
      <text>
        <r>
          <rPr>
            <sz val="10"/>
            <rFont val="Arial"/>
            <family val="2"/>
          </rPr>
          <t xml:space="preserve">Maximum acceptable drawdown from Phase 2 IPS. Enter as negative. E.g. –10% = –0.10</t>
        </r>
      </text>
    </comment>
    <comment ref="G17" authorId="0">
      <text>
        <r>
          <rPr>
            <sz val="10"/>
            <rFont val="Arial"/>
            <family val="2"/>
          </rPr>
          <t xml:space="preserve">Dollar P&amp;L in Bear Case = $ allocation × Bear Case E(R)</t>
        </r>
      </text>
    </comment>
    <comment ref="G18" authorId="0">
      <text>
        <r>
          <rPr>
            <sz val="10"/>
            <rFont val="Arial"/>
            <family val="2"/>
          </rPr>
          <t xml:space="preserve">Dollar P&amp;L in Bear Case = $ allocation × Bear Case E(R)</t>
        </r>
      </text>
    </comment>
    <comment ref="G19" authorId="0">
      <text>
        <r>
          <rPr>
            <sz val="10"/>
            <rFont val="Arial"/>
            <family val="2"/>
          </rPr>
          <t xml:space="preserve">Dollar P&amp;L in Bear Case = $ allocation × Bear Case E(R)</t>
        </r>
      </text>
    </comment>
    <comment ref="G20" authorId="0">
      <text>
        <r>
          <rPr>
            <sz val="10"/>
            <rFont val="Arial"/>
            <family val="2"/>
          </rPr>
          <t xml:space="preserve">Total dollar P&amp;L in Bear Case scenario</t>
        </r>
      </text>
    </comment>
    <comment ref="G41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G42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G43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G44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G45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G46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I5" authorId="0">
      <text>
        <r>
          <rPr>
            <sz val="10"/>
            <rFont val="Arial"/>
            <family val="2"/>
          </rPr>
          <t xml:space="preserve">Risk aversion coefficient A from BKM / Phase 2 IPS. E.g. 4.0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1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B42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B43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B44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B45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B46" authorId="0">
      <text>
        <r>
          <rPr>
            <sz val="10"/>
            <rFont val="Arial"/>
            <family val="2"/>
          </rPr>
          <t xml:space="preserve">Select BUY, SELL, or HOLD</t>
        </r>
      </text>
    </comment>
    <comment ref="C5" authorId="0">
      <text>
        <r>
          <rPr>
            <sz val="10"/>
            <rFont val="Arial"/>
            <family val="2"/>
          </rPr>
          <t xml:space="preserve">Client name or ID — e.g. Eleanor Vance — Client 1</t>
        </r>
      </text>
    </comment>
    <comment ref="C10" authorId="0">
      <text>
        <r>
          <rPr>
            <sz val="10"/>
            <rFont val="Arial"/>
            <family val="2"/>
          </rPr>
          <t xml:space="preserve">Bear Case expected return for U.S. Equities. Must match Phase 1 Bear Case table. E.g. –18.0% (Bear Case from Phase 1 scenario table)</t>
        </r>
      </text>
    </comment>
    <comment ref="C11" authorId="0">
      <text>
        <r>
          <rPr>
            <sz val="10"/>
            <rFont val="Arial"/>
            <family val="2"/>
          </rPr>
          <t xml:space="preserve">Bear Case expected return for Fixed Income. Must match Phase 1 Bear Case table. E.g. –4.5%  (rising rates compress bond prices)</t>
        </r>
      </text>
    </comment>
    <comment ref="C12" authorId="0">
      <text>
        <r>
          <rPr>
            <sz val="10"/>
            <rFont val="Arial"/>
            <family val="2"/>
          </rPr>
          <t xml:space="preserve">Bear Case expected return for Cash / Cash Equivalents. Must match Phase 1 Bear Case table. E.g. +2.5%  (risk-free rate — stable in Bear Case)</t>
        </r>
      </text>
    </comment>
    <comment ref="C17" authorId="0">
      <text>
        <r>
          <rPr>
            <sz val="10"/>
            <rFont val="Arial"/>
            <family val="2"/>
          </rPr>
          <t xml:space="preserve">Enter Solver-optimized weight for U.S. Equities from Phase 3 CME Matrix.</t>
        </r>
      </text>
    </comment>
    <comment ref="C18" authorId="0">
      <text>
        <r>
          <rPr>
            <sz val="10"/>
            <rFont val="Arial"/>
            <family val="2"/>
          </rPr>
          <t xml:space="preserve">Enter Solver-optimized weight for Fixed Income from Phase 3 CME Matrix.</t>
        </r>
      </text>
    </comment>
    <comment ref="C19" authorId="0">
      <text>
        <r>
          <rPr>
            <sz val="10"/>
            <rFont val="Arial"/>
            <family val="2"/>
          </rPr>
          <t xml:space="preserve">Enter Solver-optimized weight for Cash / Cash Equivalents from Phase 3 CME Matrix.</t>
        </r>
      </text>
    </comment>
    <comment ref="C25" authorId="0">
      <text>
        <r>
          <rPr>
            <sz val="10"/>
            <rFont val="Arial"/>
            <family val="2"/>
          </rPr>
          <t xml:space="preserve">Current 3-Month T-Bill yield. Source: FRED series TB3MS. This is used in both Base and Bear Case Sharpe Ratio calculations.</t>
        </r>
      </text>
    </comment>
    <comment ref="C26" authorId="0">
      <text>
        <r>
          <rPr>
            <sz val="10"/>
            <rFont val="Arial"/>
            <family val="2"/>
          </rPr>
          <t xml:space="preserve">Formula auto-calculated from entries above</t>
        </r>
      </text>
    </comment>
    <comment ref="C27" authorId="0">
      <text>
        <r>
          <rPr>
            <sz val="10"/>
            <rFont val="Arial"/>
            <family val="2"/>
          </rPr>
          <t xml:space="preserve">Enter Portfolio Std Dev (σ) from Phase 3 / Phase 4 model.</t>
        </r>
      </text>
    </comment>
    <comment ref="C28" authorId="0">
      <text>
        <r>
          <rPr>
            <sz val="10"/>
            <rFont val="Arial"/>
            <family val="2"/>
          </rPr>
          <t xml:space="preserve">Formula auto-calculated from entries above</t>
        </r>
      </text>
    </comment>
    <comment ref="C30" authorId="0">
      <text>
        <r>
          <rPr>
            <sz val="10"/>
            <rFont val="Arial"/>
            <family val="2"/>
          </rPr>
          <t xml:space="preserve">Enter Value at Risk — 95% VaR from Phase 3 / Phase 4 model.</t>
        </r>
      </text>
    </comment>
    <comment ref="C34" authorId="0">
      <text>
        <r>
          <rPr>
            <sz val="10"/>
            <rFont val="Arial"/>
            <family val="2"/>
          </rPr>
          <t xml:space="preserve">IPS maximum drawdown limit from client strip (row 5).</t>
        </r>
      </text>
    </comment>
    <comment ref="C35" authorId="0">
      <text>
        <r>
          <rPr>
            <sz val="10"/>
            <rFont val="Arial"/>
            <family val="2"/>
          </rPr>
          <t xml:space="preserve">IPS maximum portfolio σ from Phase 2. Enter here for reference.</t>
        </r>
      </text>
    </comment>
    <comment ref="C41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42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43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44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45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46" authorId="0">
      <text>
        <r>
          <rPr>
            <sz val="10"/>
            <rFont val="Arial"/>
            <family val="2"/>
          </rPr>
          <t xml:space="preserve">Security name or asset class. E.g. 'Reduce U.S. Equities' or 'Add Cash'</t>
        </r>
      </text>
    </comment>
    <comment ref="C52" authorId="0">
      <text>
        <r>
          <rPr>
            <sz val="10"/>
            <rFont val="Arial"/>
            <family val="2"/>
          </rPr>
          <t xml:space="preserve">New weight for U.S. Equities after re-allocation (from Part A)</t>
        </r>
      </text>
    </comment>
    <comment ref="C53" authorId="0">
      <text>
        <r>
          <rPr>
            <sz val="10"/>
            <rFont val="Arial"/>
            <family val="2"/>
          </rPr>
          <t xml:space="preserve">New weight for Fixed Income after re-allocation (from Part A)</t>
        </r>
      </text>
    </comment>
    <comment ref="C54" authorId="0">
      <text>
        <r>
          <rPr>
            <sz val="10"/>
            <rFont val="Arial"/>
            <family val="2"/>
          </rPr>
          <t xml:space="preserve">New weight for Cash / Cash Equivalents after re-allocation (from Part A)</t>
        </r>
      </text>
    </comment>
    <comment ref="C61" authorId="0">
      <text>
        <r>
          <rPr>
            <sz val="10"/>
            <rFont val="Arial"/>
            <family val="2"/>
          </rPr>
          <t xml:space="preserve">Enter final Portfolio Beta (β). Weighted average β from Phase 4 Security Selection tab</t>
        </r>
      </text>
    </comment>
    <comment ref="C62" authorId="0">
      <text>
        <r>
          <rPr>
            <sz val="10"/>
            <rFont val="Arial"/>
            <family val="2"/>
          </rPr>
          <t xml:space="preserve">Enter final Portfolio Std Dev (σ). From Phase 3 CME Matrix Section 3 (Solver output)</t>
        </r>
      </text>
    </comment>
    <comment ref="C63" authorId="0">
      <text>
        <r>
          <rPr>
            <sz val="10"/>
            <rFont val="Arial"/>
            <family val="2"/>
          </rPr>
          <t xml:space="preserve">Enter final Sharpe Ratio (Base Case). = (Portfolio E(R) – Rf) ÷ σ; Rf from Section 3</t>
        </r>
      </text>
    </comment>
    <comment ref="C64" authorId="0">
      <text>
        <r>
          <rPr>
            <sz val="10"/>
            <rFont val="Arial"/>
            <family val="2"/>
          </rPr>
          <t xml:space="preserve">Enter final Bear Case Portfolio Return. From Section 2 total row (or Section 5 revised total if re-allocated)</t>
        </r>
      </text>
    </comment>
    <comment ref="C65" authorId="0">
      <text>
        <r>
          <rPr>
            <sz val="10"/>
            <rFont val="Arial"/>
            <family val="2"/>
          </rPr>
          <t xml:space="preserve">Enter final Bear Case $ P&amp;L. From Section 2 total row (or Section 5 revised total if re-allocated)</t>
        </r>
      </text>
    </comment>
    <comment ref="C66" authorId="0">
      <text>
        <r>
          <rPr>
            <sz val="10"/>
            <rFont val="Arial"/>
            <family val="2"/>
          </rPr>
          <t xml:space="preserve">Enter PASS or FAIL, matching your Section 4 / Section 5 verdict.</t>
        </r>
      </text>
    </comment>
    <comment ref="D10" authorId="0">
      <text>
        <r>
          <rPr>
            <sz val="10"/>
            <rFont val="Arial"/>
            <family val="2"/>
          </rPr>
          <t xml:space="preserve">Bear Case standard deviation for U.S. Equities. Must match Phase 1 Bear Case CME Matrix.</t>
        </r>
      </text>
    </comment>
    <comment ref="D11" authorId="0">
      <text>
        <r>
          <rPr>
            <sz val="10"/>
            <rFont val="Arial"/>
            <family val="2"/>
          </rPr>
          <t xml:space="preserve">Bear Case standard deviation for Fixed Income. Must match Phase 1 Bear Case CME Matrix.</t>
        </r>
      </text>
    </comment>
    <comment ref="D12" authorId="0">
      <text>
        <r>
          <rPr>
            <sz val="10"/>
            <rFont val="Arial"/>
            <family val="2"/>
          </rPr>
          <t xml:space="preserve">Bear Case standard deviation for Cash / Cash Equivalents. Must match Phase 1 Bear Case CME Matrix.</t>
        </r>
      </text>
    </comment>
    <comment ref="D17" authorId="0">
      <text>
        <r>
          <rPr>
            <sz val="10"/>
            <rFont val="Arial"/>
            <family val="2"/>
          </rPr>
          <t xml:space="preserve">Dollar allocation = weight × $500,000 AUM</t>
        </r>
      </text>
    </comment>
    <comment ref="D18" authorId="0">
      <text>
        <r>
          <rPr>
            <sz val="10"/>
            <rFont val="Arial"/>
            <family val="2"/>
          </rPr>
          <t xml:space="preserve">Dollar allocation = weight × $500,000 AUM</t>
        </r>
      </text>
    </comment>
    <comment ref="D19" authorId="0">
      <text>
        <r>
          <rPr>
            <sz val="10"/>
            <rFont val="Arial"/>
            <family val="2"/>
          </rPr>
          <t xml:space="preserve">Dollar allocation = weight × $500,000 AUM</t>
        </r>
      </text>
    </comment>
    <comment ref="D26" authorId="0">
      <text>
        <r>
          <rPr>
            <sz val="10"/>
            <rFont val="Arial"/>
            <family val="2"/>
          </rPr>
          <t xml:space="preserve">Enter Bear Case Portfolio Beta (β).</t>
        </r>
      </text>
    </comment>
    <comment ref="D27" authorId="0">
      <text>
        <r>
          <rPr>
            <sz val="10"/>
            <rFont val="Arial"/>
            <family val="2"/>
          </rPr>
          <t xml:space="preserve">Enter Bear Case Portfolio Std Dev (σ).</t>
        </r>
      </text>
    </comment>
    <comment ref="D30" authorId="0">
      <text>
        <r>
          <rPr>
            <sz val="10"/>
            <rFont val="Arial"/>
            <family val="2"/>
          </rPr>
          <t xml:space="preserve">Enter Bear Case Value at Risk — 95% VaR.</t>
        </r>
      </text>
    </comment>
    <comment ref="D34" authorId="0">
      <text>
        <r>
          <rPr>
            <sz val="10"/>
            <rFont val="Arial"/>
            <family val="2"/>
          </rPr>
          <t xml:space="preserve">Bear Case portfolio return from Section 2 total row.</t>
        </r>
      </text>
    </comment>
    <comment ref="D35" authorId="0">
      <text>
        <r>
          <rPr>
            <sz val="10"/>
            <rFont val="Arial"/>
            <family val="2"/>
          </rPr>
          <t xml:space="preserve">Base Case portfolio σ from risk metrics row 27.</t>
        </r>
      </text>
    </comment>
    <comment ref="D41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D42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D43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D44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D45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D46" authorId="0">
      <text>
        <r>
          <rPr>
            <sz val="10"/>
            <rFont val="Arial"/>
            <family val="2"/>
          </rPr>
          <t xml:space="preserve">Original weight before re-allocation</t>
        </r>
      </text>
    </comment>
    <comment ref="E10" authorId="0">
      <text>
        <r>
          <rPr>
            <sz val="10"/>
            <rFont val="Arial"/>
            <family val="2"/>
          </rPr>
          <t xml:space="preserve">Cite your Phase 1 source exactly. E.g. 'Phase 1 Bear Case table, row 2 — GDP –1.5%, S&amp;P expected return –18.0% based on historical recession drawdown analysis.'</t>
        </r>
      </text>
    </comment>
    <comment ref="E11" authorId="0">
      <text>
        <r>
          <rPr>
            <sz val="10"/>
            <rFont val="Arial"/>
            <family val="2"/>
          </rPr>
          <t xml:space="preserve">Cite your Phase 1 source exactly. E.g. 'Phase 1 Bear Case table, row 2 — GDP –1.5%, S&amp;P expected return –18.0% based on historical recession drawdown analysis.'</t>
        </r>
      </text>
    </comment>
    <comment ref="E12" authorId="0">
      <text>
        <r>
          <rPr>
            <sz val="10"/>
            <rFont val="Arial"/>
            <family val="2"/>
          </rPr>
          <t xml:space="preserve">Cite your Phase 1 source exactly. E.g. 'Phase 1 Bear Case table, row 2 — GDP –1.5%, S&amp;P expected return –18.0% based on historical recession drawdown analysis.'</t>
        </r>
      </text>
    </comment>
    <comment ref="E17" authorId="0">
      <text>
        <r>
          <rPr>
            <sz val="10"/>
            <rFont val="Arial"/>
            <family val="2"/>
          </rPr>
          <t xml:space="preserve">Base Case expected return for U.S. Equities from Phase 3 CME Matrix Base Case. E.g. 8.5% for equities.</t>
        </r>
      </text>
    </comment>
    <comment ref="E18" authorId="0">
      <text>
        <r>
          <rPr>
            <sz val="10"/>
            <rFont val="Arial"/>
            <family val="2"/>
          </rPr>
          <t xml:space="preserve">Base Case expected return for Fixed Income from Phase 3 CME Matrix Base Case. E.g. 8.5% for equities.</t>
        </r>
      </text>
    </comment>
    <comment ref="E19" authorId="0">
      <text>
        <r>
          <rPr>
            <sz val="10"/>
            <rFont val="Arial"/>
            <family val="2"/>
          </rPr>
          <t xml:space="preserve">Base Case expected return for Cash / Cash Equivalents from Phase 3 CME Matrix Base Case. E.g. 8.5% for equities.</t>
        </r>
      </text>
    </comment>
    <comment ref="E20" authorId="0">
      <text>
        <r>
          <rPr>
            <sz val="10"/>
            <rFont val="Arial"/>
            <family val="2"/>
          </rPr>
          <t xml:space="preserve">Weighted average Base Case E(R) = sum of weight × return for each asset class</t>
        </r>
      </text>
    </comment>
    <comment ref="E34" authorId="0">
      <text>
        <r>
          <rPr>
            <sz val="10"/>
            <rFont val="Arial"/>
            <family val="2"/>
          </rPr>
          <t xml:space="preserve">Margin = Actual – Limit. Positive = headroom; negative = breach.</t>
        </r>
      </text>
    </comment>
    <comment ref="E41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42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43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44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45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46" authorId="0">
      <text>
        <r>
          <rPr>
            <sz val="10"/>
            <rFont val="Arial"/>
            <family val="2"/>
          </rPr>
          <t xml:space="preserve">New weight after re-allocation</t>
        </r>
      </text>
    </comment>
    <comment ref="E52" authorId="0">
      <text>
        <r>
          <rPr>
            <sz val="10"/>
            <rFont val="Arial"/>
            <family val="2"/>
          </rPr>
          <t xml:space="preserve">Bear Case E(R) from Section 1 — same as original stress test</t>
        </r>
      </text>
    </comment>
    <comment ref="E53" authorId="0">
      <text>
        <r>
          <rPr>
            <sz val="10"/>
            <rFont val="Arial"/>
            <family val="2"/>
          </rPr>
          <t xml:space="preserve">Bear Case E(R) from Section 1 — same as original stress test</t>
        </r>
      </text>
    </comment>
    <comment ref="E54" authorId="0">
      <text>
        <r>
          <rPr>
            <sz val="10"/>
            <rFont val="Arial"/>
            <family val="2"/>
          </rPr>
          <t xml:space="preserve">Bear Case E(R) from Section 1 — same as original stress test</t>
        </r>
      </text>
    </comment>
    <comment ref="F17" authorId="0">
      <text>
        <r>
          <rPr>
            <sz val="10"/>
            <rFont val="Arial"/>
            <family val="2"/>
          </rPr>
          <t xml:space="preserve">Weighted Bear Case contribution = weight × Bear Case E(R) from Section 1</t>
        </r>
      </text>
    </comment>
    <comment ref="F18" authorId="0">
      <text>
        <r>
          <rPr>
            <sz val="10"/>
            <rFont val="Arial"/>
            <family val="2"/>
          </rPr>
          <t xml:space="preserve">Weighted Bear Case contribution = weight × Bear Case E(R) from Section 1</t>
        </r>
      </text>
    </comment>
    <comment ref="F19" authorId="0">
      <text>
        <r>
          <rPr>
            <sz val="10"/>
            <rFont val="Arial"/>
            <family val="2"/>
          </rPr>
          <t xml:space="preserve">Weighted Bear Case contribution = weight × Bear Case E(R) from Section 1</t>
        </r>
      </text>
    </comment>
    <comment ref="F20" authorId="0">
      <text>
        <r>
          <rPr>
            <sz val="10"/>
            <rFont val="Arial"/>
            <family val="2"/>
          </rPr>
          <t xml:space="preserve">Total portfolio Bear Case return = sum of weighted Bear Case contributions</t>
        </r>
      </text>
    </comment>
    <comment ref="F41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F42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F43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F44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F45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F46" authorId="0">
      <text>
        <r>
          <rPr>
            <sz val="10"/>
            <rFont val="Arial"/>
            <family val="2"/>
          </rPr>
          <t xml:space="preserve">Dollar change = (new weight – old weight) × $500,000</t>
        </r>
      </text>
    </comment>
    <comment ref="G5" authorId="0">
      <text>
        <r>
          <rPr>
            <sz val="10"/>
            <rFont val="Arial"/>
            <family val="2"/>
          </rPr>
          <t xml:space="preserve">Maximum acceptable drawdown from Phase 2 IPS. Enter as negative. E.g. –10% = –0.10</t>
        </r>
      </text>
    </comment>
    <comment ref="G17" authorId="0">
      <text>
        <r>
          <rPr>
            <sz val="10"/>
            <rFont val="Arial"/>
            <family val="2"/>
          </rPr>
          <t xml:space="preserve">Dollar P&amp;L in Bear Case = $ allocation × Bear Case E(R)</t>
        </r>
      </text>
    </comment>
    <comment ref="G18" authorId="0">
      <text>
        <r>
          <rPr>
            <sz val="10"/>
            <rFont val="Arial"/>
            <family val="2"/>
          </rPr>
          <t xml:space="preserve">Dollar P&amp;L in Bear Case = $ allocation × Bear Case E(R)</t>
        </r>
      </text>
    </comment>
    <comment ref="G19" authorId="0">
      <text>
        <r>
          <rPr>
            <sz val="10"/>
            <rFont val="Arial"/>
            <family val="2"/>
          </rPr>
          <t xml:space="preserve">Dollar P&amp;L in Bear Case = $ allocation × Bear Case E(R)</t>
        </r>
      </text>
    </comment>
    <comment ref="G20" authorId="0">
      <text>
        <r>
          <rPr>
            <sz val="10"/>
            <rFont val="Arial"/>
            <family val="2"/>
          </rPr>
          <t xml:space="preserve">Total dollar P&amp;L in Bear Case scenario</t>
        </r>
      </text>
    </comment>
    <comment ref="G41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G42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G43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G44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G45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G46" authorId="0">
      <text>
        <r>
          <rPr>
            <sz val="10"/>
            <rFont val="Arial"/>
            <family val="2"/>
          </rPr>
          <t xml:space="preserve">Why this trade? Link to Phase 1 Bear Case logic and IPS constraints. E.g. 'Reduce equity to cut β below 1.0 and limit drawdown exposure.'</t>
        </r>
      </text>
    </comment>
    <comment ref="I5" authorId="0">
      <text>
        <r>
          <rPr>
            <sz val="10"/>
            <rFont val="Arial"/>
            <family val="2"/>
          </rPr>
          <t xml:space="preserve">Risk aversion coefficient A from BKM / Phase 2 IPS. E.g. 4.0</t>
        </r>
      </text>
    </comment>
  </commentList>
</comments>
</file>

<file path=xl/sharedStrings.xml><?xml version="1.0" encoding="utf-8"?>
<sst xmlns="http://schemas.openxmlformats.org/spreadsheetml/2006/main" count="427" uniqueCount="155">
  <si>
    <t xml:space="preserve">BUS 331 — Phase 5: Stress Test &amp; Quantitative Audit</t>
  </si>
  <si>
    <t xml:space="preserve">Student Workbook  |  Endicott College  |  Institutional Portfolio Management Project</t>
  </si>
  <si>
    <t xml:space="preserve">  Overview — 5 Tabs</t>
  </si>
  <si>
    <t xml:space="preserve">This workbook has five tabs: START HERE, SUMMARY, Client 1, Client 2, Client 3.
Complete one client tab for each of your three assigned clients.
The SUMMARY tab auto-links key results from all three client tabs.</t>
  </si>
  <si>
    <t xml:space="preserve">  Before You Start</t>
  </si>
  <si>
    <t xml:space="preserve">You need three things from previous phases before opening a client tab:
• Phase 1: Your Bear Case scenario — E(R) and σ for each asset class
• Phase 2: Each client's IPS Tripwire (max drawdown limit) and max σ
• Phase 3 / 4: Each client's Solver-optimized portfolio weights, β, σ, and Sharpe Ratio</t>
  </si>
  <si>
    <t xml:space="preserve">  Section 1 — Bear Case Scenario Assumptions</t>
  </si>
  <si>
    <t xml:space="preserve">Enter your Phase 1 Bear Case expected returns and standard deviations for each asset class (equities, fixed income, cash). These MUST match your Phase 1 submission exactly — do not adjust them here. Cite your Phase 1 source in the rightmost column.</t>
  </si>
  <si>
    <t xml:space="preserve">  Section 2 — Base Case Portfolio</t>
  </si>
  <si>
    <t xml:space="preserve">Enter your Phase 3 Solver-optimized weights for each asset class. Also enter the Base Case E(R) for each class (from Phase 3 CME Matrix). Bear Case return contributions and dollar P&amp;L calculate automatically.</t>
  </si>
  <si>
    <t xml:space="preserve">  Section 3 — Risk Metrics</t>
  </si>
  <si>
    <t xml:space="preserve">Enter portfolio Beta and σ from Phase 3/4. Sharpe Ratio calculates automatically. Enter both Base Case and Bear Case values. Also enter the current Risk-Free Rate (Rf) from FRED series TB3MS.</t>
  </si>
  <si>
    <t xml:space="preserve">  Section 4 — Pass / Fail Verdict</t>
  </si>
  <si>
    <t xml:space="preserve">The workbook automatically compares your Bear Case portfolio return to the IPS Tripwire. GREEN = PASS: portfolio survives the Bear Case within the client's drawdown limit.
RED = FAIL: portfolio breaches the mandate — you must complete Section 5.</t>
  </si>
  <si>
    <t xml:space="preserve">  Section 5 — Re-allocation (FAIL only)</t>
  </si>
  <si>
    <t xml:space="preserve">If a client fails, document the specific trades in Part A: what was sold, what was bought, old and new weights, dollar impact, and rationale. Part B re-runs the Bear Case with the new weights. The revised verdict must be PASS before submitting.</t>
  </si>
  <si>
    <t xml:space="preserve">  Section 6 — Final Metrics Summary</t>
  </si>
  <si>
    <t xml:space="preserve">Enter the final metrics for submission: β, σ, Sharpe, Bear Case return, dollar P&amp;L, and mandate status. Use revised figures if you re-allocated in Section 5.</t>
  </si>
  <si>
    <t xml:space="preserve">  AI Audit Log Reminder</t>
  </si>
  <si>
    <t xml:space="preserve">If AI was used to suggest Bear Case return assumptions, re-allocation trades, or risk metrics — document the prompt and verification in your team's AI Audit Log. Every number must be traceable to Phase 1 (scenario assumptions), FactSet, FRED, or your own Excel model.</t>
  </si>
  <si>
    <t xml:space="preserve">  PRE-SUBMISSION CHECKLIST</t>
  </si>
  <si>
    <t xml:space="preserve">☐  Bear Case assumptions match Phase 1 Bear Case scenario table exactly</t>
  </si>
  <si>
    <t xml:space="preserve">☐  Portfolio weights sum to 100% in Section 2 (total cell is green)</t>
  </si>
  <si>
    <t xml:space="preserve">☐  Risk-Free Rate (Rf) entered in Section 3</t>
  </si>
  <si>
    <t xml:space="preserve">☐  Beta and σ entered for both Base Case and Bear Case</t>
  </si>
  <si>
    <t xml:space="preserve">☐  Section 4 verdict calculated for all three clients</t>
  </si>
  <si>
    <t xml:space="preserve">☐  Section 5 re-allocation completed for any client that failed</t>
  </si>
  <si>
    <t xml:space="preserve">☐  Revised verdict in Section 5 shows PASS for all re-allocated clients</t>
  </si>
  <si>
    <t xml:space="preserve">☐  Section 6 final metrics entered and reflect re-allocation if applicable</t>
  </si>
  <si>
    <t xml:space="preserve">☐  SUMMARY tab shows all three clients passing before team submits</t>
  </si>
  <si>
    <t xml:space="preserve">☐  AI Audit Log updated for any AI-assisted analysis</t>
  </si>
  <si>
    <t xml:space="preserve">Phase 5 — Stress Test Summary — All Clients</t>
  </si>
  <si>
    <t xml:space="preserve">BUS 331 Investments  |  Endicott College  |  Cross-client Comparison</t>
  </si>
  <si>
    <t xml:space="preserve">This tab auto-links key stress test results from each client tab. All three clients must PASS the Tripwire before the team submits Phase 5.</t>
  </si>
  <si>
    <t xml:space="preserve">Metric</t>
  </si>
  <si>
    <t xml:space="preserve">Client 1</t>
  </si>
  <si>
    <t xml:space="preserve">Client 2</t>
  </si>
  <si>
    <t xml:space="preserve">Client 3</t>
  </si>
  <si>
    <t xml:space="preserve">IPS Tripwire (max drawdown)</t>
  </si>
  <si>
    <t xml:space="preserve">Bear Case Portfolio Return</t>
  </si>
  <si>
    <t xml:space="preserve">Bear Case $ P&amp;L ($500K AUM)</t>
  </si>
  <si>
    <t xml:space="preserve">Section 4 Verdict (Pass/Fail)</t>
  </si>
  <si>
    <t xml:space="preserve">Portfolio Beta (β)</t>
  </si>
  <si>
    <t xml:space="preserve">Portfolio Std Dev (σ) — Base</t>
  </si>
  <si>
    <t xml:space="preserve">Sharpe Ratio — Base Case</t>
  </si>
  <si>
    <t xml:space="preserve">Re-allocation Required?</t>
  </si>
  <si>
    <t xml:space="preserve">Phase 5 — Stress Test &amp; Quantitative Audit  |  Client 1</t>
  </si>
  <si>
    <t xml:space="preserve">BUS 331 Investments  |  Endicott College  |  Apply Phase 1 Bear Case to the Phase 4 Portfolio</t>
  </si>
  <si>
    <t xml:space="preserve">Client Name / ID:</t>
  </si>
  <si>
    <t xml:space="preserve">AUM:</t>
  </si>
  <si>
    <t xml:space="preserve">IPS Max Drawdown (Tripwire):</t>
  </si>
  <si>
    <t xml:space="preserve">IPS Risk Score (A-value):</t>
  </si>
  <si>
    <t xml:space="preserve">(from Phase 2)</t>
  </si>
  <si>
    <t xml:space="preserve">  SECTION 1 — BEAR CASE SCENARIO ASSUMPTIONS  (from Phase 1)</t>
  </si>
  <si>
    <t xml:space="preserve">Enter your Phase 1 Bear Case return assumptions for each asset class. These must match your Phase 1 submission exactly — do not change them here. Source: your team's Phase 1 Bear Case scenario table.</t>
  </si>
  <si>
    <t xml:space="preserve">Asset Class</t>
  </si>
  <si>
    <t xml:space="preserve">Bear Case
E(R) Assumption</t>
  </si>
  <si>
    <t xml:space="preserve">Bear Case
Std Dev (σ)</t>
  </si>
  <si>
    <t xml:space="preserve">Source / Phase 1 Reference</t>
  </si>
  <si>
    <t xml:space="preserve">U.S. Equities</t>
  </si>
  <si>
    <t xml:space="preserve">Fixed Income</t>
  </si>
  <si>
    <t xml:space="preserve">Cash / Cash Equivalents</t>
  </si>
  <si>
    <t xml:space="preserve">  SECTION 2 — BASE CASE PORTFOLIO  (enter Phase 3 / Phase 4 Solver weights)</t>
  </si>
  <si>
    <t xml:space="preserve">Enter the optimized weights from your Phase 3 Solver output for this client. Weights must sum to 100%. The Base Case return and risk metrics auto-calculate.</t>
  </si>
  <si>
    <t xml:space="preserve">Weight
(Phase 3)</t>
  </si>
  <si>
    <t xml:space="preserve">$ Allocation
($500K AUM)</t>
  </si>
  <si>
    <t xml:space="preserve">Base Case
E(R) Contrib.</t>
  </si>
  <si>
    <t xml:space="preserve">Bear Case
Return Contrib.</t>
  </si>
  <si>
    <t xml:space="preserve">Bear Case
$ P&amp;L</t>
  </si>
  <si>
    <t xml:space="preserve">Notes</t>
  </si>
  <si>
    <t xml:space="preserve">IPS Check</t>
  </si>
  <si>
    <t xml:space="preserve">  PORTFOLIO TOTAL</t>
  </si>
  <si>
    <t xml:space="preserve">  ← Bear Case return must be ≥ IPS Tripwire (cell G5). See Section 3 verdict below.</t>
  </si>
  <si>
    <t xml:space="preserve">  SECTION 3 — RISK METRICS  (Base Case &amp; Bear Case)</t>
  </si>
  <si>
    <t xml:space="preserve">Enter portfolio risk metrics for BOTH the Base Case and Bear Case. Beta and σ come from your Phase 3 / Phase 4 work. Sharpe Ratio is calculated automatically using the formula below.</t>
  </si>
  <si>
    <t xml:space="preserve">Base Case
(Phase 3)</t>
  </si>
  <si>
    <t xml:space="preserve">Bear Case</t>
  </si>
  <si>
    <t xml:space="preserve">Formula / Source</t>
  </si>
  <si>
    <t xml:space="preserve">Interpretation</t>
  </si>
  <si>
    <t xml:space="preserve">Risk-Free Rate (Rf):</t>
  </si>
  <si>
    <t xml:space="preserve">Source: FRED TB3MS (3-Month Treasury Bill Secondary Market Rate)</t>
  </si>
  <si>
    <t xml:space="preserve">From Phase 4 Security Selection — weighted average beta of all holdings</t>
  </si>
  <si>
    <t xml:space="preserve">β &gt; 1.0 = amplifies market moves; β &lt; 1.0 = defensive; β ≈ 0 = market-neutral</t>
  </si>
  <si>
    <t xml:space="preserve">Portfolio Std Dev (σ)</t>
  </si>
  <si>
    <t xml:space="preserve">From Phase 3 CME Matrix Section 3 — portfolio σ from Solver output</t>
  </si>
  <si>
    <t xml:space="preserve">Higher σ = wider range of outcomes; must be ≤ IPS max σ from Phase 2</t>
  </si>
  <si>
    <t xml:space="preserve">Sharpe Ratio</t>
  </si>
  <si>
    <t xml:space="preserve">Sharpe = (Portfolio E(R) – Rf) ÷ Portfolio σ</t>
  </si>
  <si>
    <t xml:space="preserve">Higher = better risk-adjusted return; compare Base vs Bear to see deterioration</t>
  </si>
  <si>
    <t xml:space="preserve">Max Drawdown (Bear Case)</t>
  </si>
  <si>
    <t xml:space="preserve">N/A</t>
  </si>
  <si>
    <t xml:space="preserve">Total Bear Case Portfolio Return (Section 2 row 20)</t>
  </si>
  <si>
    <t xml:space="preserve">Must be ≥ IPS Tripwire (cell G5). This drives the Pass/Fail verdict.</t>
  </si>
  <si>
    <t xml:space="preserve">Value at Risk — 95% VaR</t>
  </si>
  <si>
    <t xml:space="preserve">E(R) – 1.645 × σ  (parametric, 1-year, 95% confidence)</t>
  </si>
  <si>
    <t xml:space="preserve">There is a 5% chance of loss worse than this. Compare to IPS Tripwire.</t>
  </si>
  <si>
    <t xml:space="preserve">  SECTION 4 — PASS / FAIL VERDICT</t>
  </si>
  <si>
    <t xml:space="preserve">Test</t>
  </si>
  <si>
    <t xml:space="preserve">IPS Limit
(Tripwire)</t>
  </si>
  <si>
    <t xml:space="preserve">Actual Result</t>
  </si>
  <si>
    <t xml:space="preserve">Margin</t>
  </si>
  <si>
    <t xml:space="preserve">Required Action</t>
  </si>
  <si>
    <t xml:space="preserve">Max Drawdown vs. Tripwire</t>
  </si>
  <si>
    <t xml:space="preserve">Portfolio σ vs. IPS Max σ</t>
  </si>
  <si>
    <t xml:space="preserve">If σ exceeds IPS limit, consider adding cash or fixed income to reduce volatility.</t>
  </si>
  <si>
    <t xml:space="preserve">  SECTION 5 — RE-ALLOCATION  (complete only if Section 4 verdict = FAIL)</t>
  </si>
  <si>
    <t xml:space="preserve">If the portfolio failed the Tripwire, document the specific trades made to bring it within mandate. Describe what was sold, what was bought, the new weights, and show the re-run stress test confirms the revised portfolio now PASSES.</t>
  </si>
  <si>
    <t xml:space="preserve">  Part A — Trade Log  (specific securities sold / bought)</t>
  </si>
  <si>
    <t xml:space="preserve">Action
(BUY / SELL)</t>
  </si>
  <si>
    <t xml:space="preserve">Security / Asset Class</t>
  </si>
  <si>
    <t xml:space="preserve">Old Weight</t>
  </si>
  <si>
    <t xml:space="preserve">New Weight</t>
  </si>
  <si>
    <t xml:space="preserve">$ Change</t>
  </si>
  <si>
    <t xml:space="preserve">Rationale</t>
  </si>
  <si>
    <t xml:space="preserve">  New Total Weight (must = 100%)</t>
  </si>
  <si>
    <t xml:space="preserve">← Must equal 100% after re-allocation</t>
  </si>
  <si>
    <t xml:space="preserve">  Part B — Revised Bear Case Return  (confirm portfolio now PASSES)</t>
  </si>
  <si>
    <t xml:space="preserve">Using your new weights from Part A, recalculate the Bear Case portfolio return. The result must be ≥ the IPS Tripwire. Show your calculation clearly.</t>
  </si>
  <si>
    <t xml:space="preserve">NEW Weight</t>
  </si>
  <si>
    <t xml:space="preserve">$ Allocation</t>
  </si>
  <si>
    <t xml:space="preserve">Bear Case E(R)</t>
  </si>
  <si>
    <t xml:space="preserve">Wtd Bear Contribution</t>
  </si>
  <si>
    <t xml:space="preserve">$ P&amp;L</t>
  </si>
  <si>
    <t xml:space="preserve">  REVISED TOTAL</t>
  </si>
  <si>
    <t xml:space="preserve">REVISED VERDICT:</t>
  </si>
  <si>
    <t xml:space="preserve">Revised Bear Case return must be ≥ IPS Tripwire (G5). If still failing, increase cash allocation or add a derivative hedge.</t>
  </si>
  <si>
    <t xml:space="preserve">  SECTION 6 — FINAL RISK METRICS SUMMARY  (for submission)</t>
  </si>
  <si>
    <t xml:space="preserve">These are the final numbers your team submits. If you re-allocated in Section 5, use the revised portfolio metrics here. If you passed in Section 4, carry forward the original Phase 3/4 metrics.</t>
  </si>
  <si>
    <t xml:space="preserve">Final Value</t>
  </si>
  <si>
    <t xml:space="preserve">Pass / Fail vs. IPS</t>
  </si>
  <si>
    <t xml:space="preserve">Source / Calculation</t>
  </si>
  <si>
    <t xml:space="preserve">Benchmark: 1.0 = market-level risk</t>
  </si>
  <si>
    <t xml:space="preserve">Weighted average β from Phase 4 Security Selection tab</t>
  </si>
  <si>
    <t xml:space="preserve">Must be ≤ IPS Max σ from Phase 2</t>
  </si>
  <si>
    <t xml:space="preserve">From Phase 3 CME Matrix Section 3 (Solver output)</t>
  </si>
  <si>
    <t xml:space="preserve">Sharpe Ratio (Base Case)</t>
  </si>
  <si>
    <t xml:space="preserve">Higher = better; compare to market Sharpe ≈ 0.4</t>
  </si>
  <si>
    <t xml:space="preserve">(Portfolio E(R) – Rf) ÷ σ; Rf from Section 3</t>
  </si>
  <si>
    <t xml:space="preserve">Must be ≥ IPS Tripwire</t>
  </si>
  <si>
    <t xml:space="preserve">From Section 2 total row (or Section 5 revised total if re-allocated)</t>
  </si>
  <si>
    <t xml:space="preserve">Bear Case $ P&amp;L</t>
  </si>
  <si>
    <t xml:space="preserve">Dollar impact on $500K AUM</t>
  </si>
  <si>
    <t xml:space="preserve">IPS Mandate Status</t>
  </si>
  <si>
    <t xml:space="preserve">Final verdict for this client</t>
  </si>
  <si>
    <t xml:space="preserve">PASS or FAIL — based on Section 4 (or Section 5 revised verdict)</t>
  </si>
  <si>
    <t xml:space="preserve">  LEGEND</t>
  </si>
  <si>
    <t xml:space="preserve">Sample</t>
  </si>
  <si>
    <t xml:space="preserve">Student Input — enter your data (blue text)</t>
  </si>
  <si>
    <t xml:space="preserve">Calculated Formula — do not edit (black text)</t>
  </si>
  <si>
    <t xml:space="preserve">Fixed Value (e.g. $500K AUM)</t>
  </si>
  <si>
    <t xml:space="preserve">✓ PASS — portfolio meets IPS mandate</t>
  </si>
  <si>
    <t xml:space="preserve">✗ FAIL — portfolio breaches IPS mandate; re-allocation required</t>
  </si>
  <si>
    <t xml:space="preserve">⚠ WARNING — metric approaching limit</t>
  </si>
  <si>
    <t xml:space="preserve">Phase 5 — Stress Test &amp; Quantitative Audit  |  Client 2</t>
  </si>
  <si>
    <t xml:space="preserve">Phase 5 — Stress Test &amp; Quantitative Audit  |  Client 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</si>
</sst>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\$#,##0;&quot;($&quot;#,##0\);\-"/>
    <numFmt numFmtId="167" formatCode="0.00"/>
    <numFmt numFmtId="168" formatCode="\$#,##0"/>
    <numFmt numFmtId="169" formatCode="0.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A6A7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333333"/>
      <name val="Arial"/>
      <family val="0"/>
      <charset val="1"/>
    </font>
    <font>
      <sz val="9"/>
      <color rgb="FF5A6A7E"/>
      <name val="Arial"/>
      <family val="0"/>
      <charset val="1"/>
    </font>
    <font>
      <b val="true"/>
      <sz val="10"/>
      <color rgb="FF0A1628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9"/>
      <color rgb="FF0A1628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5A6A7E"/>
      <name val="Arial"/>
      <family val="0"/>
      <charset val="1"/>
    </font>
    <font>
      <sz val="9"/>
      <color rgb="FF85640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333333"/>
      <name val="Arial"/>
      <family val="0"/>
      <charset val="1"/>
    </font>
    <font>
      <sz val="9"/>
      <color rgb="FF222222"/>
      <name val="Arial"/>
      <family val="0"/>
      <charset val="1"/>
    </font>
    <font>
      <sz val="9"/>
      <color rgb="FF721C24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A1628"/>
      <name val="Arial"/>
      <family val="0"/>
      <charset val="1"/>
    </font>
    <font>
      <sz val="9"/>
      <color rgb="FF155724"/>
      <name val="Arial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0A1628"/>
        <bgColor rgb="FF222222"/>
      </patternFill>
    </fill>
    <fill>
      <patternFill patternType="solid">
        <fgColor rgb="FFFFFFFF"/>
        <bgColor rgb="FFFFFDE7"/>
      </patternFill>
    </fill>
    <fill>
      <patternFill patternType="solid">
        <fgColor rgb="FFEBF3FA"/>
        <bgColor rgb="FFF4F7FB"/>
      </patternFill>
    </fill>
    <fill>
      <patternFill patternType="solid">
        <fgColor rgb="FFFFFDE7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6E4F0"/>
        <bgColor rgb="FFD4EDDA"/>
      </patternFill>
    </fill>
    <fill>
      <patternFill patternType="solid">
        <fgColor rgb="FFFFF3CD"/>
        <bgColor rgb="FFFFFDE7"/>
      </patternFill>
    </fill>
    <fill>
      <patternFill patternType="solid">
        <fgColor rgb="FFF4F7FB"/>
        <bgColor rgb="FFEBF3FA"/>
      </patternFill>
    </fill>
    <fill>
      <patternFill patternType="solid">
        <fgColor rgb="FFF8D7DA"/>
        <bgColor rgb="FFFFF3CD"/>
      </patternFill>
    </fill>
    <fill>
      <patternFill patternType="solid">
        <fgColor rgb="FFD4EDDA"/>
        <bgColor rgb="FFD6E4F0"/>
      </patternFill>
    </fill>
  </fills>
  <borders count="18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9A84C"/>
      </bottom>
      <diagonal/>
    </border>
    <border diagonalUp="false" diagonalDown="false">
      <left style="medium">
        <color rgb="FFC9A84C"/>
      </left>
      <right/>
      <top/>
      <bottom/>
      <diagonal/>
    </border>
    <border diagonalUp="false" diagonalDown="false">
      <left style="thin">
        <color rgb="FFCBD8E8"/>
      </left>
      <right/>
      <top style="thin">
        <color rgb="FFCBD8E8"/>
      </top>
      <bottom style="thin">
        <color rgb="FFCBD8E8"/>
      </bottom>
      <diagonal/>
    </border>
    <border diagonalUp="false" diagonalDown="false">
      <left style="medium">
        <color rgb="FFC9A84C"/>
      </left>
      <right/>
      <top/>
      <bottom style="medium">
        <color rgb="FFC9A84C"/>
      </bottom>
      <diagonal/>
    </border>
    <border diagonalUp="false" diagonalDown="false">
      <left/>
      <right/>
      <top style="medium">
        <color rgb="FFCBD8E8"/>
      </top>
      <bottom style="thin">
        <color rgb="FFCBD8E8"/>
      </bottom>
      <diagonal/>
    </border>
    <border diagonalUp="false" diagonalDown="false">
      <left style="thin">
        <color rgb="FF0A1628"/>
      </left>
      <right style="thin">
        <color rgb="FF0A1628"/>
      </right>
      <top style="thin">
        <color rgb="FF0A1628"/>
      </top>
      <bottom style="thin">
        <color rgb="FF0A1628"/>
      </bottom>
      <diagonal/>
    </border>
    <border diagonalUp="false" diagonalDown="false">
      <left style="medium">
        <color rgb="FFC9A84C"/>
      </left>
      <right style="thin">
        <color rgb="FFCBD8E8"/>
      </right>
      <top style="thin">
        <color rgb="FFCBD8E8"/>
      </top>
      <bottom style="thin">
        <color rgb="FFCBD8E8"/>
      </bottom>
      <diagonal/>
    </border>
    <border diagonalUp="false" diagonalDown="false">
      <left style="thin">
        <color rgb="FFC9A84C"/>
      </left>
      <right style="thin">
        <color rgb="FFC9A84C"/>
      </right>
      <top style="thin">
        <color rgb="FFC9A84C"/>
      </top>
      <bottom style="thin">
        <color rgb="FFC9A84C"/>
      </bottom>
      <diagonal/>
    </border>
    <border diagonalUp="false" diagonalDown="false">
      <left/>
      <right/>
      <top style="medium">
        <color rgb="FFC9A84C"/>
      </top>
      <bottom style="medium">
        <color rgb="FFC9A84C"/>
      </bottom>
      <diagonal/>
    </border>
    <border diagonalUp="false" diagonalDown="false">
      <left style="thin">
        <color rgb="FFCBD8E8"/>
      </left>
      <right style="thin">
        <color rgb="FFCBD8E8"/>
      </right>
      <top style="thin">
        <color rgb="FFCBD8E8"/>
      </top>
      <bottom style="thin">
        <color rgb="FFCBD8E8"/>
      </bottom>
      <diagonal/>
    </border>
    <border diagonalUp="false" diagonalDown="false">
      <left/>
      <right/>
      <top style="medium">
        <color rgb="FFC9A84C"/>
      </top>
      <bottom style="thin">
        <color rgb="FFC9A84C"/>
      </bottom>
      <diagonal/>
    </border>
    <border diagonalUp="false" diagonalDown="false">
      <left style="thin">
        <color rgb="FFC9A84C"/>
      </left>
      <right/>
      <top style="thin">
        <color rgb="FFC9A84C"/>
      </top>
      <bottom style="thin">
        <color rgb="FFC9A84C"/>
      </bottom>
      <diagonal/>
    </border>
    <border diagonalUp="false" diagonalDown="false">
      <left style="thin">
        <color rgb="FF0A1628"/>
      </left>
      <right/>
      <top style="thin">
        <color rgb="FF0A1628"/>
      </top>
      <bottom style="thin">
        <color rgb="FF0A1628"/>
      </bottom>
      <diagonal/>
    </border>
    <border diagonalUp="false" diagonalDown="false">
      <left style="medium">
        <color rgb="FFC0392B"/>
      </left>
      <right/>
      <top/>
      <bottom/>
      <diagonal/>
    </border>
    <border diagonalUp="false" diagonalDown="false">
      <left/>
      <right/>
      <top style="medium">
        <color rgb="FFC0392B"/>
      </top>
      <bottom style="thin">
        <color rgb="FFC0392B"/>
      </bottom>
      <diagonal/>
    </border>
    <border diagonalUp="false" diagonalDown="false">
      <left style="medium">
        <color rgb="FFC9A84C"/>
      </left>
      <right/>
      <top/>
      <bottom style="thin">
        <color rgb="FF0A1628"/>
      </bottom>
      <diagonal/>
    </border>
    <border diagonalUp="false" diagonalDown="false">
      <left/>
      <right/>
      <top style="medium">
        <color rgb="FFC9A84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4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8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6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9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8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0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2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1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b val="1"/>
        <color rgb="FF155724"/>
      </font>
      <fill>
        <patternFill>
          <bgColor rgb="FFD4EDDA"/>
        </patternFill>
      </fill>
    </dxf>
    <dxf>
      <font>
        <name val="Arial"/>
        <charset val="1"/>
        <family val="0"/>
        <b val="1"/>
        <color rgb="FF721C24"/>
      </font>
      <fill>
        <patternFill>
          <bgColor rgb="FFF8D7DA"/>
        </patternFill>
      </fill>
    </dxf>
    <dxf>
      <fill>
        <patternFill>
          <bgColor rgb="FF1E8449"/>
        </patternFill>
      </fill>
    </dxf>
    <dxf>
      <fill>
        <patternFill>
          <bgColor rgb="FFC0392B"/>
        </patternFill>
      </fill>
    </dxf>
    <dxf>
      <font>
        <name val="Arial"/>
        <charset val="1"/>
        <family val="0"/>
        <b val="1"/>
        <color rgb="FF1E8449"/>
        <sz val="11"/>
      </font>
      <fill>
        <patternFill>
          <bgColor rgb="FFD4EDDA"/>
        </patternFill>
      </fill>
    </dxf>
    <dxf>
      <font>
        <name val="Arial"/>
        <charset val="1"/>
        <family val="0"/>
        <b val="1"/>
        <color rgb="FFC0392B"/>
        <sz val="11"/>
      </font>
      <fill>
        <patternFill>
          <bgColor rgb="FFF8D7DA"/>
        </patternFill>
      </fill>
    </dxf>
    <dxf>
      <font>
        <name val="Arial"/>
        <charset val="1"/>
        <family val="0"/>
        <b val="1"/>
        <color rgb="FF856404"/>
        <sz val="11"/>
      </font>
      <fill>
        <patternFill>
          <bgColor rgb="FFFFF3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21C24"/>
      <rgbColor rgb="FF008000"/>
      <rgbColor rgb="FF000080"/>
      <rgbColor rgb="FF856404"/>
      <rgbColor rgb="FF800080"/>
      <rgbColor rgb="FF008080"/>
      <rgbColor rgb="FFF4F7FB"/>
      <rgbColor rgb="FF808080"/>
      <rgbColor rgb="FF9999FF"/>
      <rgbColor rgb="FFC0392B"/>
      <rgbColor rgb="FFFFFDE7"/>
      <rgbColor rgb="FFEBF3FA"/>
      <rgbColor rgb="FF660066"/>
      <rgbColor rgb="FFFF8080"/>
      <rgbColor rgb="FF0066CC"/>
      <rgbColor rgb="FFCBD8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4EDDA"/>
      <rgbColor rgb="FFFFF3CD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A6A7E"/>
      <rgbColor rgb="FFC9A84C"/>
      <rgbColor rgb="FF155724"/>
      <rgbColor rgb="FF1E8449"/>
      <rgbColor rgb="FF0A1628"/>
      <rgbColor rgb="FF222222"/>
      <rgbColor rgb="FF8B1A1A"/>
      <rgbColor rgb="FF993366"/>
      <rgbColor rgb="FF1A3A8B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1628"/>
    <pageSetUpPr fitToPage="false"/>
  </sheetPr>
  <dimension ref="A1:C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6"/>
    <col collapsed="false" customWidth="true" hidden="false" outlineLevel="0" max="3" min="3" style="1" width="58"/>
    <col collapsed="false" customWidth="true" hidden="false" outlineLevel="0" max="4" min="4" style="1" width="2"/>
  </cols>
  <sheetData>
    <row r="1" customFormat="false" ht="6" hidden="false" customHeight="true" outlineLevel="0" collapsed="false"/>
    <row r="2" customFormat="false" ht="37.5" hidden="false" customHeight="true" outlineLevel="0" collapsed="false">
      <c r="A2" s="2" t="s">
        <v>0</v>
      </c>
      <c r="B2" s="2"/>
      <c r="C2" s="2"/>
    </row>
    <row r="3" customFormat="false" ht="18" hidden="false" customHeight="true" outlineLevel="0" collapsed="false">
      <c r="A3" s="3" t="s">
        <v>1</v>
      </c>
      <c r="B3" s="3"/>
      <c r="C3" s="3"/>
    </row>
    <row r="4" customFormat="false" ht="7.5" hidden="false" customHeight="true" outlineLevel="0" collapsed="false"/>
    <row r="5" customFormat="false" ht="19.5" hidden="false" customHeight="true" outlineLevel="0" collapsed="false">
      <c r="B5" s="4" t="s">
        <v>2</v>
      </c>
    </row>
    <row r="6" customFormat="false" ht="51.75" hidden="false" customHeight="true" outlineLevel="0" collapsed="false">
      <c r="B6" s="5" t="s">
        <v>3</v>
      </c>
      <c r="C6" s="5"/>
    </row>
    <row r="7" customFormat="false" ht="7.5" hidden="false" customHeight="true" outlineLevel="0" collapsed="false"/>
    <row r="8" customFormat="false" ht="19.5" hidden="false" customHeight="true" outlineLevel="0" collapsed="false">
      <c r="B8" s="4" t="s">
        <v>4</v>
      </c>
    </row>
    <row r="9" customFormat="false" ht="51.75" hidden="false" customHeight="true" outlineLevel="0" collapsed="false">
      <c r="B9" s="5" t="s">
        <v>5</v>
      </c>
      <c r="C9" s="5"/>
    </row>
    <row r="10" customFormat="false" ht="7.5" hidden="false" customHeight="true" outlineLevel="0" collapsed="false"/>
    <row r="11" customFormat="false" ht="19.5" hidden="false" customHeight="true" outlineLevel="0" collapsed="false">
      <c r="B11" s="4" t="s">
        <v>6</v>
      </c>
    </row>
    <row r="12" customFormat="false" ht="51.75" hidden="false" customHeight="true" outlineLevel="0" collapsed="false">
      <c r="B12" s="5" t="s">
        <v>7</v>
      </c>
      <c r="C12" s="5"/>
    </row>
    <row r="13" customFormat="false" ht="7.5" hidden="false" customHeight="true" outlineLevel="0" collapsed="false"/>
    <row r="14" customFormat="false" ht="19.5" hidden="false" customHeight="true" outlineLevel="0" collapsed="false">
      <c r="B14" s="4" t="s">
        <v>8</v>
      </c>
    </row>
    <row r="15" customFormat="false" ht="51.75" hidden="false" customHeight="true" outlineLevel="0" collapsed="false">
      <c r="B15" s="5" t="s">
        <v>9</v>
      </c>
      <c r="C15" s="5"/>
    </row>
    <row r="16" customFormat="false" ht="7.5" hidden="false" customHeight="true" outlineLevel="0" collapsed="false"/>
    <row r="17" customFormat="false" ht="19.5" hidden="false" customHeight="true" outlineLevel="0" collapsed="false">
      <c r="B17" s="4" t="s">
        <v>10</v>
      </c>
    </row>
    <row r="18" customFormat="false" ht="51.75" hidden="false" customHeight="true" outlineLevel="0" collapsed="false">
      <c r="B18" s="5" t="s">
        <v>11</v>
      </c>
      <c r="C18" s="5"/>
    </row>
    <row r="19" customFormat="false" ht="7.5" hidden="false" customHeight="true" outlineLevel="0" collapsed="false"/>
    <row r="20" customFormat="false" ht="19.5" hidden="false" customHeight="true" outlineLevel="0" collapsed="false">
      <c r="B20" s="4" t="s">
        <v>12</v>
      </c>
    </row>
    <row r="21" customFormat="false" ht="51.75" hidden="false" customHeight="true" outlineLevel="0" collapsed="false">
      <c r="B21" s="5" t="s">
        <v>13</v>
      </c>
      <c r="C21" s="5"/>
    </row>
    <row r="22" customFormat="false" ht="7.5" hidden="false" customHeight="true" outlineLevel="0" collapsed="false"/>
    <row r="23" customFormat="false" ht="19.5" hidden="false" customHeight="true" outlineLevel="0" collapsed="false">
      <c r="B23" s="4" t="s">
        <v>14</v>
      </c>
    </row>
    <row r="24" customFormat="false" ht="51.75" hidden="false" customHeight="true" outlineLevel="0" collapsed="false">
      <c r="B24" s="5" t="s">
        <v>15</v>
      </c>
      <c r="C24" s="5"/>
    </row>
    <row r="25" customFormat="false" ht="7.5" hidden="false" customHeight="true" outlineLevel="0" collapsed="false"/>
    <row r="26" customFormat="false" ht="19.5" hidden="false" customHeight="true" outlineLevel="0" collapsed="false">
      <c r="B26" s="4" t="s">
        <v>16</v>
      </c>
    </row>
    <row r="27" customFormat="false" ht="51.75" hidden="false" customHeight="true" outlineLevel="0" collapsed="false">
      <c r="B27" s="5" t="s">
        <v>17</v>
      </c>
      <c r="C27" s="5"/>
    </row>
    <row r="28" customFormat="false" ht="7.5" hidden="false" customHeight="true" outlineLevel="0" collapsed="false"/>
    <row r="29" customFormat="false" ht="19.5" hidden="false" customHeight="true" outlineLevel="0" collapsed="false">
      <c r="B29" s="4" t="s">
        <v>18</v>
      </c>
    </row>
    <row r="30" customFormat="false" ht="51.75" hidden="false" customHeight="true" outlineLevel="0" collapsed="false">
      <c r="B30" s="5" t="s">
        <v>19</v>
      </c>
      <c r="C30" s="5"/>
    </row>
    <row r="32" customFormat="false" ht="19.5" hidden="false" customHeight="true" outlineLevel="0" collapsed="false">
      <c r="B32" s="6" t="s">
        <v>20</v>
      </c>
    </row>
    <row r="33" customFormat="false" ht="18" hidden="false" customHeight="true" outlineLevel="0" collapsed="false">
      <c r="B33" s="7" t="s">
        <v>21</v>
      </c>
      <c r="C33" s="7"/>
    </row>
    <row r="34" customFormat="false" ht="18" hidden="false" customHeight="true" outlineLevel="0" collapsed="false">
      <c r="B34" s="7" t="s">
        <v>22</v>
      </c>
      <c r="C34" s="7"/>
    </row>
    <row r="35" customFormat="false" ht="18" hidden="false" customHeight="true" outlineLevel="0" collapsed="false">
      <c r="B35" s="7" t="s">
        <v>23</v>
      </c>
      <c r="C35" s="7"/>
    </row>
    <row r="36" customFormat="false" ht="18" hidden="false" customHeight="true" outlineLevel="0" collapsed="false">
      <c r="B36" s="7" t="s">
        <v>24</v>
      </c>
      <c r="C36" s="7"/>
    </row>
    <row r="37" customFormat="false" ht="18" hidden="false" customHeight="true" outlineLevel="0" collapsed="false">
      <c r="B37" s="7" t="s">
        <v>25</v>
      </c>
      <c r="C37" s="7"/>
    </row>
    <row r="38" customFormat="false" ht="18" hidden="false" customHeight="true" outlineLevel="0" collapsed="false">
      <c r="B38" s="7" t="s">
        <v>26</v>
      </c>
      <c r="C38" s="7"/>
    </row>
    <row r="39" customFormat="false" ht="18" hidden="false" customHeight="true" outlineLevel="0" collapsed="false">
      <c r="B39" s="7" t="s">
        <v>27</v>
      </c>
      <c r="C39" s="7"/>
    </row>
    <row r="40" customFormat="false" ht="18" hidden="false" customHeight="true" outlineLevel="0" collapsed="false">
      <c r="B40" s="7" t="s">
        <v>28</v>
      </c>
      <c r="C40" s="7"/>
    </row>
    <row r="41" customFormat="false" ht="18" hidden="false" customHeight="true" outlineLevel="0" collapsed="false">
      <c r="B41" s="7" t="s">
        <v>29</v>
      </c>
      <c r="C41" s="7"/>
    </row>
    <row r="42" customFormat="false" ht="18" hidden="false" customHeight="true" outlineLevel="0" collapsed="false">
      <c r="B42" s="7" t="s">
        <v>30</v>
      </c>
      <c r="C42" s="7"/>
    </row>
  </sheetData>
  <mergeCells count="21">
    <mergeCell ref="A2:C2"/>
    <mergeCell ref="A3:C3"/>
    <mergeCell ref="B6:C6"/>
    <mergeCell ref="B9:C9"/>
    <mergeCell ref="B12:C12"/>
    <mergeCell ref="B15:C15"/>
    <mergeCell ref="B18:C18"/>
    <mergeCell ref="B21:C21"/>
    <mergeCell ref="B24:C24"/>
    <mergeCell ref="B27:C27"/>
    <mergeCell ref="B30:C30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2"/>
    <col collapsed="false" customWidth="true" hidden="false" outlineLevel="0" max="5" min="3" style="1" width="18"/>
    <col collapsed="false" customWidth="true" hidden="false" outlineLevel="0" max="6" min="6" style="1" width="2"/>
  </cols>
  <sheetData>
    <row r="1" customFormat="false" ht="6" hidden="false" customHeight="true" outlineLevel="0" collapsed="false"/>
    <row r="2" customFormat="false" ht="37.5" hidden="false" customHeight="true" outlineLevel="0" collapsed="false">
      <c r="A2" s="2" t="s">
        <v>31</v>
      </c>
      <c r="B2" s="2"/>
      <c r="C2" s="2"/>
      <c r="D2" s="2"/>
      <c r="E2" s="2"/>
      <c r="F2" s="2"/>
    </row>
    <row r="3" customFormat="false" ht="18" hidden="false" customHeight="true" outlineLevel="0" collapsed="false">
      <c r="A3" s="3" t="s">
        <v>32</v>
      </c>
      <c r="B3" s="3"/>
      <c r="C3" s="3"/>
      <c r="D3" s="3"/>
      <c r="E3" s="3"/>
      <c r="F3" s="3"/>
    </row>
    <row r="4" customFormat="false" ht="31.5" hidden="false" customHeight="true" outlineLevel="0" collapsed="false">
      <c r="A4" s="8" t="s">
        <v>33</v>
      </c>
      <c r="B4" s="8"/>
      <c r="C4" s="8"/>
      <c r="D4" s="8"/>
      <c r="E4" s="8"/>
      <c r="F4" s="8"/>
    </row>
    <row r="5" customFormat="false" ht="7.5" hidden="false" customHeight="true" outlineLevel="0" collapsed="false"/>
    <row r="6" customFormat="false" ht="30" hidden="false" customHeight="true" outlineLevel="0" collapsed="false">
      <c r="B6" s="9" t="s">
        <v>34</v>
      </c>
      <c r="C6" s="9" t="s">
        <v>35</v>
      </c>
      <c r="D6" s="9" t="s">
        <v>36</v>
      </c>
      <c r="E6" s="9" t="s">
        <v>37</v>
      </c>
    </row>
    <row r="7" customFormat="false" ht="25.5" hidden="false" customHeight="true" outlineLevel="0" collapsed="false">
      <c r="B7" s="10" t="s">
        <v>38</v>
      </c>
      <c r="C7" s="11" t="n">
        <f aca="false">'Client 1'!G5</f>
        <v>0</v>
      </c>
      <c r="D7" s="11" t="n">
        <f aca="false">'Client 2'!G5</f>
        <v>0</v>
      </c>
      <c r="E7" s="11" t="n">
        <f aca="false">'Client 3'!G5</f>
        <v>0</v>
      </c>
    </row>
    <row r="8" customFormat="false" ht="25.5" hidden="false" customHeight="true" outlineLevel="0" collapsed="false">
      <c r="B8" s="12" t="s">
        <v>39</v>
      </c>
      <c r="C8" s="11" t="n">
        <f aca="false">'Client 1'!F20</f>
        <v>0</v>
      </c>
      <c r="D8" s="11" t="n">
        <f aca="false">'Client 2'!F20</f>
        <v>0</v>
      </c>
      <c r="E8" s="11" t="n">
        <f aca="false">'Client 3'!F20</f>
        <v>0</v>
      </c>
    </row>
    <row r="9" customFormat="false" ht="25.5" hidden="false" customHeight="true" outlineLevel="0" collapsed="false">
      <c r="B9" s="10" t="s">
        <v>40</v>
      </c>
      <c r="C9" s="13" t="n">
        <f aca="false">'Client 1'!G20</f>
        <v>0</v>
      </c>
      <c r="D9" s="13" t="n">
        <f aca="false">'Client 2'!G20</f>
        <v>0</v>
      </c>
      <c r="E9" s="13" t="n">
        <f aca="false">'Client 3'!G20</f>
        <v>0</v>
      </c>
    </row>
    <row r="10" customFormat="false" ht="25.5" hidden="false" customHeight="true" outlineLevel="0" collapsed="false">
      <c r="B10" s="12" t="s">
        <v>41</v>
      </c>
      <c r="C10" s="14" t="str">
        <f aca="false">'Client 1'!F34</f>
        <v>✓ PASS</v>
      </c>
      <c r="D10" s="14" t="str">
        <f aca="false">'Client 2'!F34</f>
        <v>✓ PASS</v>
      </c>
      <c r="E10" s="14" t="str">
        <f aca="false">'Client 3'!F34</f>
        <v>✓ PASS</v>
      </c>
    </row>
    <row r="11" customFormat="false" ht="25.5" hidden="false" customHeight="true" outlineLevel="0" collapsed="false">
      <c r="B11" s="10" t="s">
        <v>42</v>
      </c>
      <c r="C11" s="15" t="n">
        <f aca="false">'Client 1'!C26</f>
        <v>0</v>
      </c>
      <c r="D11" s="15" t="n">
        <f aca="false">'Client 2'!C26</f>
        <v>0</v>
      </c>
      <c r="E11" s="15" t="n">
        <f aca="false">'Client 3'!C26</f>
        <v>0</v>
      </c>
    </row>
    <row r="12" customFormat="false" ht="25.5" hidden="false" customHeight="true" outlineLevel="0" collapsed="false">
      <c r="B12" s="12" t="s">
        <v>43</v>
      </c>
      <c r="C12" s="11" t="n">
        <f aca="false">'Client 1'!C27</f>
        <v>0</v>
      </c>
      <c r="D12" s="11" t="n">
        <f aca="false">'Client 2'!C27</f>
        <v>0</v>
      </c>
      <c r="E12" s="11" t="n">
        <f aca="false">'Client 3'!C27</f>
        <v>0</v>
      </c>
    </row>
    <row r="13" customFormat="false" ht="25.5" hidden="false" customHeight="true" outlineLevel="0" collapsed="false">
      <c r="B13" s="10" t="s">
        <v>44</v>
      </c>
      <c r="C13" s="15" t="str">
        <f aca="false">'Client 1'!C28</f>
        <v/>
      </c>
      <c r="D13" s="15" t="str">
        <f aca="false">'Client 2'!C28</f>
        <v/>
      </c>
      <c r="E13" s="15" t="str">
        <f aca="false">'Client 3'!C28</f>
        <v/>
      </c>
    </row>
    <row r="14" customFormat="false" ht="25.5" hidden="false" customHeight="true" outlineLevel="0" collapsed="false">
      <c r="B14" s="12" t="s">
        <v>45</v>
      </c>
      <c r="C14" s="14" t="str">
        <f aca="false">IF('Client 1'!F34="","",IF('Client 1'!F34="✓ PASS","NO","YES"))</f>
        <v>NO</v>
      </c>
      <c r="D14" s="14" t="str">
        <f aca="false">IF('Client 2'!F34="","",IF('Client 2'!F34="✓ PASS","NO","YES"))</f>
        <v>NO</v>
      </c>
      <c r="E14" s="14" t="str">
        <f aca="false">IF('Client 3'!F34="","",IF('Client 3'!F34="✓ PASS","NO","YES"))</f>
        <v>NO</v>
      </c>
    </row>
    <row r="16" customFormat="false" ht="7.5" hidden="false" customHeight="true" outlineLevel="0" collapsed="false"/>
    <row r="17" customFormat="false" ht="30" hidden="false" customHeight="true" outlineLevel="0" collapsed="false">
      <c r="A17" s="16" t="str">
        <f aca="false">IF(AND('Client 1'!F34="✓ PASS",'Client 2'!F34="✓ PASS",'Client 3'!F34="✓ PASS"),"  ✓ ALL THREE CLIENTS PASS — Team is cleared to proceed to Phase 6","  ✗ ONE OR MORE CLIENTS FAILING — Complete Section 5 re-allocation before submitting")</f>
        <v>  ✓ ALL THREE CLIENTS PASS — Team is cleared to proceed to Phase 6</v>
      </c>
      <c r="B17" s="16"/>
      <c r="C17" s="16"/>
      <c r="D17" s="16"/>
      <c r="E17" s="16"/>
      <c r="F17" s="16"/>
    </row>
  </sheetData>
  <mergeCells count="4">
    <mergeCell ref="A2:F2"/>
    <mergeCell ref="A3:F3"/>
    <mergeCell ref="A4:F4"/>
    <mergeCell ref="A17:F17"/>
  </mergeCells>
  <conditionalFormatting sqref="C8">
    <cfRule type="expression" priority="2" aboveAverage="0" equalAverage="0" bottom="0" percent="0" rank="0" text="" dxfId="0">
      <formula>C8&gt;='Client 1'!G5</formula>
    </cfRule>
    <cfRule type="expression" priority="3" aboveAverage="0" equalAverage="0" bottom="0" percent="0" rank="0" text="" dxfId="1">
      <formula>AND(C8&lt;&gt;"",C8&lt;'Client 1'!G5)</formula>
    </cfRule>
  </conditionalFormatting>
  <conditionalFormatting sqref="D8">
    <cfRule type="expression" priority="4" aboveAverage="0" equalAverage="0" bottom="0" percent="0" rank="0" text="" dxfId="0">
      <formula>D8&gt;='Client 2'!G5</formula>
    </cfRule>
    <cfRule type="expression" priority="5" aboveAverage="0" equalAverage="0" bottom="0" percent="0" rank="0" text="" dxfId="1">
      <formula>AND(D8&lt;&gt;"",D8&lt;'Client 2'!G5)</formula>
    </cfRule>
  </conditionalFormatting>
  <conditionalFormatting sqref="E8">
    <cfRule type="expression" priority="6" aboveAverage="0" equalAverage="0" bottom="0" percent="0" rank="0" text="" dxfId="0">
      <formula>E8&gt;='Client 3'!G5</formula>
    </cfRule>
    <cfRule type="expression" priority="7" aboveAverage="0" equalAverage="0" bottom="0" percent="0" rank="0" text="" dxfId="1">
      <formula>AND(E8&lt;&gt;"",E8&lt;'Client 3'!G5)</formula>
    </cfRule>
  </conditionalFormatting>
  <conditionalFormatting sqref="C10">
    <cfRule type="expression" priority="8" aboveAverage="0" equalAverage="0" bottom="0" percent="0" rank="0" text="" dxfId="0">
      <formula>OR(C10="✓ PASS",C10="NO")</formula>
    </cfRule>
    <cfRule type="expression" priority="9" aboveAverage="0" equalAverage="0" bottom="0" percent="0" rank="0" text="" dxfId="1">
      <formula>OR(C10="✗ FAIL — RE-ALLOCATE",C10="YES")</formula>
    </cfRule>
  </conditionalFormatting>
  <conditionalFormatting sqref="D10">
    <cfRule type="expression" priority="10" aboveAverage="0" equalAverage="0" bottom="0" percent="0" rank="0" text="" dxfId="0">
      <formula>OR(D10="✓ PASS",D10="NO")</formula>
    </cfRule>
    <cfRule type="expression" priority="11" aboveAverage="0" equalAverage="0" bottom="0" percent="0" rank="0" text="" dxfId="1">
      <formula>OR(D10="✗ FAIL — RE-ALLOCATE",D10="YES")</formula>
    </cfRule>
  </conditionalFormatting>
  <conditionalFormatting sqref="E10">
    <cfRule type="expression" priority="12" aboveAverage="0" equalAverage="0" bottom="0" percent="0" rank="0" text="" dxfId="0">
      <formula>OR(E10="✓ PASS",E10="NO")</formula>
    </cfRule>
    <cfRule type="expression" priority="13" aboveAverage="0" equalAverage="0" bottom="0" percent="0" rank="0" text="" dxfId="1">
      <formula>OR(E10="✗ FAIL — RE-ALLOCATE",E10="YES")</formula>
    </cfRule>
  </conditionalFormatting>
  <conditionalFormatting sqref="C14">
    <cfRule type="expression" priority="14" aboveAverage="0" equalAverage="0" bottom="0" percent="0" rank="0" text="" dxfId="0">
      <formula>OR(C14="✓ PASS",C14="NO")</formula>
    </cfRule>
    <cfRule type="expression" priority="15" aboveAverage="0" equalAverage="0" bottom="0" percent="0" rank="0" text="" dxfId="1">
      <formula>OR(C14="✗ FAIL — RE-ALLOCATE",C14="YES")</formula>
    </cfRule>
  </conditionalFormatting>
  <conditionalFormatting sqref="D14">
    <cfRule type="expression" priority="16" aboveAverage="0" equalAverage="0" bottom="0" percent="0" rank="0" text="" dxfId="0">
      <formula>OR(D14="✓ PASS",D14="NO")</formula>
    </cfRule>
    <cfRule type="expression" priority="17" aboveAverage="0" equalAverage="0" bottom="0" percent="0" rank="0" text="" dxfId="1">
      <formula>OR(D14="✗ FAIL — RE-ALLOCATE",D14="YES")</formula>
    </cfRule>
  </conditionalFormatting>
  <conditionalFormatting sqref="E14">
    <cfRule type="expression" priority="18" aboveAverage="0" equalAverage="0" bottom="0" percent="0" rank="0" text="" dxfId="0">
      <formula>OR(E14="✓ PASS",E14="NO")</formula>
    </cfRule>
    <cfRule type="expression" priority="19" aboveAverage="0" equalAverage="0" bottom="0" percent="0" rank="0" text="" dxfId="1">
      <formula>OR(E14="✗ FAIL — RE-ALLOCATE",E14="YES")</formula>
    </cfRule>
  </conditionalFormatting>
  <conditionalFormatting sqref="A17">
    <cfRule type="expression" priority="20" aboveAverage="0" equalAverage="0" bottom="0" percent="0" rank="0" text="" dxfId="2">
      <formula>AND('Client 1'!F34="✓ PASS",'Client 2'!F34="✓ PASS",'Client 3'!F34="✓ PASS")</formula>
    </cfRule>
    <cfRule type="expression" priority="21" aboveAverage="0" equalAverage="0" bottom="0" percent="0" rank="0" text="" dxfId="3">
      <formula>NOT(AND('Client 1'!F34="✓ PASS",'Client 2'!F34="✓ PASS",'Client 3'!F34="✓ PASS"))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8449"/>
    <pageSetUpPr fitToPage="false"/>
  </sheetPr>
  <dimension ref="A1:K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13"/>
    <col collapsed="false" customWidth="true" hidden="false" outlineLevel="0" max="7" min="4" style="1" width="16"/>
    <col collapsed="false" customWidth="true" hidden="false" outlineLevel="0" max="8" min="8" style="1" width="28"/>
    <col collapsed="false" customWidth="true" hidden="false" outlineLevel="0" max="10" min="9" style="1" width="14"/>
    <col collapsed="false" customWidth="true" hidden="false" outlineLevel="0" max="11" min="11" style="1" width="2"/>
  </cols>
  <sheetData>
    <row r="1" customFormat="false" ht="6" hidden="false" customHeight="true" outlineLevel="0" collapsed="false"/>
    <row r="2" customFormat="false" ht="37.5" hidden="false" customHeight="true" outlineLevel="0" collapsed="false">
      <c r="A2" s="2" t="s">
        <v>46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8" hidden="false" customHeight="true" outlineLevel="0" collapsed="false">
      <c r="A3" s="3" t="s">
        <v>47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6" hidden="false" customHeight="true" outlineLevel="0" collapsed="false"/>
    <row r="5" customFormat="false" ht="21.75" hidden="false" customHeight="true" outlineLevel="0" collapsed="false">
      <c r="B5" s="17" t="s">
        <v>48</v>
      </c>
      <c r="C5" s="18"/>
      <c r="D5" s="17" t="s">
        <v>49</v>
      </c>
      <c r="E5" s="19" t="n">
        <v>500000</v>
      </c>
      <c r="F5" s="20" t="s">
        <v>50</v>
      </c>
      <c r="G5" s="21"/>
      <c r="H5" s="17" t="s">
        <v>51</v>
      </c>
      <c r="I5" s="22"/>
      <c r="J5" s="23" t="s">
        <v>52</v>
      </c>
    </row>
    <row r="6" customFormat="false" ht="6" hidden="false" customHeight="true" outlineLevel="0" collapsed="false"/>
    <row r="7" customFormat="false" ht="19.5" hidden="false" customHeight="true" outlineLevel="0" collapsed="false">
      <c r="A7" s="4" t="s">
        <v>53</v>
      </c>
      <c r="B7" s="4"/>
      <c r="C7" s="4"/>
      <c r="D7" s="4"/>
      <c r="E7" s="4"/>
      <c r="F7" s="4"/>
      <c r="G7" s="4"/>
      <c r="H7" s="4"/>
      <c r="I7" s="4"/>
      <c r="J7" s="4"/>
      <c r="K7" s="4"/>
    </row>
    <row r="8" customFormat="false" ht="31.5" hidden="false" customHeight="true" outlineLevel="0" collapsed="false">
      <c r="A8" s="24" t="s">
        <v>54</v>
      </c>
      <c r="B8" s="24"/>
      <c r="C8" s="24"/>
      <c r="D8" s="24"/>
      <c r="E8" s="24"/>
      <c r="F8" s="24"/>
      <c r="G8" s="24"/>
      <c r="H8" s="24"/>
      <c r="I8" s="24"/>
      <c r="J8" s="24"/>
      <c r="K8" s="24"/>
    </row>
    <row r="9" customFormat="false" ht="30" hidden="false" customHeight="true" outlineLevel="0" collapsed="false">
      <c r="B9" s="25" t="s">
        <v>55</v>
      </c>
      <c r="C9" s="25" t="s">
        <v>56</v>
      </c>
      <c r="D9" s="25" t="s">
        <v>57</v>
      </c>
      <c r="E9" s="26" t="s">
        <v>58</v>
      </c>
      <c r="F9" s="26"/>
      <c r="G9" s="26"/>
      <c r="H9" s="26"/>
      <c r="I9" s="26"/>
      <c r="J9" s="26"/>
      <c r="K9" s="26"/>
    </row>
    <row r="10" customFormat="false" ht="21.75" hidden="false" customHeight="true" outlineLevel="0" collapsed="false">
      <c r="B10" s="27" t="s">
        <v>59</v>
      </c>
      <c r="C10" s="21"/>
      <c r="D10" s="21"/>
      <c r="E10" s="28"/>
      <c r="F10" s="28"/>
      <c r="G10" s="28"/>
      <c r="H10" s="28"/>
      <c r="I10" s="28"/>
      <c r="J10" s="28"/>
      <c r="K10" s="28"/>
    </row>
    <row r="11" customFormat="false" ht="21.75" hidden="false" customHeight="true" outlineLevel="0" collapsed="false">
      <c r="B11" s="29" t="s">
        <v>60</v>
      </c>
      <c r="C11" s="21"/>
      <c r="D11" s="21"/>
      <c r="E11" s="28"/>
      <c r="F11" s="28"/>
      <c r="G11" s="28"/>
      <c r="H11" s="28"/>
      <c r="I11" s="28"/>
      <c r="J11" s="28"/>
      <c r="K11" s="28"/>
    </row>
    <row r="12" customFormat="false" ht="21.75" hidden="false" customHeight="true" outlineLevel="0" collapsed="false">
      <c r="B12" s="27" t="s">
        <v>61</v>
      </c>
      <c r="C12" s="21"/>
      <c r="D12" s="21"/>
      <c r="E12" s="28"/>
      <c r="F12" s="28"/>
      <c r="G12" s="28"/>
      <c r="H12" s="28"/>
      <c r="I12" s="28"/>
      <c r="J12" s="28"/>
      <c r="K12" s="28"/>
    </row>
    <row r="13" customFormat="false" ht="7.5" hidden="false" customHeight="true" outlineLevel="0" collapsed="false"/>
    <row r="14" customFormat="false" ht="19.5" hidden="false" customHeight="true" outlineLevel="0" collapsed="false">
      <c r="A14" s="4" t="s">
        <v>62</v>
      </c>
      <c r="B14" s="4"/>
      <c r="C14" s="4"/>
      <c r="D14" s="4"/>
      <c r="E14" s="4"/>
      <c r="F14" s="4"/>
      <c r="G14" s="4"/>
      <c r="H14" s="4"/>
      <c r="I14" s="4"/>
      <c r="J14" s="4"/>
      <c r="K14" s="4"/>
    </row>
    <row r="15" customFormat="false" ht="31.5" hidden="false" customHeight="true" outlineLevel="0" collapsed="false">
      <c r="A15" s="8" t="s">
        <v>63</v>
      </c>
      <c r="B15" s="8"/>
      <c r="C15" s="8"/>
      <c r="D15" s="8"/>
      <c r="E15" s="8"/>
      <c r="F15" s="8"/>
      <c r="G15" s="8"/>
      <c r="H15" s="8"/>
      <c r="I15" s="8"/>
      <c r="J15" s="8"/>
      <c r="K15" s="8"/>
    </row>
    <row r="16" customFormat="false" ht="33.75" hidden="false" customHeight="true" outlineLevel="0" collapsed="false">
      <c r="B16" s="25" t="s">
        <v>55</v>
      </c>
      <c r="C16" s="25" t="s">
        <v>64</v>
      </c>
      <c r="D16" s="25" t="s">
        <v>65</v>
      </c>
      <c r="E16" s="25" t="s">
        <v>66</v>
      </c>
      <c r="F16" s="25" t="s">
        <v>67</v>
      </c>
      <c r="G16" s="25" t="s">
        <v>68</v>
      </c>
      <c r="H16" s="25" t="s">
        <v>69</v>
      </c>
      <c r="I16" s="30" t="s">
        <v>70</v>
      </c>
      <c r="J16" s="30"/>
      <c r="K16" s="30"/>
    </row>
    <row r="17" customFormat="false" ht="21.75" hidden="false" customHeight="true" outlineLevel="0" collapsed="false">
      <c r="B17" s="27" t="s">
        <v>59</v>
      </c>
      <c r="C17" s="21"/>
      <c r="D17" s="31" t="str">
        <f aca="false">IF(C17&lt;&gt;"",C17*$E$5,"")</f>
        <v/>
      </c>
      <c r="E17" s="21"/>
      <c r="F17" s="32" t="str">
        <f aca="false">IF(C17&lt;&gt;"",C17*C10,"")</f>
        <v/>
      </c>
      <c r="G17" s="33" t="str">
        <f aca="false">IF(D17&lt;&gt;"",D17*C10,"")</f>
        <v/>
      </c>
      <c r="H17" s="34"/>
      <c r="I17" s="35"/>
      <c r="J17" s="35"/>
      <c r="K17" s="35"/>
    </row>
    <row r="18" customFormat="false" ht="21.75" hidden="false" customHeight="true" outlineLevel="0" collapsed="false">
      <c r="B18" s="29" t="s">
        <v>60</v>
      </c>
      <c r="C18" s="21"/>
      <c r="D18" s="31" t="str">
        <f aca="false">IF(C18&lt;&gt;"",C18*$E$5,"")</f>
        <v/>
      </c>
      <c r="E18" s="21"/>
      <c r="F18" s="32" t="str">
        <f aca="false">IF(C18&lt;&gt;"",C18*C11,"")</f>
        <v/>
      </c>
      <c r="G18" s="33" t="str">
        <f aca="false">IF(D18&lt;&gt;"",D18*C11,"")</f>
        <v/>
      </c>
      <c r="H18" s="36"/>
      <c r="I18" s="37"/>
      <c r="J18" s="37"/>
      <c r="K18" s="37"/>
    </row>
    <row r="19" customFormat="false" ht="21.75" hidden="false" customHeight="true" outlineLevel="0" collapsed="false">
      <c r="B19" s="27" t="s">
        <v>61</v>
      </c>
      <c r="C19" s="21"/>
      <c r="D19" s="31" t="str">
        <f aca="false">IF(C19&lt;&gt;"",C19*$E$5,"")</f>
        <v/>
      </c>
      <c r="E19" s="21"/>
      <c r="F19" s="32" t="str">
        <f aca="false">IF(C19&lt;&gt;"",C19*C12,"")</f>
        <v/>
      </c>
      <c r="G19" s="33" t="str">
        <f aca="false">IF(D19&lt;&gt;"",D19*C12,"")</f>
        <v/>
      </c>
      <c r="H19" s="34"/>
      <c r="I19" s="35"/>
      <c r="J19" s="35"/>
      <c r="K19" s="35"/>
    </row>
    <row r="20" customFormat="false" ht="24" hidden="false" customHeight="true" outlineLevel="0" collapsed="false">
      <c r="A20" s="38" t="s">
        <v>71</v>
      </c>
      <c r="B20" s="38"/>
      <c r="C20" s="39" t="n">
        <f aca="false">IFERROR(SUM(C17:C19),0)</f>
        <v>0</v>
      </c>
      <c r="D20" s="31" t="n">
        <f aca="false">IFERROR(SUM(D17:D19),0)</f>
        <v>0</v>
      </c>
      <c r="E20" s="32" t="n">
        <f aca="false">IFERROR(SUMPRODUCT(C17:C19,E17:E19),"")</f>
        <v>0</v>
      </c>
      <c r="F20" s="32" t="n">
        <f aca="false">IFERROR(SUMPRODUCT(C17:C19,C10:C12),"")</f>
        <v>0</v>
      </c>
      <c r="G20" s="33" t="n">
        <f aca="false">IFERROR(SUM(G17:G19),"")</f>
        <v>0</v>
      </c>
      <c r="H20" s="40" t="s">
        <v>72</v>
      </c>
      <c r="I20" s="40"/>
      <c r="J20" s="40"/>
      <c r="K20" s="40"/>
    </row>
    <row r="21" customFormat="false" ht="7.5" hidden="false" customHeight="true" outlineLevel="0" collapsed="false"/>
    <row r="22" customFormat="false" ht="19.5" hidden="false" customHeight="true" outlineLevel="0" collapsed="false">
      <c r="A22" s="4" t="s">
        <v>73</v>
      </c>
      <c r="B22" s="4"/>
      <c r="C22" s="4"/>
      <c r="D22" s="4"/>
      <c r="E22" s="4"/>
      <c r="F22" s="4"/>
      <c r="G22" s="4"/>
      <c r="H22" s="4"/>
      <c r="I22" s="4"/>
      <c r="J22" s="4"/>
      <c r="K22" s="4"/>
    </row>
    <row r="23" customFormat="false" ht="31.5" hidden="false" customHeight="true" outlineLevel="0" collapsed="false">
      <c r="A23" s="8" t="s">
        <v>74</v>
      </c>
      <c r="B23" s="8"/>
      <c r="C23" s="8"/>
      <c r="D23" s="8"/>
      <c r="E23" s="8"/>
      <c r="F23" s="8"/>
      <c r="G23" s="8"/>
      <c r="H23" s="8"/>
      <c r="I23" s="8"/>
      <c r="J23" s="8"/>
      <c r="K23" s="8"/>
    </row>
    <row r="24" customFormat="false" ht="30" hidden="false" customHeight="true" outlineLevel="0" collapsed="false">
      <c r="B24" s="25" t="s">
        <v>34</v>
      </c>
      <c r="C24" s="25" t="s">
        <v>75</v>
      </c>
      <c r="D24" s="25" t="s">
        <v>76</v>
      </c>
      <c r="E24" s="25" t="s">
        <v>77</v>
      </c>
      <c r="F24" s="26" t="s">
        <v>78</v>
      </c>
      <c r="G24" s="26"/>
      <c r="H24" s="26"/>
      <c r="I24" s="26"/>
      <c r="J24" s="26"/>
      <c r="K24" s="26"/>
    </row>
    <row r="25" customFormat="false" ht="21.75" hidden="false" customHeight="true" outlineLevel="0" collapsed="false">
      <c r="B25" s="17" t="s">
        <v>79</v>
      </c>
      <c r="C25" s="21"/>
      <c r="D25" s="40" t="s">
        <v>80</v>
      </c>
      <c r="E25" s="40"/>
      <c r="F25" s="40"/>
      <c r="G25" s="40"/>
      <c r="H25" s="40"/>
      <c r="I25" s="40"/>
      <c r="J25" s="40"/>
      <c r="K25" s="40"/>
    </row>
    <row r="26" customFormat="false" ht="25.5" hidden="false" customHeight="true" outlineLevel="0" collapsed="false">
      <c r="B26" s="10" t="s">
        <v>42</v>
      </c>
      <c r="C26" s="41"/>
      <c r="D26" s="42"/>
      <c r="E26" s="43" t="s">
        <v>81</v>
      </c>
      <c r="F26" s="44" t="s">
        <v>82</v>
      </c>
      <c r="G26" s="44"/>
      <c r="H26" s="44"/>
      <c r="I26" s="44"/>
      <c r="J26" s="44"/>
      <c r="K26" s="44"/>
    </row>
    <row r="27" customFormat="false" ht="25.5" hidden="false" customHeight="true" outlineLevel="0" collapsed="false">
      <c r="B27" s="12" t="s">
        <v>83</v>
      </c>
      <c r="C27" s="21"/>
      <c r="D27" s="21"/>
      <c r="E27" s="43" t="s">
        <v>84</v>
      </c>
      <c r="F27" s="44" t="s">
        <v>85</v>
      </c>
      <c r="G27" s="44"/>
      <c r="H27" s="44"/>
      <c r="I27" s="44"/>
      <c r="J27" s="44"/>
      <c r="K27" s="44"/>
    </row>
    <row r="28" customFormat="false" ht="25.5" hidden="false" customHeight="true" outlineLevel="0" collapsed="false">
      <c r="B28" s="10" t="s">
        <v>86</v>
      </c>
      <c r="C28" s="41" t="str">
        <f aca="false">IFERROR((E20-$C$25)/C27,"")</f>
        <v/>
      </c>
      <c r="D28" s="41" t="str">
        <f aca="false">IFERROR((F20-$C$25)/D27,"")</f>
        <v/>
      </c>
      <c r="E28" s="43" t="s">
        <v>87</v>
      </c>
      <c r="F28" s="44" t="s">
        <v>88</v>
      </c>
      <c r="G28" s="44"/>
      <c r="H28" s="44"/>
      <c r="I28" s="44"/>
      <c r="J28" s="44"/>
      <c r="K28" s="44"/>
    </row>
    <row r="29" customFormat="false" ht="25.5" hidden="false" customHeight="true" outlineLevel="0" collapsed="false">
      <c r="B29" s="12" t="s">
        <v>89</v>
      </c>
      <c r="C29" s="45" t="s">
        <v>90</v>
      </c>
      <c r="D29" s="32" t="n">
        <f aca="false">IFERROR(F20,"")</f>
        <v>0</v>
      </c>
      <c r="E29" s="43" t="s">
        <v>91</v>
      </c>
      <c r="F29" s="44" t="s">
        <v>92</v>
      </c>
      <c r="G29" s="44"/>
      <c r="H29" s="44"/>
      <c r="I29" s="44"/>
      <c r="J29" s="44"/>
      <c r="K29" s="44"/>
    </row>
    <row r="30" customFormat="false" ht="25.5" hidden="false" customHeight="true" outlineLevel="0" collapsed="false">
      <c r="B30" s="10" t="s">
        <v>93</v>
      </c>
      <c r="C30" s="42"/>
      <c r="D30" s="42"/>
      <c r="E30" s="43" t="s">
        <v>94</v>
      </c>
      <c r="F30" s="44" t="s">
        <v>95</v>
      </c>
      <c r="G30" s="44"/>
      <c r="H30" s="44"/>
      <c r="I30" s="44"/>
      <c r="J30" s="44"/>
      <c r="K30" s="44"/>
    </row>
    <row r="31" customFormat="false" ht="7.5" hidden="false" customHeight="true" outlineLevel="0" collapsed="false"/>
    <row r="32" customFormat="false" ht="19.5" hidden="false" customHeight="true" outlineLevel="0" collapsed="false">
      <c r="A32" s="4" t="s">
        <v>96</v>
      </c>
      <c r="B32" s="4"/>
      <c r="C32" s="4"/>
      <c r="D32" s="4"/>
      <c r="E32" s="4"/>
      <c r="F32" s="4"/>
      <c r="G32" s="4"/>
      <c r="H32" s="4"/>
      <c r="I32" s="4"/>
      <c r="J32" s="4"/>
      <c r="K32" s="4"/>
    </row>
    <row r="33" customFormat="false" ht="30" hidden="false" customHeight="true" outlineLevel="0" collapsed="false">
      <c r="B33" s="25" t="s">
        <v>97</v>
      </c>
      <c r="C33" s="25" t="s">
        <v>98</v>
      </c>
      <c r="D33" s="25" t="s">
        <v>99</v>
      </c>
      <c r="E33" s="25" t="s">
        <v>100</v>
      </c>
      <c r="F33" s="26" t="s">
        <v>101</v>
      </c>
      <c r="G33" s="26"/>
      <c r="H33" s="26"/>
      <c r="I33" s="26"/>
      <c r="J33" s="26"/>
      <c r="K33" s="26"/>
    </row>
    <row r="34" customFormat="false" ht="25.5" hidden="false" customHeight="true" outlineLevel="0" collapsed="false">
      <c r="B34" s="10" t="s">
        <v>102</v>
      </c>
      <c r="C34" s="32" t="n">
        <f aca="false">$G$5</f>
        <v>0</v>
      </c>
      <c r="D34" s="32" t="n">
        <f aca="false">IFERROR(F20,"")</f>
        <v>0</v>
      </c>
      <c r="E34" s="32" t="n">
        <f aca="false">IFERROR(D34-C34,"")</f>
        <v>0</v>
      </c>
      <c r="F34" s="46" t="str">
        <f aca="false">IF(D34="","",IF(D34&gt;=C34,"✓ PASS","✗ FAIL — RE-ALLOCATE"))</f>
        <v>✓ PASS</v>
      </c>
      <c r="G34" s="47" t="str">
        <f aca="false">IF(D34="","",IF(D34&gt;=C34,"Portfolio passes IPS mandate. No re-allocation required. Proceed to Section 6 (Final Metrics).","FAIL: Portfolio breaches IPS Tripwire by "&amp;TEXT(ABS(D34-C34),"0.0%")&amp;". Complete Section 5 (Re-allocation) to bring portfolio within mandate before submitting."))</f>
        <v>Portfolio passes IPS mandate. No re-allocation required. Proceed to Section 6 (Final Metrics).</v>
      </c>
      <c r="H34" s="47"/>
      <c r="I34" s="47"/>
      <c r="J34" s="47"/>
      <c r="K34" s="47"/>
    </row>
    <row r="35" customFormat="false" ht="25.5" hidden="false" customHeight="true" outlineLevel="0" collapsed="false">
      <c r="B35" s="12" t="s">
        <v>103</v>
      </c>
      <c r="C35" s="21"/>
      <c r="D35" s="32" t="str">
        <f aca="false">IF(C27&lt;&gt;"",C27,"")</f>
        <v/>
      </c>
      <c r="E35" s="32" t="str">
        <f aca="false">IFERROR(D35-C35,"")</f>
        <v/>
      </c>
      <c r="F35" s="46" t="str">
        <f aca="false">IF(D35="","",IF(D35&lt;=C35,"✓ PASS","✗ EXCEED"))</f>
        <v/>
      </c>
      <c r="G35" s="48" t="s">
        <v>104</v>
      </c>
      <c r="H35" s="48"/>
      <c r="I35" s="48"/>
      <c r="J35" s="48"/>
      <c r="K35" s="48"/>
    </row>
    <row r="36" customFormat="false" ht="7.5" hidden="false" customHeight="true" outlineLevel="0" collapsed="false"/>
    <row r="37" customFormat="false" ht="19.5" hidden="false" customHeight="true" outlineLevel="0" collapsed="false">
      <c r="A37" s="49" t="s">
        <v>105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</row>
    <row r="38" customFormat="false" ht="31.5" hidden="false" customHeight="true" outlineLevel="0" collapsed="false">
      <c r="A38" s="50" t="s">
        <v>106</v>
      </c>
      <c r="B38" s="50"/>
      <c r="C38" s="50"/>
      <c r="D38" s="50"/>
      <c r="E38" s="50"/>
      <c r="F38" s="50"/>
      <c r="G38" s="50"/>
      <c r="H38" s="50"/>
      <c r="I38" s="50"/>
      <c r="J38" s="50"/>
      <c r="K38" s="50"/>
    </row>
    <row r="39" customFormat="false" ht="18" hidden="false" customHeight="true" outlineLevel="0" collapsed="false">
      <c r="A39" s="51" t="s">
        <v>107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</row>
    <row r="40" customFormat="false" ht="30" hidden="false" customHeight="true" outlineLevel="0" collapsed="false">
      <c r="B40" s="25" t="s">
        <v>108</v>
      </c>
      <c r="C40" s="25" t="s">
        <v>109</v>
      </c>
      <c r="D40" s="25" t="s">
        <v>110</v>
      </c>
      <c r="E40" s="25" t="s">
        <v>111</v>
      </c>
      <c r="F40" s="25" t="s">
        <v>112</v>
      </c>
      <c r="G40" s="26" t="s">
        <v>113</v>
      </c>
      <c r="H40" s="26"/>
      <c r="I40" s="26"/>
      <c r="J40" s="26"/>
      <c r="K40" s="26"/>
    </row>
    <row r="41" customFormat="false" ht="21.75" hidden="false" customHeight="true" outlineLevel="0" collapsed="false">
      <c r="B41" s="18"/>
      <c r="C41" s="18"/>
      <c r="D41" s="21"/>
      <c r="E41" s="21"/>
      <c r="F41" s="33" t="str">
        <f aca="false">IF(AND(D41&lt;&gt;"",E41&lt;&gt;""),(E41-D41)*500000,"")</f>
        <v/>
      </c>
      <c r="G41" s="28"/>
      <c r="H41" s="28"/>
      <c r="I41" s="28"/>
      <c r="J41" s="28"/>
      <c r="K41" s="28"/>
    </row>
    <row r="42" customFormat="false" ht="21.75" hidden="false" customHeight="true" outlineLevel="0" collapsed="false">
      <c r="B42" s="18"/>
      <c r="C42" s="18"/>
      <c r="D42" s="21"/>
      <c r="E42" s="21"/>
      <c r="F42" s="33" t="str">
        <f aca="false">IF(AND(D42&lt;&gt;"",E42&lt;&gt;""),(E42-D42)*500000,"")</f>
        <v/>
      </c>
      <c r="G42" s="28"/>
      <c r="H42" s="28"/>
      <c r="I42" s="28"/>
      <c r="J42" s="28"/>
      <c r="K42" s="28"/>
    </row>
    <row r="43" customFormat="false" ht="21.75" hidden="false" customHeight="true" outlineLevel="0" collapsed="false">
      <c r="B43" s="18"/>
      <c r="C43" s="18"/>
      <c r="D43" s="21"/>
      <c r="E43" s="21"/>
      <c r="F43" s="33" t="str">
        <f aca="false">IF(AND(D43&lt;&gt;"",E43&lt;&gt;""),(E43-D43)*500000,"")</f>
        <v/>
      </c>
      <c r="G43" s="28"/>
      <c r="H43" s="28"/>
      <c r="I43" s="28"/>
      <c r="J43" s="28"/>
      <c r="K43" s="28"/>
    </row>
    <row r="44" customFormat="false" ht="21.75" hidden="false" customHeight="true" outlineLevel="0" collapsed="false">
      <c r="B44" s="18"/>
      <c r="C44" s="18"/>
      <c r="D44" s="21"/>
      <c r="E44" s="21"/>
      <c r="F44" s="33" t="str">
        <f aca="false">IF(AND(D44&lt;&gt;"",E44&lt;&gt;""),(E44-D44)*500000,"")</f>
        <v/>
      </c>
      <c r="G44" s="28"/>
      <c r="H44" s="28"/>
      <c r="I44" s="28"/>
      <c r="J44" s="28"/>
      <c r="K44" s="28"/>
    </row>
    <row r="45" customFormat="false" ht="21.75" hidden="false" customHeight="true" outlineLevel="0" collapsed="false">
      <c r="B45" s="18"/>
      <c r="C45" s="18"/>
      <c r="D45" s="21"/>
      <c r="E45" s="21"/>
      <c r="F45" s="33" t="str">
        <f aca="false">IF(AND(D45&lt;&gt;"",E45&lt;&gt;""),(E45-D45)*500000,"")</f>
        <v/>
      </c>
      <c r="G45" s="28"/>
      <c r="H45" s="28"/>
      <c r="I45" s="28"/>
      <c r="J45" s="28"/>
      <c r="K45" s="28"/>
    </row>
    <row r="46" customFormat="false" ht="21.75" hidden="false" customHeight="true" outlineLevel="0" collapsed="false">
      <c r="B46" s="18"/>
      <c r="C46" s="18"/>
      <c r="D46" s="21"/>
      <c r="E46" s="21"/>
      <c r="F46" s="33" t="str">
        <f aca="false">IF(AND(D46&lt;&gt;"",E46&lt;&gt;""),(E46-D46)*500000,"")</f>
        <v/>
      </c>
      <c r="G46" s="28"/>
      <c r="H46" s="28"/>
      <c r="I46" s="28"/>
      <c r="J46" s="28"/>
      <c r="K46" s="28"/>
    </row>
    <row r="47" customFormat="false" ht="21.75" hidden="false" customHeight="true" outlineLevel="0" collapsed="false">
      <c r="A47" s="52" t="s">
        <v>114</v>
      </c>
      <c r="B47" s="52"/>
      <c r="C47" s="52"/>
      <c r="D47" s="32" t="n">
        <f aca="false">IFERROR(SUM(E41:E46),0)</f>
        <v>0</v>
      </c>
      <c r="E47" s="40" t="s">
        <v>115</v>
      </c>
      <c r="F47" s="40"/>
      <c r="G47" s="40"/>
      <c r="H47" s="40"/>
      <c r="I47" s="40"/>
      <c r="J47" s="40"/>
      <c r="K47" s="40"/>
    </row>
    <row r="48" customFormat="false" ht="7.5" hidden="false" customHeight="true" outlineLevel="0" collapsed="false"/>
    <row r="49" customFormat="false" ht="18" hidden="false" customHeight="true" outlineLevel="0" collapsed="false">
      <c r="A49" s="51" t="s">
        <v>116</v>
      </c>
      <c r="B49" s="51"/>
      <c r="C49" s="51"/>
      <c r="D49" s="51"/>
      <c r="E49" s="51"/>
      <c r="F49" s="51"/>
      <c r="G49" s="51"/>
      <c r="H49" s="51"/>
      <c r="I49" s="51"/>
      <c r="J49" s="51"/>
      <c r="K49" s="51"/>
    </row>
    <row r="50" customFormat="false" ht="31.5" hidden="false" customHeight="true" outlineLevel="0" collapsed="false">
      <c r="A50" s="8" t="s">
        <v>117</v>
      </c>
      <c r="B50" s="8"/>
      <c r="C50" s="8"/>
      <c r="D50" s="8"/>
      <c r="E50" s="8"/>
      <c r="F50" s="8"/>
      <c r="G50" s="8"/>
      <c r="H50" s="8"/>
      <c r="I50" s="8"/>
      <c r="J50" s="8"/>
      <c r="K50" s="8"/>
    </row>
    <row r="51" customFormat="false" ht="30" hidden="false" customHeight="true" outlineLevel="0" collapsed="false">
      <c r="B51" s="25" t="s">
        <v>55</v>
      </c>
      <c r="C51" s="25" t="s">
        <v>118</v>
      </c>
      <c r="D51" s="25" t="s">
        <v>119</v>
      </c>
      <c r="E51" s="25" t="s">
        <v>120</v>
      </c>
      <c r="F51" s="25" t="s">
        <v>121</v>
      </c>
      <c r="G51" s="26" t="s">
        <v>122</v>
      </c>
      <c r="H51" s="26"/>
      <c r="I51" s="26"/>
      <c r="J51" s="26"/>
      <c r="K51" s="26"/>
    </row>
    <row r="52" customFormat="false" ht="21.75" hidden="false" customHeight="true" outlineLevel="0" collapsed="false">
      <c r="B52" s="27" t="s">
        <v>59</v>
      </c>
      <c r="C52" s="21"/>
      <c r="D52" s="31" t="str">
        <f aca="false">IF(C52&lt;&gt;"",C52*$E$5,"")</f>
        <v/>
      </c>
      <c r="E52" s="32" t="n">
        <f aca="false">C10</f>
        <v>0</v>
      </c>
      <c r="F52" s="32" t="str">
        <f aca="false">IF(C52&lt;&gt;"",C52*C10,"")</f>
        <v/>
      </c>
      <c r="G52" s="33" t="str">
        <f aca="false">IF(D52&lt;&gt;"",D52*C10,"")</f>
        <v/>
      </c>
      <c r="H52" s="53"/>
      <c r="I52" s="53"/>
      <c r="J52" s="53"/>
      <c r="K52" s="53"/>
    </row>
    <row r="53" customFormat="false" ht="21.75" hidden="false" customHeight="true" outlineLevel="0" collapsed="false">
      <c r="B53" s="29" t="s">
        <v>60</v>
      </c>
      <c r="C53" s="21"/>
      <c r="D53" s="31" t="str">
        <f aca="false">IF(C53&lt;&gt;"",C53*$E$5,"")</f>
        <v/>
      </c>
      <c r="E53" s="32" t="n">
        <f aca="false">C11</f>
        <v>0</v>
      </c>
      <c r="F53" s="32" t="str">
        <f aca="false">IF(C53&lt;&gt;"",C53*C11,"")</f>
        <v/>
      </c>
      <c r="G53" s="33" t="str">
        <f aca="false">IF(D53&lt;&gt;"",D53*C11,"")</f>
        <v/>
      </c>
      <c r="H53" s="54"/>
      <c r="I53" s="54"/>
      <c r="J53" s="54"/>
      <c r="K53" s="54"/>
    </row>
    <row r="54" customFormat="false" ht="21.75" hidden="false" customHeight="true" outlineLevel="0" collapsed="false">
      <c r="B54" s="27" t="s">
        <v>61</v>
      </c>
      <c r="C54" s="21"/>
      <c r="D54" s="31" t="str">
        <f aca="false">IF(C54&lt;&gt;"",C54*$E$5,"")</f>
        <v/>
      </c>
      <c r="E54" s="32" t="n">
        <f aca="false">C12</f>
        <v>0</v>
      </c>
      <c r="F54" s="32" t="str">
        <f aca="false">IF(C54&lt;&gt;"",C54*C12,"")</f>
        <v/>
      </c>
      <c r="G54" s="33" t="str">
        <f aca="false">IF(D54&lt;&gt;"",D54*C12,"")</f>
        <v/>
      </c>
      <c r="H54" s="53"/>
      <c r="I54" s="53"/>
      <c r="J54" s="53"/>
      <c r="K54" s="53"/>
    </row>
    <row r="55" customFormat="false" ht="24" hidden="false" customHeight="true" outlineLevel="0" collapsed="false">
      <c r="A55" s="38" t="s">
        <v>123</v>
      </c>
      <c r="B55" s="38"/>
      <c r="C55" s="32" t="n">
        <f aca="false">IFERROR(SUM(C52:C54),0)</f>
        <v>0</v>
      </c>
      <c r="D55" s="31" t="n">
        <f aca="false">IFERROR(SUM(D52:D54),0)</f>
        <v>0</v>
      </c>
      <c r="E55" s="32"/>
      <c r="F55" s="32" t="n">
        <f aca="false">IFERROR(SUMPRODUCT(C52:C54,C10:C12),"")</f>
        <v>0</v>
      </c>
      <c r="G55" s="33" t="n">
        <f aca="false">IFERROR(SUM(G52:G54),"")</f>
        <v>0</v>
      </c>
    </row>
    <row r="56" customFormat="false" ht="25.5" hidden="false" customHeight="true" outlineLevel="0" collapsed="false">
      <c r="B56" s="10" t="s">
        <v>124</v>
      </c>
      <c r="C56" s="32" t="n">
        <f aca="false">$G$5</f>
        <v>0</v>
      </c>
      <c r="D56" s="32" t="n">
        <f aca="false">IFERROR(F55,"")</f>
        <v>0</v>
      </c>
      <c r="E56" s="32" t="n">
        <f aca="false">IFERROR(D56-C56,"")</f>
        <v>0</v>
      </c>
      <c r="F56" s="46" t="str">
        <f aca="false">IF(D56="","",IF(D56&gt;=$G$5,"✓ REVISED PASS","✗ STILL FAILING — ADJUST FURTHER"))</f>
        <v>✓ REVISED PASS</v>
      </c>
      <c r="G56" s="48" t="s">
        <v>125</v>
      </c>
      <c r="H56" s="48"/>
      <c r="I56" s="48"/>
      <c r="J56" s="48"/>
      <c r="K56" s="48"/>
    </row>
    <row r="57" customFormat="false" ht="7.5" hidden="false" customHeight="true" outlineLevel="0" collapsed="false"/>
    <row r="58" customFormat="false" ht="19.5" hidden="false" customHeight="true" outlineLevel="0" collapsed="false">
      <c r="A58" s="4" t="s">
        <v>126</v>
      </c>
      <c r="B58" s="4"/>
      <c r="C58" s="4"/>
      <c r="D58" s="4"/>
      <c r="E58" s="4"/>
      <c r="F58" s="4"/>
      <c r="G58" s="4"/>
      <c r="H58" s="4"/>
      <c r="I58" s="4"/>
      <c r="J58" s="4"/>
      <c r="K58" s="4"/>
    </row>
    <row r="59" customFormat="false" ht="31.5" hidden="false" customHeight="true" outlineLevel="0" collapsed="false">
      <c r="A59" s="8" t="s">
        <v>127</v>
      </c>
      <c r="B59" s="8"/>
      <c r="C59" s="8"/>
      <c r="D59" s="8"/>
      <c r="E59" s="8"/>
      <c r="F59" s="8"/>
      <c r="G59" s="8"/>
      <c r="H59" s="8"/>
      <c r="I59" s="8"/>
      <c r="J59" s="8"/>
      <c r="K59" s="8"/>
    </row>
    <row r="60" customFormat="false" ht="30" hidden="false" customHeight="true" outlineLevel="0" collapsed="false">
      <c r="B60" s="25" t="s">
        <v>34</v>
      </c>
      <c r="C60" s="25" t="s">
        <v>128</v>
      </c>
      <c r="D60" s="25" t="s">
        <v>129</v>
      </c>
      <c r="E60" s="26" t="s">
        <v>130</v>
      </c>
      <c r="F60" s="26"/>
      <c r="G60" s="26"/>
      <c r="H60" s="26"/>
      <c r="I60" s="26"/>
      <c r="J60" s="26"/>
      <c r="K60" s="26"/>
    </row>
    <row r="61" customFormat="false" ht="24" hidden="false" customHeight="true" outlineLevel="0" collapsed="false">
      <c r="B61" s="10" t="s">
        <v>42</v>
      </c>
      <c r="C61" s="42"/>
      <c r="D61" s="55" t="s">
        <v>131</v>
      </c>
      <c r="E61" s="44" t="s">
        <v>132</v>
      </c>
      <c r="F61" s="44"/>
      <c r="G61" s="44"/>
      <c r="H61" s="44"/>
      <c r="I61" s="44"/>
      <c r="J61" s="44"/>
      <c r="K61" s="44"/>
    </row>
    <row r="62" customFormat="false" ht="24" hidden="false" customHeight="true" outlineLevel="0" collapsed="false">
      <c r="B62" s="12" t="s">
        <v>83</v>
      </c>
      <c r="C62" s="21"/>
      <c r="D62" s="55" t="s">
        <v>133</v>
      </c>
      <c r="E62" s="44" t="s">
        <v>134</v>
      </c>
      <c r="F62" s="44"/>
      <c r="G62" s="44"/>
      <c r="H62" s="44"/>
      <c r="I62" s="44"/>
      <c r="J62" s="44"/>
      <c r="K62" s="44"/>
    </row>
    <row r="63" customFormat="false" ht="24" hidden="false" customHeight="true" outlineLevel="0" collapsed="false">
      <c r="B63" s="10" t="s">
        <v>135</v>
      </c>
      <c r="C63" s="42"/>
      <c r="D63" s="55" t="s">
        <v>136</v>
      </c>
      <c r="E63" s="44" t="s">
        <v>137</v>
      </c>
      <c r="F63" s="44"/>
      <c r="G63" s="44"/>
      <c r="H63" s="44"/>
      <c r="I63" s="44"/>
      <c r="J63" s="44"/>
      <c r="K63" s="44"/>
    </row>
    <row r="64" customFormat="false" ht="24" hidden="false" customHeight="true" outlineLevel="0" collapsed="false">
      <c r="B64" s="12" t="s">
        <v>39</v>
      </c>
      <c r="C64" s="21"/>
      <c r="D64" s="55" t="s">
        <v>138</v>
      </c>
      <c r="E64" s="44" t="s">
        <v>139</v>
      </c>
      <c r="F64" s="44"/>
      <c r="G64" s="44"/>
      <c r="H64" s="44"/>
      <c r="I64" s="44"/>
      <c r="J64" s="44"/>
      <c r="K64" s="44"/>
    </row>
    <row r="65" customFormat="false" ht="24" hidden="false" customHeight="true" outlineLevel="0" collapsed="false">
      <c r="B65" s="10" t="s">
        <v>140</v>
      </c>
      <c r="C65" s="56"/>
      <c r="D65" s="55" t="s">
        <v>141</v>
      </c>
      <c r="E65" s="44" t="s">
        <v>139</v>
      </c>
      <c r="F65" s="44"/>
      <c r="G65" s="44"/>
      <c r="H65" s="44"/>
      <c r="I65" s="44"/>
      <c r="J65" s="44"/>
      <c r="K65" s="44"/>
    </row>
    <row r="66" customFormat="false" ht="24" hidden="false" customHeight="true" outlineLevel="0" collapsed="false">
      <c r="B66" s="12" t="s">
        <v>142</v>
      </c>
      <c r="C66" s="57"/>
      <c r="D66" s="55" t="s">
        <v>143</v>
      </c>
      <c r="E66" s="44" t="s">
        <v>144</v>
      </c>
      <c r="F66" s="44"/>
      <c r="G66" s="44"/>
      <c r="H66" s="44"/>
      <c r="I66" s="44"/>
      <c r="J66" s="44"/>
      <c r="K66" s="44"/>
    </row>
    <row r="68" customFormat="false" ht="7.5" hidden="false" customHeight="true" outlineLevel="0" collapsed="false"/>
    <row r="69" customFormat="false" ht="19.5" hidden="false" customHeight="true" outlineLevel="0" collapsed="false">
      <c r="A69" s="4" t="s">
        <v>145</v>
      </c>
      <c r="B69" s="4"/>
      <c r="C69" s="4"/>
      <c r="D69" s="4"/>
      <c r="E69" s="4"/>
      <c r="F69" s="4"/>
      <c r="G69" s="4"/>
      <c r="H69" s="4"/>
      <c r="I69" s="4"/>
      <c r="J69" s="4"/>
      <c r="K69" s="4"/>
    </row>
    <row r="70" customFormat="false" ht="18" hidden="false" customHeight="true" outlineLevel="0" collapsed="false">
      <c r="B70" s="58" t="s">
        <v>146</v>
      </c>
      <c r="C70" s="7" t="s">
        <v>147</v>
      </c>
      <c r="D70" s="7"/>
      <c r="E70" s="7"/>
      <c r="F70" s="7"/>
      <c r="G70" s="7"/>
      <c r="H70" s="7"/>
      <c r="I70" s="7"/>
      <c r="J70" s="7"/>
      <c r="K70" s="7"/>
    </row>
    <row r="71" customFormat="false" ht="18" hidden="false" customHeight="true" outlineLevel="0" collapsed="false">
      <c r="B71" s="59" t="s">
        <v>146</v>
      </c>
      <c r="C71" s="7" t="s">
        <v>148</v>
      </c>
      <c r="D71" s="7"/>
      <c r="E71" s="7"/>
      <c r="F71" s="7"/>
      <c r="G71" s="7"/>
      <c r="H71" s="7"/>
      <c r="I71" s="7"/>
      <c r="J71" s="7"/>
      <c r="K71" s="7"/>
    </row>
    <row r="72" customFormat="false" ht="18" hidden="false" customHeight="true" outlineLevel="0" collapsed="false">
      <c r="B72" s="60" t="s">
        <v>146</v>
      </c>
      <c r="C72" s="7" t="s">
        <v>149</v>
      </c>
      <c r="D72" s="7"/>
      <c r="E72" s="7"/>
      <c r="F72" s="7"/>
      <c r="G72" s="7"/>
      <c r="H72" s="7"/>
      <c r="I72" s="7"/>
      <c r="J72" s="7"/>
      <c r="K72" s="7"/>
    </row>
    <row r="73" customFormat="false" ht="18" hidden="false" customHeight="true" outlineLevel="0" collapsed="false">
      <c r="B73" s="61" t="s">
        <v>146</v>
      </c>
      <c r="C73" s="7" t="s">
        <v>150</v>
      </c>
      <c r="D73" s="7"/>
      <c r="E73" s="7"/>
      <c r="F73" s="7"/>
      <c r="G73" s="7"/>
      <c r="H73" s="7"/>
      <c r="I73" s="7"/>
      <c r="J73" s="7"/>
      <c r="K73" s="7"/>
    </row>
    <row r="74" customFormat="false" ht="18" hidden="false" customHeight="true" outlineLevel="0" collapsed="false">
      <c r="B74" s="62" t="s">
        <v>146</v>
      </c>
      <c r="C74" s="7" t="s">
        <v>151</v>
      </c>
      <c r="D74" s="7"/>
      <c r="E74" s="7"/>
      <c r="F74" s="7"/>
      <c r="G74" s="7"/>
      <c r="H74" s="7"/>
      <c r="I74" s="7"/>
      <c r="J74" s="7"/>
      <c r="K74" s="7"/>
    </row>
    <row r="75" customFormat="false" ht="18" hidden="false" customHeight="true" outlineLevel="0" collapsed="false">
      <c r="B75" s="63" t="s">
        <v>146</v>
      </c>
      <c r="C75" s="7" t="s">
        <v>152</v>
      </c>
      <c r="D75" s="7"/>
      <c r="E75" s="7"/>
      <c r="F75" s="7"/>
      <c r="G75" s="7"/>
      <c r="H75" s="7"/>
      <c r="I75" s="7"/>
      <c r="J75" s="7"/>
      <c r="K75" s="7"/>
    </row>
  </sheetData>
  <mergeCells count="65">
    <mergeCell ref="A2:K2"/>
    <mergeCell ref="A3:K3"/>
    <mergeCell ref="A7:K7"/>
    <mergeCell ref="A8:K8"/>
    <mergeCell ref="E9:K9"/>
    <mergeCell ref="E10:K10"/>
    <mergeCell ref="E11:K11"/>
    <mergeCell ref="E12:K12"/>
    <mergeCell ref="A14:K14"/>
    <mergeCell ref="A15:K15"/>
    <mergeCell ref="I16:K16"/>
    <mergeCell ref="I17:K17"/>
    <mergeCell ref="I18:K18"/>
    <mergeCell ref="I19:K19"/>
    <mergeCell ref="A20:B20"/>
    <mergeCell ref="H20:K20"/>
    <mergeCell ref="A22:K22"/>
    <mergeCell ref="A23:K23"/>
    <mergeCell ref="F24:K24"/>
    <mergeCell ref="D25:K25"/>
    <mergeCell ref="F26:K26"/>
    <mergeCell ref="F27:K27"/>
    <mergeCell ref="F28:K28"/>
    <mergeCell ref="F29:K29"/>
    <mergeCell ref="F30:K30"/>
    <mergeCell ref="A32:K32"/>
    <mergeCell ref="F33:K33"/>
    <mergeCell ref="G34:K34"/>
    <mergeCell ref="G35:K35"/>
    <mergeCell ref="A37:K37"/>
    <mergeCell ref="A38:K38"/>
    <mergeCell ref="A39:K39"/>
    <mergeCell ref="G40:K40"/>
    <mergeCell ref="G41:K41"/>
    <mergeCell ref="G42:K42"/>
    <mergeCell ref="G43:K43"/>
    <mergeCell ref="G44:K44"/>
    <mergeCell ref="G45:K45"/>
    <mergeCell ref="G46:K46"/>
    <mergeCell ref="A47:C47"/>
    <mergeCell ref="E47:K47"/>
    <mergeCell ref="A49:K49"/>
    <mergeCell ref="A50:K50"/>
    <mergeCell ref="G51:K51"/>
    <mergeCell ref="H52:K52"/>
    <mergeCell ref="H53:K53"/>
    <mergeCell ref="H54:K54"/>
    <mergeCell ref="A55:B55"/>
    <mergeCell ref="G56:K56"/>
    <mergeCell ref="A58:K58"/>
    <mergeCell ref="A59:K59"/>
    <mergeCell ref="E60:K60"/>
    <mergeCell ref="E61:K61"/>
    <mergeCell ref="E62:K62"/>
    <mergeCell ref="E63:K63"/>
    <mergeCell ref="E64:K64"/>
    <mergeCell ref="E65:K65"/>
    <mergeCell ref="E66:K66"/>
    <mergeCell ref="A69:K69"/>
    <mergeCell ref="C70:K70"/>
    <mergeCell ref="C71:K71"/>
    <mergeCell ref="C72:K72"/>
    <mergeCell ref="C73:K73"/>
    <mergeCell ref="C74:K74"/>
    <mergeCell ref="C75:K75"/>
  </mergeCells>
  <conditionalFormatting sqref="C20">
    <cfRule type="cellIs" priority="2" operator="equal" aboveAverage="0" equalAverage="0" bottom="0" percent="0" rank="0" text="" dxfId="0">
      <formula>1</formula>
    </cfRule>
    <cfRule type="cellIs" priority="3" operator="notEqual" aboveAverage="0" equalAverage="0" bottom="0" percent="0" rank="0" text="" dxfId="1">
      <formula>1</formula>
    </cfRule>
  </conditionalFormatting>
  <conditionalFormatting sqref="F34">
    <cfRule type="expression" priority="4" aboveAverage="0" equalAverage="0" bottom="0" percent="0" rank="0" text="" dxfId="4">
      <formula>D34&gt;=C34</formula>
    </cfRule>
    <cfRule type="expression" priority="5" aboveAverage="0" equalAverage="0" bottom="0" percent="0" rank="0" text="" dxfId="5">
      <formula>AND(D34&lt;&gt;"",D34&lt;C34)</formula>
    </cfRule>
  </conditionalFormatting>
  <conditionalFormatting sqref="F35">
    <cfRule type="expression" priority="6" aboveAverage="0" equalAverage="0" bottom="0" percent="0" rank="0" text="" dxfId="4">
      <formula>AND(D35&lt;&gt;"",D35&lt;=C35)</formula>
    </cfRule>
    <cfRule type="expression" priority="7" aboveAverage="0" equalAverage="0" bottom="0" percent="0" rank="0" text="" dxfId="6">
      <formula>AND(D35&lt;&gt;"",D35&gt;C35)</formula>
    </cfRule>
  </conditionalFormatting>
  <conditionalFormatting sqref="D47">
    <cfRule type="cellIs" priority="8" operator="equal" aboveAverage="0" equalAverage="0" bottom="0" percent="0" rank="0" text="" dxfId="0">
      <formula>1</formula>
    </cfRule>
    <cfRule type="cellIs" priority="9" operator="notEqual" aboveAverage="0" equalAverage="0" bottom="0" percent="0" rank="0" text="" dxfId="1">
      <formula>1</formula>
    </cfRule>
  </conditionalFormatting>
  <conditionalFormatting sqref="F56">
    <cfRule type="expression" priority="10" aboveAverage="0" equalAverage="0" bottom="0" percent="0" rank="0" text="" dxfId="4">
      <formula>D56&gt;=$G$5</formula>
    </cfRule>
    <cfRule type="expression" priority="11" aboveAverage="0" equalAverage="0" bottom="0" percent="0" rank="0" text="" dxfId="5">
      <formula>AND(D56&lt;&gt;"",D56&lt;$G$5)</formula>
    </cfRule>
  </conditionalFormatting>
  <dataValidations count="1">
    <dataValidation allowBlank="true" errorStyle="stop" operator="between" showDropDown="false" showErrorMessage="false" showInputMessage="false" sqref="B41:B46" type="list">
      <formula1>"BUY,SELL,HOLD"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B1A1A"/>
    <pageSetUpPr fitToPage="false"/>
  </sheetPr>
  <dimension ref="A1:K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13"/>
    <col collapsed="false" customWidth="true" hidden="false" outlineLevel="0" max="7" min="4" style="1" width="16"/>
    <col collapsed="false" customWidth="true" hidden="false" outlineLevel="0" max="8" min="8" style="1" width="28"/>
    <col collapsed="false" customWidth="true" hidden="false" outlineLevel="0" max="10" min="9" style="1" width="14"/>
    <col collapsed="false" customWidth="true" hidden="false" outlineLevel="0" max="11" min="11" style="1" width="2"/>
  </cols>
  <sheetData>
    <row r="1" customFormat="false" ht="6" hidden="false" customHeight="true" outlineLevel="0" collapsed="false"/>
    <row r="2" customFormat="false" ht="37.5" hidden="false" customHeight="true" outlineLevel="0" collapsed="false">
      <c r="A2" s="2" t="s">
        <v>153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8" hidden="false" customHeight="true" outlineLevel="0" collapsed="false">
      <c r="A3" s="3" t="s">
        <v>47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6" hidden="false" customHeight="true" outlineLevel="0" collapsed="false"/>
    <row r="5" customFormat="false" ht="21.75" hidden="false" customHeight="true" outlineLevel="0" collapsed="false">
      <c r="B5" s="17" t="s">
        <v>48</v>
      </c>
      <c r="C5" s="18"/>
      <c r="D5" s="17" t="s">
        <v>49</v>
      </c>
      <c r="E5" s="19" t="n">
        <v>500000</v>
      </c>
      <c r="F5" s="20" t="s">
        <v>50</v>
      </c>
      <c r="G5" s="21"/>
      <c r="H5" s="17" t="s">
        <v>51</v>
      </c>
      <c r="I5" s="22"/>
      <c r="J5" s="23" t="s">
        <v>52</v>
      </c>
    </row>
    <row r="6" customFormat="false" ht="6" hidden="false" customHeight="true" outlineLevel="0" collapsed="false"/>
    <row r="7" customFormat="false" ht="19.5" hidden="false" customHeight="true" outlineLevel="0" collapsed="false">
      <c r="A7" s="4" t="s">
        <v>53</v>
      </c>
      <c r="B7" s="4"/>
      <c r="C7" s="4"/>
      <c r="D7" s="4"/>
      <c r="E7" s="4"/>
      <c r="F7" s="4"/>
      <c r="G7" s="4"/>
      <c r="H7" s="4"/>
      <c r="I7" s="4"/>
      <c r="J7" s="4"/>
      <c r="K7" s="4"/>
    </row>
    <row r="8" customFormat="false" ht="31.5" hidden="false" customHeight="true" outlineLevel="0" collapsed="false">
      <c r="A8" s="24" t="s">
        <v>54</v>
      </c>
      <c r="B8" s="24"/>
      <c r="C8" s="24"/>
      <c r="D8" s="24"/>
      <c r="E8" s="24"/>
      <c r="F8" s="24"/>
      <c r="G8" s="24"/>
      <c r="H8" s="24"/>
      <c r="I8" s="24"/>
      <c r="J8" s="24"/>
      <c r="K8" s="24"/>
    </row>
    <row r="9" customFormat="false" ht="30" hidden="false" customHeight="true" outlineLevel="0" collapsed="false">
      <c r="B9" s="25" t="s">
        <v>55</v>
      </c>
      <c r="C9" s="25" t="s">
        <v>56</v>
      </c>
      <c r="D9" s="25" t="s">
        <v>57</v>
      </c>
      <c r="E9" s="26" t="s">
        <v>58</v>
      </c>
      <c r="F9" s="26"/>
      <c r="G9" s="26"/>
      <c r="H9" s="26"/>
      <c r="I9" s="26"/>
      <c r="J9" s="26"/>
      <c r="K9" s="26"/>
    </row>
    <row r="10" customFormat="false" ht="21.75" hidden="false" customHeight="true" outlineLevel="0" collapsed="false">
      <c r="B10" s="27" t="s">
        <v>59</v>
      </c>
      <c r="C10" s="21"/>
      <c r="D10" s="21"/>
      <c r="E10" s="28"/>
      <c r="F10" s="28"/>
      <c r="G10" s="28"/>
      <c r="H10" s="28"/>
      <c r="I10" s="28"/>
      <c r="J10" s="28"/>
      <c r="K10" s="28"/>
    </row>
    <row r="11" customFormat="false" ht="21.75" hidden="false" customHeight="true" outlineLevel="0" collapsed="false">
      <c r="B11" s="29" t="s">
        <v>60</v>
      </c>
      <c r="C11" s="21"/>
      <c r="D11" s="21"/>
      <c r="E11" s="28"/>
      <c r="F11" s="28"/>
      <c r="G11" s="28"/>
      <c r="H11" s="28"/>
      <c r="I11" s="28"/>
      <c r="J11" s="28"/>
      <c r="K11" s="28"/>
    </row>
    <row r="12" customFormat="false" ht="21.75" hidden="false" customHeight="true" outlineLevel="0" collapsed="false">
      <c r="B12" s="27" t="s">
        <v>61</v>
      </c>
      <c r="C12" s="21"/>
      <c r="D12" s="21"/>
      <c r="E12" s="28"/>
      <c r="F12" s="28"/>
      <c r="G12" s="28"/>
      <c r="H12" s="28"/>
      <c r="I12" s="28"/>
      <c r="J12" s="28"/>
      <c r="K12" s="28"/>
    </row>
    <row r="13" customFormat="false" ht="7.5" hidden="false" customHeight="true" outlineLevel="0" collapsed="false"/>
    <row r="14" customFormat="false" ht="19.5" hidden="false" customHeight="true" outlineLevel="0" collapsed="false">
      <c r="A14" s="4" t="s">
        <v>62</v>
      </c>
      <c r="B14" s="4"/>
      <c r="C14" s="4"/>
      <c r="D14" s="4"/>
      <c r="E14" s="4"/>
      <c r="F14" s="4"/>
      <c r="G14" s="4"/>
      <c r="H14" s="4"/>
      <c r="I14" s="4"/>
      <c r="J14" s="4"/>
      <c r="K14" s="4"/>
    </row>
    <row r="15" customFormat="false" ht="31.5" hidden="false" customHeight="true" outlineLevel="0" collapsed="false">
      <c r="A15" s="8" t="s">
        <v>63</v>
      </c>
      <c r="B15" s="8"/>
      <c r="C15" s="8"/>
      <c r="D15" s="8"/>
      <c r="E15" s="8"/>
      <c r="F15" s="8"/>
      <c r="G15" s="8"/>
      <c r="H15" s="8"/>
      <c r="I15" s="8"/>
      <c r="J15" s="8"/>
      <c r="K15" s="8"/>
    </row>
    <row r="16" customFormat="false" ht="33.75" hidden="false" customHeight="true" outlineLevel="0" collapsed="false">
      <c r="B16" s="25" t="s">
        <v>55</v>
      </c>
      <c r="C16" s="25" t="s">
        <v>64</v>
      </c>
      <c r="D16" s="25" t="s">
        <v>65</v>
      </c>
      <c r="E16" s="25" t="s">
        <v>66</v>
      </c>
      <c r="F16" s="25" t="s">
        <v>67</v>
      </c>
      <c r="G16" s="25" t="s">
        <v>68</v>
      </c>
      <c r="H16" s="25" t="s">
        <v>69</v>
      </c>
      <c r="I16" s="30" t="s">
        <v>70</v>
      </c>
      <c r="J16" s="30"/>
      <c r="K16" s="30"/>
    </row>
    <row r="17" customFormat="false" ht="21.75" hidden="false" customHeight="true" outlineLevel="0" collapsed="false">
      <c r="B17" s="27" t="s">
        <v>59</v>
      </c>
      <c r="C17" s="21"/>
      <c r="D17" s="31" t="str">
        <f aca="false">IF(C17&lt;&gt;"",C17*$E$5,"")</f>
        <v/>
      </c>
      <c r="E17" s="21"/>
      <c r="F17" s="32" t="str">
        <f aca="false">IF(C17&lt;&gt;"",C17*C10,"")</f>
        <v/>
      </c>
      <c r="G17" s="33" t="str">
        <f aca="false">IF(D17&lt;&gt;"",D17*C10,"")</f>
        <v/>
      </c>
      <c r="H17" s="34"/>
      <c r="I17" s="35"/>
      <c r="J17" s="35"/>
      <c r="K17" s="35"/>
    </row>
    <row r="18" customFormat="false" ht="21.75" hidden="false" customHeight="true" outlineLevel="0" collapsed="false">
      <c r="B18" s="29" t="s">
        <v>60</v>
      </c>
      <c r="C18" s="21"/>
      <c r="D18" s="31" t="str">
        <f aca="false">IF(C18&lt;&gt;"",C18*$E$5,"")</f>
        <v/>
      </c>
      <c r="E18" s="21"/>
      <c r="F18" s="32" t="str">
        <f aca="false">IF(C18&lt;&gt;"",C18*C11,"")</f>
        <v/>
      </c>
      <c r="G18" s="33" t="str">
        <f aca="false">IF(D18&lt;&gt;"",D18*C11,"")</f>
        <v/>
      </c>
      <c r="H18" s="36"/>
      <c r="I18" s="37"/>
      <c r="J18" s="37"/>
      <c r="K18" s="37"/>
    </row>
    <row r="19" customFormat="false" ht="21.75" hidden="false" customHeight="true" outlineLevel="0" collapsed="false">
      <c r="B19" s="27" t="s">
        <v>61</v>
      </c>
      <c r="C19" s="21"/>
      <c r="D19" s="31" t="str">
        <f aca="false">IF(C19&lt;&gt;"",C19*$E$5,"")</f>
        <v/>
      </c>
      <c r="E19" s="21"/>
      <c r="F19" s="32" t="str">
        <f aca="false">IF(C19&lt;&gt;"",C19*C12,"")</f>
        <v/>
      </c>
      <c r="G19" s="33" t="str">
        <f aca="false">IF(D19&lt;&gt;"",D19*C12,"")</f>
        <v/>
      </c>
      <c r="H19" s="34"/>
      <c r="I19" s="35"/>
      <c r="J19" s="35"/>
      <c r="K19" s="35"/>
    </row>
    <row r="20" customFormat="false" ht="24" hidden="false" customHeight="true" outlineLevel="0" collapsed="false">
      <c r="A20" s="38" t="s">
        <v>71</v>
      </c>
      <c r="B20" s="38"/>
      <c r="C20" s="39" t="n">
        <f aca="false">IFERROR(SUM(C17:C19),0)</f>
        <v>0</v>
      </c>
      <c r="D20" s="31" t="n">
        <f aca="false">IFERROR(SUM(D17:D19),0)</f>
        <v>0</v>
      </c>
      <c r="E20" s="32" t="n">
        <f aca="false">IFERROR(SUMPRODUCT(C17:C19,E17:E19),"")</f>
        <v>0</v>
      </c>
      <c r="F20" s="32" t="n">
        <f aca="false">IFERROR(SUMPRODUCT(C17:C19,C10:C12),"")</f>
        <v>0</v>
      </c>
      <c r="G20" s="33" t="n">
        <f aca="false">IFERROR(SUM(G17:G19),"")</f>
        <v>0</v>
      </c>
      <c r="H20" s="40" t="s">
        <v>72</v>
      </c>
      <c r="I20" s="40"/>
      <c r="J20" s="40"/>
      <c r="K20" s="40"/>
    </row>
    <row r="21" customFormat="false" ht="7.5" hidden="false" customHeight="true" outlineLevel="0" collapsed="false"/>
    <row r="22" customFormat="false" ht="19.5" hidden="false" customHeight="true" outlineLevel="0" collapsed="false">
      <c r="A22" s="4" t="s">
        <v>73</v>
      </c>
      <c r="B22" s="4"/>
      <c r="C22" s="4"/>
      <c r="D22" s="4"/>
      <c r="E22" s="4"/>
      <c r="F22" s="4"/>
      <c r="G22" s="4"/>
      <c r="H22" s="4"/>
      <c r="I22" s="4"/>
      <c r="J22" s="4"/>
      <c r="K22" s="4"/>
    </row>
    <row r="23" customFormat="false" ht="31.5" hidden="false" customHeight="true" outlineLevel="0" collapsed="false">
      <c r="A23" s="8" t="s">
        <v>74</v>
      </c>
      <c r="B23" s="8"/>
      <c r="C23" s="8"/>
      <c r="D23" s="8"/>
      <c r="E23" s="8"/>
      <c r="F23" s="8"/>
      <c r="G23" s="8"/>
      <c r="H23" s="8"/>
      <c r="I23" s="8"/>
      <c r="J23" s="8"/>
      <c r="K23" s="8"/>
    </row>
    <row r="24" customFormat="false" ht="30" hidden="false" customHeight="true" outlineLevel="0" collapsed="false">
      <c r="B24" s="25" t="s">
        <v>34</v>
      </c>
      <c r="C24" s="25" t="s">
        <v>75</v>
      </c>
      <c r="D24" s="25" t="s">
        <v>76</v>
      </c>
      <c r="E24" s="25" t="s">
        <v>77</v>
      </c>
      <c r="F24" s="26" t="s">
        <v>78</v>
      </c>
      <c r="G24" s="26"/>
      <c r="H24" s="26"/>
      <c r="I24" s="26"/>
      <c r="J24" s="26"/>
      <c r="K24" s="26"/>
    </row>
    <row r="25" customFormat="false" ht="21.75" hidden="false" customHeight="true" outlineLevel="0" collapsed="false">
      <c r="B25" s="17" t="s">
        <v>79</v>
      </c>
      <c r="C25" s="21"/>
      <c r="D25" s="40" t="s">
        <v>80</v>
      </c>
      <c r="E25" s="40"/>
      <c r="F25" s="40"/>
      <c r="G25" s="40"/>
      <c r="H25" s="40"/>
      <c r="I25" s="40"/>
      <c r="J25" s="40"/>
      <c r="K25" s="40"/>
    </row>
    <row r="26" customFormat="false" ht="25.5" hidden="false" customHeight="true" outlineLevel="0" collapsed="false">
      <c r="B26" s="10" t="s">
        <v>42</v>
      </c>
      <c r="C26" s="41"/>
      <c r="D26" s="42"/>
      <c r="E26" s="43" t="s">
        <v>81</v>
      </c>
      <c r="F26" s="44" t="s">
        <v>82</v>
      </c>
      <c r="G26" s="44"/>
      <c r="H26" s="44"/>
      <c r="I26" s="44"/>
      <c r="J26" s="44"/>
      <c r="K26" s="44"/>
    </row>
    <row r="27" customFormat="false" ht="25.5" hidden="false" customHeight="true" outlineLevel="0" collapsed="false">
      <c r="B27" s="12" t="s">
        <v>83</v>
      </c>
      <c r="C27" s="21"/>
      <c r="D27" s="21"/>
      <c r="E27" s="43" t="s">
        <v>84</v>
      </c>
      <c r="F27" s="44" t="s">
        <v>85</v>
      </c>
      <c r="G27" s="44"/>
      <c r="H27" s="44"/>
      <c r="I27" s="44"/>
      <c r="J27" s="44"/>
      <c r="K27" s="44"/>
    </row>
    <row r="28" customFormat="false" ht="25.5" hidden="false" customHeight="true" outlineLevel="0" collapsed="false">
      <c r="B28" s="10" t="s">
        <v>86</v>
      </c>
      <c r="C28" s="41" t="str">
        <f aca="false">IFERROR((E20-$C$25)/C27,"")</f>
        <v/>
      </c>
      <c r="D28" s="41" t="str">
        <f aca="false">IFERROR((F20-$C$25)/D27,"")</f>
        <v/>
      </c>
      <c r="E28" s="43" t="s">
        <v>87</v>
      </c>
      <c r="F28" s="44" t="s">
        <v>88</v>
      </c>
      <c r="G28" s="44"/>
      <c r="H28" s="44"/>
      <c r="I28" s="44"/>
      <c r="J28" s="44"/>
      <c r="K28" s="44"/>
    </row>
    <row r="29" customFormat="false" ht="25.5" hidden="false" customHeight="true" outlineLevel="0" collapsed="false">
      <c r="B29" s="12" t="s">
        <v>89</v>
      </c>
      <c r="C29" s="45" t="s">
        <v>90</v>
      </c>
      <c r="D29" s="32" t="n">
        <f aca="false">IFERROR(F20,"")</f>
        <v>0</v>
      </c>
      <c r="E29" s="43" t="s">
        <v>91</v>
      </c>
      <c r="F29" s="44" t="s">
        <v>92</v>
      </c>
      <c r="G29" s="44"/>
      <c r="H29" s="44"/>
      <c r="I29" s="44"/>
      <c r="J29" s="44"/>
      <c r="K29" s="44"/>
    </row>
    <row r="30" customFormat="false" ht="25.5" hidden="false" customHeight="true" outlineLevel="0" collapsed="false">
      <c r="B30" s="10" t="s">
        <v>93</v>
      </c>
      <c r="C30" s="42"/>
      <c r="D30" s="42"/>
      <c r="E30" s="43" t="s">
        <v>94</v>
      </c>
      <c r="F30" s="44" t="s">
        <v>95</v>
      </c>
      <c r="G30" s="44"/>
      <c r="H30" s="44"/>
      <c r="I30" s="44"/>
      <c r="J30" s="44"/>
      <c r="K30" s="44"/>
    </row>
    <row r="31" customFormat="false" ht="7.5" hidden="false" customHeight="true" outlineLevel="0" collapsed="false"/>
    <row r="32" customFormat="false" ht="19.5" hidden="false" customHeight="true" outlineLevel="0" collapsed="false">
      <c r="A32" s="4" t="s">
        <v>96</v>
      </c>
      <c r="B32" s="4"/>
      <c r="C32" s="4"/>
      <c r="D32" s="4"/>
      <c r="E32" s="4"/>
      <c r="F32" s="4"/>
      <c r="G32" s="4"/>
      <c r="H32" s="4"/>
      <c r="I32" s="4"/>
      <c r="J32" s="4"/>
      <c r="K32" s="4"/>
    </row>
    <row r="33" customFormat="false" ht="30" hidden="false" customHeight="true" outlineLevel="0" collapsed="false">
      <c r="B33" s="25" t="s">
        <v>97</v>
      </c>
      <c r="C33" s="25" t="s">
        <v>98</v>
      </c>
      <c r="D33" s="25" t="s">
        <v>99</v>
      </c>
      <c r="E33" s="25" t="s">
        <v>100</v>
      </c>
      <c r="F33" s="26" t="s">
        <v>101</v>
      </c>
      <c r="G33" s="26"/>
      <c r="H33" s="26"/>
      <c r="I33" s="26"/>
      <c r="J33" s="26"/>
      <c r="K33" s="26"/>
    </row>
    <row r="34" customFormat="false" ht="25.5" hidden="false" customHeight="true" outlineLevel="0" collapsed="false">
      <c r="B34" s="10" t="s">
        <v>102</v>
      </c>
      <c r="C34" s="32" t="n">
        <f aca="false">$G$5</f>
        <v>0</v>
      </c>
      <c r="D34" s="32" t="n">
        <f aca="false">IFERROR(F20,"")</f>
        <v>0</v>
      </c>
      <c r="E34" s="32" t="n">
        <f aca="false">IFERROR(D34-C34,"")</f>
        <v>0</v>
      </c>
      <c r="F34" s="46" t="str">
        <f aca="false">IF(D34="","",IF(D34&gt;=C34,"✓ PASS","✗ FAIL — RE-ALLOCATE"))</f>
        <v>✓ PASS</v>
      </c>
      <c r="G34" s="47" t="str">
        <f aca="false">IF(D34="","",IF(D34&gt;=C34,"Portfolio passes IPS mandate. No re-allocation required. Proceed to Section 6 (Final Metrics).","FAIL: Portfolio breaches IPS Tripwire by "&amp;TEXT(ABS(D34-C34),"0.0%")&amp;". Complete Section 5 (Re-allocation) to bring portfolio within mandate before submitting."))</f>
        <v>Portfolio passes IPS mandate. No re-allocation required. Proceed to Section 6 (Final Metrics).</v>
      </c>
      <c r="H34" s="47"/>
      <c r="I34" s="47"/>
      <c r="J34" s="47"/>
      <c r="K34" s="47"/>
    </row>
    <row r="35" customFormat="false" ht="25.5" hidden="false" customHeight="true" outlineLevel="0" collapsed="false">
      <c r="B35" s="12" t="s">
        <v>103</v>
      </c>
      <c r="C35" s="21"/>
      <c r="D35" s="32" t="str">
        <f aca="false">IF(C27&lt;&gt;"",C27,"")</f>
        <v/>
      </c>
      <c r="E35" s="32" t="str">
        <f aca="false">IFERROR(D35-C35,"")</f>
        <v/>
      </c>
      <c r="F35" s="46" t="str">
        <f aca="false">IF(D35="","",IF(D35&lt;=C35,"✓ PASS","✗ EXCEED"))</f>
        <v/>
      </c>
      <c r="G35" s="48" t="s">
        <v>104</v>
      </c>
      <c r="H35" s="48"/>
      <c r="I35" s="48"/>
      <c r="J35" s="48"/>
      <c r="K35" s="48"/>
    </row>
    <row r="36" customFormat="false" ht="7.5" hidden="false" customHeight="true" outlineLevel="0" collapsed="false"/>
    <row r="37" customFormat="false" ht="19.5" hidden="false" customHeight="true" outlineLevel="0" collapsed="false">
      <c r="A37" s="49" t="s">
        <v>105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</row>
    <row r="38" customFormat="false" ht="31.5" hidden="false" customHeight="true" outlineLevel="0" collapsed="false">
      <c r="A38" s="50" t="s">
        <v>106</v>
      </c>
      <c r="B38" s="50"/>
      <c r="C38" s="50"/>
      <c r="D38" s="50"/>
      <c r="E38" s="50"/>
      <c r="F38" s="50"/>
      <c r="G38" s="50"/>
      <c r="H38" s="50"/>
      <c r="I38" s="50"/>
      <c r="J38" s="50"/>
      <c r="K38" s="50"/>
    </row>
    <row r="39" customFormat="false" ht="18" hidden="false" customHeight="true" outlineLevel="0" collapsed="false">
      <c r="A39" s="51" t="s">
        <v>107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</row>
    <row r="40" customFormat="false" ht="30" hidden="false" customHeight="true" outlineLevel="0" collapsed="false">
      <c r="B40" s="25" t="s">
        <v>108</v>
      </c>
      <c r="C40" s="25" t="s">
        <v>109</v>
      </c>
      <c r="D40" s="25" t="s">
        <v>110</v>
      </c>
      <c r="E40" s="25" t="s">
        <v>111</v>
      </c>
      <c r="F40" s="25" t="s">
        <v>112</v>
      </c>
      <c r="G40" s="26" t="s">
        <v>113</v>
      </c>
      <c r="H40" s="26"/>
      <c r="I40" s="26"/>
      <c r="J40" s="26"/>
      <c r="K40" s="26"/>
    </row>
    <row r="41" customFormat="false" ht="21.75" hidden="false" customHeight="true" outlineLevel="0" collapsed="false">
      <c r="B41" s="18"/>
      <c r="C41" s="18"/>
      <c r="D41" s="21"/>
      <c r="E41" s="21"/>
      <c r="F41" s="33" t="str">
        <f aca="false">IF(AND(D41&lt;&gt;"",E41&lt;&gt;""),(E41-D41)*500000,"")</f>
        <v/>
      </c>
      <c r="G41" s="28"/>
      <c r="H41" s="28"/>
      <c r="I41" s="28"/>
      <c r="J41" s="28"/>
      <c r="K41" s="28"/>
    </row>
    <row r="42" customFormat="false" ht="21.75" hidden="false" customHeight="true" outlineLevel="0" collapsed="false">
      <c r="B42" s="18"/>
      <c r="C42" s="18"/>
      <c r="D42" s="21"/>
      <c r="E42" s="21"/>
      <c r="F42" s="33" t="str">
        <f aca="false">IF(AND(D42&lt;&gt;"",E42&lt;&gt;""),(E42-D42)*500000,"")</f>
        <v/>
      </c>
      <c r="G42" s="28"/>
      <c r="H42" s="28"/>
      <c r="I42" s="28"/>
      <c r="J42" s="28"/>
      <c r="K42" s="28"/>
    </row>
    <row r="43" customFormat="false" ht="21.75" hidden="false" customHeight="true" outlineLevel="0" collapsed="false">
      <c r="B43" s="18"/>
      <c r="C43" s="18"/>
      <c r="D43" s="21"/>
      <c r="E43" s="21"/>
      <c r="F43" s="33" t="str">
        <f aca="false">IF(AND(D43&lt;&gt;"",E43&lt;&gt;""),(E43-D43)*500000,"")</f>
        <v/>
      </c>
      <c r="G43" s="28"/>
      <c r="H43" s="28"/>
      <c r="I43" s="28"/>
      <c r="J43" s="28"/>
      <c r="K43" s="28"/>
    </row>
    <row r="44" customFormat="false" ht="21.75" hidden="false" customHeight="true" outlineLevel="0" collapsed="false">
      <c r="B44" s="18"/>
      <c r="C44" s="18"/>
      <c r="D44" s="21"/>
      <c r="E44" s="21"/>
      <c r="F44" s="33" t="str">
        <f aca="false">IF(AND(D44&lt;&gt;"",E44&lt;&gt;""),(E44-D44)*500000,"")</f>
        <v/>
      </c>
      <c r="G44" s="28"/>
      <c r="H44" s="28"/>
      <c r="I44" s="28"/>
      <c r="J44" s="28"/>
      <c r="K44" s="28"/>
    </row>
    <row r="45" customFormat="false" ht="21.75" hidden="false" customHeight="true" outlineLevel="0" collapsed="false">
      <c r="B45" s="18"/>
      <c r="C45" s="18"/>
      <c r="D45" s="21"/>
      <c r="E45" s="21"/>
      <c r="F45" s="33" t="str">
        <f aca="false">IF(AND(D45&lt;&gt;"",E45&lt;&gt;""),(E45-D45)*500000,"")</f>
        <v/>
      </c>
      <c r="G45" s="28"/>
      <c r="H45" s="28"/>
      <c r="I45" s="28"/>
      <c r="J45" s="28"/>
      <c r="K45" s="28"/>
    </row>
    <row r="46" customFormat="false" ht="21.75" hidden="false" customHeight="true" outlineLevel="0" collapsed="false">
      <c r="B46" s="18"/>
      <c r="C46" s="18"/>
      <c r="D46" s="21"/>
      <c r="E46" s="21"/>
      <c r="F46" s="33" t="str">
        <f aca="false">IF(AND(D46&lt;&gt;"",E46&lt;&gt;""),(E46-D46)*500000,"")</f>
        <v/>
      </c>
      <c r="G46" s="28"/>
      <c r="H46" s="28"/>
      <c r="I46" s="28"/>
      <c r="J46" s="28"/>
      <c r="K46" s="28"/>
    </row>
    <row r="47" customFormat="false" ht="21.75" hidden="false" customHeight="true" outlineLevel="0" collapsed="false">
      <c r="A47" s="52" t="s">
        <v>114</v>
      </c>
      <c r="B47" s="52"/>
      <c r="C47" s="52"/>
      <c r="D47" s="32" t="n">
        <f aca="false">IFERROR(SUM(E41:E46),0)</f>
        <v>0</v>
      </c>
      <c r="E47" s="40" t="s">
        <v>115</v>
      </c>
      <c r="F47" s="40"/>
      <c r="G47" s="40"/>
      <c r="H47" s="40"/>
      <c r="I47" s="40"/>
      <c r="J47" s="40"/>
      <c r="K47" s="40"/>
    </row>
    <row r="48" customFormat="false" ht="7.5" hidden="false" customHeight="true" outlineLevel="0" collapsed="false"/>
    <row r="49" customFormat="false" ht="18" hidden="false" customHeight="true" outlineLevel="0" collapsed="false">
      <c r="A49" s="51" t="s">
        <v>116</v>
      </c>
      <c r="B49" s="51"/>
      <c r="C49" s="51"/>
      <c r="D49" s="51"/>
      <c r="E49" s="51"/>
      <c r="F49" s="51"/>
      <c r="G49" s="51"/>
      <c r="H49" s="51"/>
      <c r="I49" s="51"/>
      <c r="J49" s="51"/>
      <c r="K49" s="51"/>
    </row>
    <row r="50" customFormat="false" ht="31.5" hidden="false" customHeight="true" outlineLevel="0" collapsed="false">
      <c r="A50" s="8" t="s">
        <v>117</v>
      </c>
      <c r="B50" s="8"/>
      <c r="C50" s="8"/>
      <c r="D50" s="8"/>
      <c r="E50" s="8"/>
      <c r="F50" s="8"/>
      <c r="G50" s="8"/>
      <c r="H50" s="8"/>
      <c r="I50" s="8"/>
      <c r="J50" s="8"/>
      <c r="K50" s="8"/>
    </row>
    <row r="51" customFormat="false" ht="30" hidden="false" customHeight="true" outlineLevel="0" collapsed="false">
      <c r="B51" s="25" t="s">
        <v>55</v>
      </c>
      <c r="C51" s="25" t="s">
        <v>118</v>
      </c>
      <c r="D51" s="25" t="s">
        <v>119</v>
      </c>
      <c r="E51" s="25" t="s">
        <v>120</v>
      </c>
      <c r="F51" s="25" t="s">
        <v>121</v>
      </c>
      <c r="G51" s="26" t="s">
        <v>122</v>
      </c>
      <c r="H51" s="26"/>
      <c r="I51" s="26"/>
      <c r="J51" s="26"/>
      <c r="K51" s="26"/>
    </row>
    <row r="52" customFormat="false" ht="21.75" hidden="false" customHeight="true" outlineLevel="0" collapsed="false">
      <c r="B52" s="27" t="s">
        <v>59</v>
      </c>
      <c r="C52" s="21"/>
      <c r="D52" s="31" t="str">
        <f aca="false">IF(C52&lt;&gt;"",C52*$E$5,"")</f>
        <v/>
      </c>
      <c r="E52" s="32" t="n">
        <f aca="false">C10</f>
        <v>0</v>
      </c>
      <c r="F52" s="32" t="str">
        <f aca="false">IF(C52&lt;&gt;"",C52*C10,"")</f>
        <v/>
      </c>
      <c r="G52" s="33" t="str">
        <f aca="false">IF(D52&lt;&gt;"",D52*C10,"")</f>
        <v/>
      </c>
      <c r="H52" s="53"/>
      <c r="I52" s="53"/>
      <c r="J52" s="53"/>
      <c r="K52" s="53"/>
    </row>
    <row r="53" customFormat="false" ht="21.75" hidden="false" customHeight="true" outlineLevel="0" collapsed="false">
      <c r="B53" s="29" t="s">
        <v>60</v>
      </c>
      <c r="C53" s="21"/>
      <c r="D53" s="31" t="str">
        <f aca="false">IF(C53&lt;&gt;"",C53*$E$5,"")</f>
        <v/>
      </c>
      <c r="E53" s="32" t="n">
        <f aca="false">C11</f>
        <v>0</v>
      </c>
      <c r="F53" s="32" t="str">
        <f aca="false">IF(C53&lt;&gt;"",C53*C11,"")</f>
        <v/>
      </c>
      <c r="G53" s="33" t="str">
        <f aca="false">IF(D53&lt;&gt;"",D53*C11,"")</f>
        <v/>
      </c>
      <c r="H53" s="54"/>
      <c r="I53" s="54"/>
      <c r="J53" s="54"/>
      <c r="K53" s="54"/>
    </row>
    <row r="54" customFormat="false" ht="21.75" hidden="false" customHeight="true" outlineLevel="0" collapsed="false">
      <c r="B54" s="27" t="s">
        <v>61</v>
      </c>
      <c r="C54" s="21"/>
      <c r="D54" s="31" t="str">
        <f aca="false">IF(C54&lt;&gt;"",C54*$E$5,"")</f>
        <v/>
      </c>
      <c r="E54" s="32" t="n">
        <f aca="false">C12</f>
        <v>0</v>
      </c>
      <c r="F54" s="32" t="str">
        <f aca="false">IF(C54&lt;&gt;"",C54*C12,"")</f>
        <v/>
      </c>
      <c r="G54" s="33" t="str">
        <f aca="false">IF(D54&lt;&gt;"",D54*C12,"")</f>
        <v/>
      </c>
      <c r="H54" s="53"/>
      <c r="I54" s="53"/>
      <c r="J54" s="53"/>
      <c r="K54" s="53"/>
    </row>
    <row r="55" customFormat="false" ht="24" hidden="false" customHeight="true" outlineLevel="0" collapsed="false">
      <c r="A55" s="38" t="s">
        <v>123</v>
      </c>
      <c r="B55" s="38"/>
      <c r="C55" s="32" t="n">
        <f aca="false">IFERROR(SUM(C52:C54),0)</f>
        <v>0</v>
      </c>
      <c r="D55" s="31" t="n">
        <f aca="false">IFERROR(SUM(D52:D54),0)</f>
        <v>0</v>
      </c>
      <c r="E55" s="32"/>
      <c r="F55" s="32" t="n">
        <f aca="false">IFERROR(SUMPRODUCT(C52:C54,C10:C12),"")</f>
        <v>0</v>
      </c>
      <c r="G55" s="33" t="n">
        <f aca="false">IFERROR(SUM(G52:G54),"")</f>
        <v>0</v>
      </c>
    </row>
    <row r="56" customFormat="false" ht="25.5" hidden="false" customHeight="true" outlineLevel="0" collapsed="false">
      <c r="B56" s="10" t="s">
        <v>124</v>
      </c>
      <c r="C56" s="32" t="n">
        <f aca="false">$G$5</f>
        <v>0</v>
      </c>
      <c r="D56" s="32" t="n">
        <f aca="false">IFERROR(F55,"")</f>
        <v>0</v>
      </c>
      <c r="E56" s="32" t="n">
        <f aca="false">IFERROR(D56-C56,"")</f>
        <v>0</v>
      </c>
      <c r="F56" s="46" t="str">
        <f aca="false">IF(D56="","",IF(D56&gt;=$G$5,"✓ REVISED PASS","✗ STILL FAILING — ADJUST FURTHER"))</f>
        <v>✓ REVISED PASS</v>
      </c>
      <c r="G56" s="48" t="s">
        <v>125</v>
      </c>
      <c r="H56" s="48"/>
      <c r="I56" s="48"/>
      <c r="J56" s="48"/>
      <c r="K56" s="48"/>
    </row>
    <row r="57" customFormat="false" ht="7.5" hidden="false" customHeight="true" outlineLevel="0" collapsed="false"/>
    <row r="58" customFormat="false" ht="19.5" hidden="false" customHeight="true" outlineLevel="0" collapsed="false">
      <c r="A58" s="4" t="s">
        <v>126</v>
      </c>
      <c r="B58" s="4"/>
      <c r="C58" s="4"/>
      <c r="D58" s="4"/>
      <c r="E58" s="4"/>
      <c r="F58" s="4"/>
      <c r="G58" s="4"/>
      <c r="H58" s="4"/>
      <c r="I58" s="4"/>
      <c r="J58" s="4"/>
      <c r="K58" s="4"/>
    </row>
    <row r="59" customFormat="false" ht="31.5" hidden="false" customHeight="true" outlineLevel="0" collapsed="false">
      <c r="A59" s="8" t="s">
        <v>127</v>
      </c>
      <c r="B59" s="8"/>
      <c r="C59" s="8"/>
      <c r="D59" s="8"/>
      <c r="E59" s="8"/>
      <c r="F59" s="8"/>
      <c r="G59" s="8"/>
      <c r="H59" s="8"/>
      <c r="I59" s="8"/>
      <c r="J59" s="8"/>
      <c r="K59" s="8"/>
    </row>
    <row r="60" customFormat="false" ht="30" hidden="false" customHeight="true" outlineLevel="0" collapsed="false">
      <c r="B60" s="25" t="s">
        <v>34</v>
      </c>
      <c r="C60" s="25" t="s">
        <v>128</v>
      </c>
      <c r="D60" s="25" t="s">
        <v>129</v>
      </c>
      <c r="E60" s="26" t="s">
        <v>130</v>
      </c>
      <c r="F60" s="26"/>
      <c r="G60" s="26"/>
      <c r="H60" s="26"/>
      <c r="I60" s="26"/>
      <c r="J60" s="26"/>
      <c r="K60" s="26"/>
    </row>
    <row r="61" customFormat="false" ht="24" hidden="false" customHeight="true" outlineLevel="0" collapsed="false">
      <c r="B61" s="10" t="s">
        <v>42</v>
      </c>
      <c r="C61" s="42"/>
      <c r="D61" s="55" t="s">
        <v>131</v>
      </c>
      <c r="E61" s="44" t="s">
        <v>132</v>
      </c>
      <c r="F61" s="44"/>
      <c r="G61" s="44"/>
      <c r="H61" s="44"/>
      <c r="I61" s="44"/>
      <c r="J61" s="44"/>
      <c r="K61" s="44"/>
    </row>
    <row r="62" customFormat="false" ht="24" hidden="false" customHeight="true" outlineLevel="0" collapsed="false">
      <c r="B62" s="12" t="s">
        <v>83</v>
      </c>
      <c r="C62" s="21"/>
      <c r="D62" s="55" t="s">
        <v>133</v>
      </c>
      <c r="E62" s="44" t="s">
        <v>134</v>
      </c>
      <c r="F62" s="44"/>
      <c r="G62" s="44"/>
      <c r="H62" s="44"/>
      <c r="I62" s="44"/>
      <c r="J62" s="44"/>
      <c r="K62" s="44"/>
    </row>
    <row r="63" customFormat="false" ht="24" hidden="false" customHeight="true" outlineLevel="0" collapsed="false">
      <c r="B63" s="10" t="s">
        <v>135</v>
      </c>
      <c r="C63" s="42"/>
      <c r="D63" s="55" t="s">
        <v>136</v>
      </c>
      <c r="E63" s="44" t="s">
        <v>137</v>
      </c>
      <c r="F63" s="44"/>
      <c r="G63" s="44"/>
      <c r="H63" s="44"/>
      <c r="I63" s="44"/>
      <c r="J63" s="44"/>
      <c r="K63" s="44"/>
    </row>
    <row r="64" customFormat="false" ht="24" hidden="false" customHeight="true" outlineLevel="0" collapsed="false">
      <c r="B64" s="12" t="s">
        <v>39</v>
      </c>
      <c r="C64" s="21"/>
      <c r="D64" s="55" t="s">
        <v>138</v>
      </c>
      <c r="E64" s="44" t="s">
        <v>139</v>
      </c>
      <c r="F64" s="44"/>
      <c r="G64" s="44"/>
      <c r="H64" s="44"/>
      <c r="I64" s="44"/>
      <c r="J64" s="44"/>
      <c r="K64" s="44"/>
    </row>
    <row r="65" customFormat="false" ht="24" hidden="false" customHeight="true" outlineLevel="0" collapsed="false">
      <c r="B65" s="10" t="s">
        <v>140</v>
      </c>
      <c r="C65" s="56"/>
      <c r="D65" s="55" t="s">
        <v>141</v>
      </c>
      <c r="E65" s="44" t="s">
        <v>139</v>
      </c>
      <c r="F65" s="44"/>
      <c r="G65" s="44"/>
      <c r="H65" s="44"/>
      <c r="I65" s="44"/>
      <c r="J65" s="44"/>
      <c r="K65" s="44"/>
    </row>
    <row r="66" customFormat="false" ht="24" hidden="false" customHeight="true" outlineLevel="0" collapsed="false">
      <c r="B66" s="12" t="s">
        <v>142</v>
      </c>
      <c r="C66" s="57"/>
      <c r="D66" s="55" t="s">
        <v>143</v>
      </c>
      <c r="E66" s="44" t="s">
        <v>144</v>
      </c>
      <c r="F66" s="44"/>
      <c r="G66" s="44"/>
      <c r="H66" s="44"/>
      <c r="I66" s="44"/>
      <c r="J66" s="44"/>
      <c r="K66" s="44"/>
    </row>
    <row r="68" customFormat="false" ht="7.5" hidden="false" customHeight="true" outlineLevel="0" collapsed="false"/>
    <row r="69" customFormat="false" ht="19.5" hidden="false" customHeight="true" outlineLevel="0" collapsed="false">
      <c r="A69" s="4" t="s">
        <v>145</v>
      </c>
      <c r="B69" s="4"/>
      <c r="C69" s="4"/>
      <c r="D69" s="4"/>
      <c r="E69" s="4"/>
      <c r="F69" s="4"/>
      <c r="G69" s="4"/>
      <c r="H69" s="4"/>
      <c r="I69" s="4"/>
      <c r="J69" s="4"/>
      <c r="K69" s="4"/>
    </row>
    <row r="70" customFormat="false" ht="18" hidden="false" customHeight="true" outlineLevel="0" collapsed="false">
      <c r="B70" s="58" t="s">
        <v>146</v>
      </c>
      <c r="C70" s="7" t="s">
        <v>147</v>
      </c>
      <c r="D70" s="7"/>
      <c r="E70" s="7"/>
      <c r="F70" s="7"/>
      <c r="G70" s="7"/>
      <c r="H70" s="7"/>
      <c r="I70" s="7"/>
      <c r="J70" s="7"/>
      <c r="K70" s="7"/>
    </row>
    <row r="71" customFormat="false" ht="18" hidden="false" customHeight="true" outlineLevel="0" collapsed="false">
      <c r="B71" s="59" t="s">
        <v>146</v>
      </c>
      <c r="C71" s="7" t="s">
        <v>148</v>
      </c>
      <c r="D71" s="7"/>
      <c r="E71" s="7"/>
      <c r="F71" s="7"/>
      <c r="G71" s="7"/>
      <c r="H71" s="7"/>
      <c r="I71" s="7"/>
      <c r="J71" s="7"/>
      <c r="K71" s="7"/>
    </row>
    <row r="72" customFormat="false" ht="18" hidden="false" customHeight="true" outlineLevel="0" collapsed="false">
      <c r="B72" s="60" t="s">
        <v>146</v>
      </c>
      <c r="C72" s="7" t="s">
        <v>149</v>
      </c>
      <c r="D72" s="7"/>
      <c r="E72" s="7"/>
      <c r="F72" s="7"/>
      <c r="G72" s="7"/>
      <c r="H72" s="7"/>
      <c r="I72" s="7"/>
      <c r="J72" s="7"/>
      <c r="K72" s="7"/>
    </row>
    <row r="73" customFormat="false" ht="18" hidden="false" customHeight="true" outlineLevel="0" collapsed="false">
      <c r="B73" s="61" t="s">
        <v>146</v>
      </c>
      <c r="C73" s="7" t="s">
        <v>150</v>
      </c>
      <c r="D73" s="7"/>
      <c r="E73" s="7"/>
      <c r="F73" s="7"/>
      <c r="G73" s="7"/>
      <c r="H73" s="7"/>
      <c r="I73" s="7"/>
      <c r="J73" s="7"/>
      <c r="K73" s="7"/>
    </row>
    <row r="74" customFormat="false" ht="18" hidden="false" customHeight="true" outlineLevel="0" collapsed="false">
      <c r="B74" s="62" t="s">
        <v>146</v>
      </c>
      <c r="C74" s="7" t="s">
        <v>151</v>
      </c>
      <c r="D74" s="7"/>
      <c r="E74" s="7"/>
      <c r="F74" s="7"/>
      <c r="G74" s="7"/>
      <c r="H74" s="7"/>
      <c r="I74" s="7"/>
      <c r="J74" s="7"/>
      <c r="K74" s="7"/>
    </row>
    <row r="75" customFormat="false" ht="18" hidden="false" customHeight="true" outlineLevel="0" collapsed="false">
      <c r="B75" s="63" t="s">
        <v>146</v>
      </c>
      <c r="C75" s="7" t="s">
        <v>152</v>
      </c>
      <c r="D75" s="7"/>
      <c r="E75" s="7"/>
      <c r="F75" s="7"/>
      <c r="G75" s="7"/>
      <c r="H75" s="7"/>
      <c r="I75" s="7"/>
      <c r="J75" s="7"/>
      <c r="K75" s="7"/>
    </row>
  </sheetData>
  <mergeCells count="65">
    <mergeCell ref="A2:K2"/>
    <mergeCell ref="A3:K3"/>
    <mergeCell ref="A7:K7"/>
    <mergeCell ref="A8:K8"/>
    <mergeCell ref="E9:K9"/>
    <mergeCell ref="E10:K10"/>
    <mergeCell ref="E11:K11"/>
    <mergeCell ref="E12:K12"/>
    <mergeCell ref="A14:K14"/>
    <mergeCell ref="A15:K15"/>
    <mergeCell ref="I16:K16"/>
    <mergeCell ref="I17:K17"/>
    <mergeCell ref="I18:K18"/>
    <mergeCell ref="I19:K19"/>
    <mergeCell ref="A20:B20"/>
    <mergeCell ref="H20:K20"/>
    <mergeCell ref="A22:K22"/>
    <mergeCell ref="A23:K23"/>
    <mergeCell ref="F24:K24"/>
    <mergeCell ref="D25:K25"/>
    <mergeCell ref="F26:K26"/>
    <mergeCell ref="F27:K27"/>
    <mergeCell ref="F28:K28"/>
    <mergeCell ref="F29:K29"/>
    <mergeCell ref="F30:K30"/>
    <mergeCell ref="A32:K32"/>
    <mergeCell ref="F33:K33"/>
    <mergeCell ref="G34:K34"/>
    <mergeCell ref="G35:K35"/>
    <mergeCell ref="A37:K37"/>
    <mergeCell ref="A38:K38"/>
    <mergeCell ref="A39:K39"/>
    <mergeCell ref="G40:K40"/>
    <mergeCell ref="G41:K41"/>
    <mergeCell ref="G42:K42"/>
    <mergeCell ref="G43:K43"/>
    <mergeCell ref="G44:K44"/>
    <mergeCell ref="G45:K45"/>
    <mergeCell ref="G46:K46"/>
    <mergeCell ref="A47:C47"/>
    <mergeCell ref="E47:K47"/>
    <mergeCell ref="A49:K49"/>
    <mergeCell ref="A50:K50"/>
    <mergeCell ref="G51:K51"/>
    <mergeCell ref="H52:K52"/>
    <mergeCell ref="H53:K53"/>
    <mergeCell ref="H54:K54"/>
    <mergeCell ref="A55:B55"/>
    <mergeCell ref="G56:K56"/>
    <mergeCell ref="A58:K58"/>
    <mergeCell ref="A59:K59"/>
    <mergeCell ref="E60:K60"/>
    <mergeCell ref="E61:K61"/>
    <mergeCell ref="E62:K62"/>
    <mergeCell ref="E63:K63"/>
    <mergeCell ref="E64:K64"/>
    <mergeCell ref="E65:K65"/>
    <mergeCell ref="E66:K66"/>
    <mergeCell ref="A69:K69"/>
    <mergeCell ref="C70:K70"/>
    <mergeCell ref="C71:K71"/>
    <mergeCell ref="C72:K72"/>
    <mergeCell ref="C73:K73"/>
    <mergeCell ref="C74:K74"/>
    <mergeCell ref="C75:K75"/>
  </mergeCells>
  <conditionalFormatting sqref="C20">
    <cfRule type="cellIs" priority="2" operator="equal" aboveAverage="0" equalAverage="0" bottom="0" percent="0" rank="0" text="" dxfId="0">
      <formula>1</formula>
    </cfRule>
    <cfRule type="cellIs" priority="3" operator="notEqual" aboveAverage="0" equalAverage="0" bottom="0" percent="0" rank="0" text="" dxfId="1">
      <formula>1</formula>
    </cfRule>
  </conditionalFormatting>
  <conditionalFormatting sqref="F34">
    <cfRule type="expression" priority="4" aboveAverage="0" equalAverage="0" bottom="0" percent="0" rank="0" text="" dxfId="4">
      <formula>D34&gt;=C34</formula>
    </cfRule>
    <cfRule type="expression" priority="5" aboveAverage="0" equalAverage="0" bottom="0" percent="0" rank="0" text="" dxfId="5">
      <formula>AND(D34&lt;&gt;"",D34&lt;C34)</formula>
    </cfRule>
  </conditionalFormatting>
  <conditionalFormatting sqref="F35">
    <cfRule type="expression" priority="6" aboveAverage="0" equalAverage="0" bottom="0" percent="0" rank="0" text="" dxfId="4">
      <formula>AND(D35&lt;&gt;"",D35&lt;=C35)</formula>
    </cfRule>
    <cfRule type="expression" priority="7" aboveAverage="0" equalAverage="0" bottom="0" percent="0" rank="0" text="" dxfId="6">
      <formula>AND(D35&lt;&gt;"",D35&gt;C35)</formula>
    </cfRule>
  </conditionalFormatting>
  <conditionalFormatting sqref="D47">
    <cfRule type="cellIs" priority="8" operator="equal" aboveAverage="0" equalAverage="0" bottom="0" percent="0" rank="0" text="" dxfId="0">
      <formula>1</formula>
    </cfRule>
    <cfRule type="cellIs" priority="9" operator="notEqual" aboveAverage="0" equalAverage="0" bottom="0" percent="0" rank="0" text="" dxfId="1">
      <formula>1</formula>
    </cfRule>
  </conditionalFormatting>
  <conditionalFormatting sqref="F56">
    <cfRule type="expression" priority="10" aboveAverage="0" equalAverage="0" bottom="0" percent="0" rank="0" text="" dxfId="4">
      <formula>D56&gt;=$G$5</formula>
    </cfRule>
    <cfRule type="expression" priority="11" aboveAverage="0" equalAverage="0" bottom="0" percent="0" rank="0" text="" dxfId="5">
      <formula>AND(D56&lt;&gt;"",D56&lt;$G$5)</formula>
    </cfRule>
  </conditionalFormatting>
  <dataValidations count="1">
    <dataValidation allowBlank="true" errorStyle="stop" operator="between" showDropDown="false" showErrorMessage="false" showInputMessage="false" sqref="B41:B46" type="list">
      <formula1>"BUY,SELL,HOLD"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8B"/>
    <pageSetUpPr fitToPage="false"/>
  </sheetPr>
  <dimension ref="A1:K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13"/>
    <col collapsed="false" customWidth="true" hidden="false" outlineLevel="0" max="7" min="4" style="1" width="16"/>
    <col collapsed="false" customWidth="true" hidden="false" outlineLevel="0" max="8" min="8" style="1" width="28"/>
    <col collapsed="false" customWidth="true" hidden="false" outlineLevel="0" max="10" min="9" style="1" width="14"/>
    <col collapsed="false" customWidth="true" hidden="false" outlineLevel="0" max="11" min="11" style="1" width="2"/>
  </cols>
  <sheetData>
    <row r="1" customFormat="false" ht="6" hidden="false" customHeight="true" outlineLevel="0" collapsed="false"/>
    <row r="2" customFormat="false" ht="37.5" hidden="false" customHeight="true" outlineLevel="0" collapsed="false">
      <c r="A2" s="2" t="s">
        <v>154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8" hidden="false" customHeight="true" outlineLevel="0" collapsed="false">
      <c r="A3" s="3" t="s">
        <v>47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6" hidden="false" customHeight="true" outlineLevel="0" collapsed="false"/>
    <row r="5" customFormat="false" ht="21.75" hidden="false" customHeight="true" outlineLevel="0" collapsed="false">
      <c r="B5" s="17" t="s">
        <v>48</v>
      </c>
      <c r="C5" s="18"/>
      <c r="D5" s="17" t="s">
        <v>49</v>
      </c>
      <c r="E5" s="19" t="n">
        <v>500000</v>
      </c>
      <c r="F5" s="20" t="s">
        <v>50</v>
      </c>
      <c r="G5" s="21"/>
      <c r="H5" s="17" t="s">
        <v>51</v>
      </c>
      <c r="I5" s="22"/>
      <c r="J5" s="23" t="s">
        <v>52</v>
      </c>
    </row>
    <row r="6" customFormat="false" ht="6" hidden="false" customHeight="true" outlineLevel="0" collapsed="false"/>
    <row r="7" customFormat="false" ht="19.5" hidden="false" customHeight="true" outlineLevel="0" collapsed="false">
      <c r="A7" s="4" t="s">
        <v>53</v>
      </c>
      <c r="B7" s="4"/>
      <c r="C7" s="4"/>
      <c r="D7" s="4"/>
      <c r="E7" s="4"/>
      <c r="F7" s="4"/>
      <c r="G7" s="4"/>
      <c r="H7" s="4"/>
      <c r="I7" s="4"/>
      <c r="J7" s="4"/>
      <c r="K7" s="4"/>
    </row>
    <row r="8" customFormat="false" ht="31.5" hidden="false" customHeight="true" outlineLevel="0" collapsed="false">
      <c r="A8" s="24" t="s">
        <v>54</v>
      </c>
      <c r="B8" s="24"/>
      <c r="C8" s="24"/>
      <c r="D8" s="24"/>
      <c r="E8" s="24"/>
      <c r="F8" s="24"/>
      <c r="G8" s="24"/>
      <c r="H8" s="24"/>
      <c r="I8" s="24"/>
      <c r="J8" s="24"/>
      <c r="K8" s="24"/>
    </row>
    <row r="9" customFormat="false" ht="30" hidden="false" customHeight="true" outlineLevel="0" collapsed="false">
      <c r="B9" s="25" t="s">
        <v>55</v>
      </c>
      <c r="C9" s="25" t="s">
        <v>56</v>
      </c>
      <c r="D9" s="25" t="s">
        <v>57</v>
      </c>
      <c r="E9" s="26" t="s">
        <v>58</v>
      </c>
      <c r="F9" s="26"/>
      <c r="G9" s="26"/>
      <c r="H9" s="26"/>
      <c r="I9" s="26"/>
      <c r="J9" s="26"/>
      <c r="K9" s="26"/>
    </row>
    <row r="10" customFormat="false" ht="21.75" hidden="false" customHeight="true" outlineLevel="0" collapsed="false">
      <c r="B10" s="27" t="s">
        <v>59</v>
      </c>
      <c r="C10" s="21"/>
      <c r="D10" s="21"/>
      <c r="E10" s="28"/>
      <c r="F10" s="28"/>
      <c r="G10" s="28"/>
      <c r="H10" s="28"/>
      <c r="I10" s="28"/>
      <c r="J10" s="28"/>
      <c r="K10" s="28"/>
    </row>
    <row r="11" customFormat="false" ht="21.75" hidden="false" customHeight="true" outlineLevel="0" collapsed="false">
      <c r="B11" s="29" t="s">
        <v>60</v>
      </c>
      <c r="C11" s="21"/>
      <c r="D11" s="21"/>
      <c r="E11" s="28"/>
      <c r="F11" s="28"/>
      <c r="G11" s="28"/>
      <c r="H11" s="28"/>
      <c r="I11" s="28"/>
      <c r="J11" s="28"/>
      <c r="K11" s="28"/>
    </row>
    <row r="12" customFormat="false" ht="21.75" hidden="false" customHeight="true" outlineLevel="0" collapsed="false">
      <c r="B12" s="27" t="s">
        <v>61</v>
      </c>
      <c r="C12" s="21"/>
      <c r="D12" s="21"/>
      <c r="E12" s="28"/>
      <c r="F12" s="28"/>
      <c r="G12" s="28"/>
      <c r="H12" s="28"/>
      <c r="I12" s="28"/>
      <c r="J12" s="28"/>
      <c r="K12" s="28"/>
    </row>
    <row r="13" customFormat="false" ht="7.5" hidden="false" customHeight="true" outlineLevel="0" collapsed="false"/>
    <row r="14" customFormat="false" ht="19.5" hidden="false" customHeight="true" outlineLevel="0" collapsed="false">
      <c r="A14" s="4" t="s">
        <v>62</v>
      </c>
      <c r="B14" s="4"/>
      <c r="C14" s="4"/>
      <c r="D14" s="4"/>
      <c r="E14" s="4"/>
      <c r="F14" s="4"/>
      <c r="G14" s="4"/>
      <c r="H14" s="4"/>
      <c r="I14" s="4"/>
      <c r="J14" s="4"/>
      <c r="K14" s="4"/>
    </row>
    <row r="15" customFormat="false" ht="31.5" hidden="false" customHeight="true" outlineLevel="0" collapsed="false">
      <c r="A15" s="8" t="s">
        <v>63</v>
      </c>
      <c r="B15" s="8"/>
      <c r="C15" s="8"/>
      <c r="D15" s="8"/>
      <c r="E15" s="8"/>
      <c r="F15" s="8"/>
      <c r="G15" s="8"/>
      <c r="H15" s="8"/>
      <c r="I15" s="8"/>
      <c r="J15" s="8"/>
      <c r="K15" s="8"/>
    </row>
    <row r="16" customFormat="false" ht="33.75" hidden="false" customHeight="true" outlineLevel="0" collapsed="false">
      <c r="B16" s="25" t="s">
        <v>55</v>
      </c>
      <c r="C16" s="25" t="s">
        <v>64</v>
      </c>
      <c r="D16" s="25" t="s">
        <v>65</v>
      </c>
      <c r="E16" s="25" t="s">
        <v>66</v>
      </c>
      <c r="F16" s="25" t="s">
        <v>67</v>
      </c>
      <c r="G16" s="25" t="s">
        <v>68</v>
      </c>
      <c r="H16" s="25" t="s">
        <v>69</v>
      </c>
      <c r="I16" s="30" t="s">
        <v>70</v>
      </c>
      <c r="J16" s="30"/>
      <c r="K16" s="30"/>
    </row>
    <row r="17" customFormat="false" ht="21.75" hidden="false" customHeight="true" outlineLevel="0" collapsed="false">
      <c r="B17" s="27" t="s">
        <v>59</v>
      </c>
      <c r="C17" s="21"/>
      <c r="D17" s="31" t="str">
        <f aca="false">IF(C17&lt;&gt;"",C17*$E$5,"")</f>
        <v/>
      </c>
      <c r="E17" s="21"/>
      <c r="F17" s="32" t="str">
        <f aca="false">IF(C17&lt;&gt;"",C17*C10,"")</f>
        <v/>
      </c>
      <c r="G17" s="33" t="str">
        <f aca="false">IF(D17&lt;&gt;"",D17*C10,"")</f>
        <v/>
      </c>
      <c r="H17" s="34"/>
      <c r="I17" s="35"/>
      <c r="J17" s="35"/>
      <c r="K17" s="35"/>
    </row>
    <row r="18" customFormat="false" ht="21.75" hidden="false" customHeight="true" outlineLevel="0" collapsed="false">
      <c r="B18" s="29" t="s">
        <v>60</v>
      </c>
      <c r="C18" s="21"/>
      <c r="D18" s="31" t="str">
        <f aca="false">IF(C18&lt;&gt;"",C18*$E$5,"")</f>
        <v/>
      </c>
      <c r="E18" s="21"/>
      <c r="F18" s="32" t="str">
        <f aca="false">IF(C18&lt;&gt;"",C18*C11,"")</f>
        <v/>
      </c>
      <c r="G18" s="33" t="str">
        <f aca="false">IF(D18&lt;&gt;"",D18*C11,"")</f>
        <v/>
      </c>
      <c r="H18" s="36"/>
      <c r="I18" s="37"/>
      <c r="J18" s="37"/>
      <c r="K18" s="37"/>
    </row>
    <row r="19" customFormat="false" ht="21.75" hidden="false" customHeight="true" outlineLevel="0" collapsed="false">
      <c r="B19" s="27" t="s">
        <v>61</v>
      </c>
      <c r="C19" s="21"/>
      <c r="D19" s="31" t="str">
        <f aca="false">IF(C19&lt;&gt;"",C19*$E$5,"")</f>
        <v/>
      </c>
      <c r="E19" s="21"/>
      <c r="F19" s="32" t="str">
        <f aca="false">IF(C19&lt;&gt;"",C19*C12,"")</f>
        <v/>
      </c>
      <c r="G19" s="33" t="str">
        <f aca="false">IF(D19&lt;&gt;"",D19*C12,"")</f>
        <v/>
      </c>
      <c r="H19" s="34"/>
      <c r="I19" s="35"/>
      <c r="J19" s="35"/>
      <c r="K19" s="35"/>
    </row>
    <row r="20" customFormat="false" ht="24" hidden="false" customHeight="true" outlineLevel="0" collapsed="false">
      <c r="A20" s="38" t="s">
        <v>71</v>
      </c>
      <c r="B20" s="38"/>
      <c r="C20" s="39" t="n">
        <f aca="false">IFERROR(SUM(C17:C19),0)</f>
        <v>0</v>
      </c>
      <c r="D20" s="31" t="n">
        <f aca="false">IFERROR(SUM(D17:D19),0)</f>
        <v>0</v>
      </c>
      <c r="E20" s="32" t="n">
        <f aca="false">IFERROR(SUMPRODUCT(C17:C19,E17:E19),"")</f>
        <v>0</v>
      </c>
      <c r="F20" s="32" t="n">
        <f aca="false">IFERROR(SUMPRODUCT(C17:C19,C10:C12),"")</f>
        <v>0</v>
      </c>
      <c r="G20" s="33" t="n">
        <f aca="false">IFERROR(SUM(G17:G19),"")</f>
        <v>0</v>
      </c>
      <c r="H20" s="40" t="s">
        <v>72</v>
      </c>
      <c r="I20" s="40"/>
      <c r="J20" s="40"/>
      <c r="K20" s="40"/>
    </row>
    <row r="21" customFormat="false" ht="7.5" hidden="false" customHeight="true" outlineLevel="0" collapsed="false"/>
    <row r="22" customFormat="false" ht="19.5" hidden="false" customHeight="true" outlineLevel="0" collapsed="false">
      <c r="A22" s="4" t="s">
        <v>73</v>
      </c>
      <c r="B22" s="4"/>
      <c r="C22" s="4"/>
      <c r="D22" s="4"/>
      <c r="E22" s="4"/>
      <c r="F22" s="4"/>
      <c r="G22" s="4"/>
      <c r="H22" s="4"/>
      <c r="I22" s="4"/>
      <c r="J22" s="4"/>
      <c r="K22" s="4"/>
    </row>
    <row r="23" customFormat="false" ht="31.5" hidden="false" customHeight="true" outlineLevel="0" collapsed="false">
      <c r="A23" s="8" t="s">
        <v>74</v>
      </c>
      <c r="B23" s="8"/>
      <c r="C23" s="8"/>
      <c r="D23" s="8"/>
      <c r="E23" s="8"/>
      <c r="F23" s="8"/>
      <c r="G23" s="8"/>
      <c r="H23" s="8"/>
      <c r="I23" s="8"/>
      <c r="J23" s="8"/>
      <c r="K23" s="8"/>
    </row>
    <row r="24" customFormat="false" ht="30" hidden="false" customHeight="true" outlineLevel="0" collapsed="false">
      <c r="B24" s="25" t="s">
        <v>34</v>
      </c>
      <c r="C24" s="25" t="s">
        <v>75</v>
      </c>
      <c r="D24" s="25" t="s">
        <v>76</v>
      </c>
      <c r="E24" s="25" t="s">
        <v>77</v>
      </c>
      <c r="F24" s="26" t="s">
        <v>78</v>
      </c>
      <c r="G24" s="26"/>
      <c r="H24" s="26"/>
      <c r="I24" s="26"/>
      <c r="J24" s="26"/>
      <c r="K24" s="26"/>
    </row>
    <row r="25" customFormat="false" ht="21.75" hidden="false" customHeight="true" outlineLevel="0" collapsed="false">
      <c r="B25" s="17" t="s">
        <v>79</v>
      </c>
      <c r="C25" s="21"/>
      <c r="D25" s="40" t="s">
        <v>80</v>
      </c>
      <c r="E25" s="40"/>
      <c r="F25" s="40"/>
      <c r="G25" s="40"/>
      <c r="H25" s="40"/>
      <c r="I25" s="40"/>
      <c r="J25" s="40"/>
      <c r="K25" s="40"/>
    </row>
    <row r="26" customFormat="false" ht="25.5" hidden="false" customHeight="true" outlineLevel="0" collapsed="false">
      <c r="B26" s="10" t="s">
        <v>42</v>
      </c>
      <c r="C26" s="41"/>
      <c r="D26" s="42"/>
      <c r="E26" s="43" t="s">
        <v>81</v>
      </c>
      <c r="F26" s="44" t="s">
        <v>82</v>
      </c>
      <c r="G26" s="44"/>
      <c r="H26" s="44"/>
      <c r="I26" s="44"/>
      <c r="J26" s="44"/>
      <c r="K26" s="44"/>
    </row>
    <row r="27" customFormat="false" ht="25.5" hidden="false" customHeight="true" outlineLevel="0" collapsed="false">
      <c r="B27" s="12" t="s">
        <v>83</v>
      </c>
      <c r="C27" s="21"/>
      <c r="D27" s="21"/>
      <c r="E27" s="43" t="s">
        <v>84</v>
      </c>
      <c r="F27" s="44" t="s">
        <v>85</v>
      </c>
      <c r="G27" s="44"/>
      <c r="H27" s="44"/>
      <c r="I27" s="44"/>
      <c r="J27" s="44"/>
      <c r="K27" s="44"/>
    </row>
    <row r="28" customFormat="false" ht="25.5" hidden="false" customHeight="true" outlineLevel="0" collapsed="false">
      <c r="B28" s="10" t="s">
        <v>86</v>
      </c>
      <c r="C28" s="41" t="str">
        <f aca="false">IFERROR((E20-$C$25)/C27,"")</f>
        <v/>
      </c>
      <c r="D28" s="41" t="str">
        <f aca="false">IFERROR((F20-$C$25)/D27,"")</f>
        <v/>
      </c>
      <c r="E28" s="43" t="s">
        <v>87</v>
      </c>
      <c r="F28" s="44" t="s">
        <v>88</v>
      </c>
      <c r="G28" s="44"/>
      <c r="H28" s="44"/>
      <c r="I28" s="44"/>
      <c r="J28" s="44"/>
      <c r="K28" s="44"/>
    </row>
    <row r="29" customFormat="false" ht="25.5" hidden="false" customHeight="true" outlineLevel="0" collapsed="false">
      <c r="B29" s="12" t="s">
        <v>89</v>
      </c>
      <c r="C29" s="45" t="s">
        <v>90</v>
      </c>
      <c r="D29" s="32" t="n">
        <f aca="false">IFERROR(F20,"")</f>
        <v>0</v>
      </c>
      <c r="E29" s="43" t="s">
        <v>91</v>
      </c>
      <c r="F29" s="44" t="s">
        <v>92</v>
      </c>
      <c r="G29" s="44"/>
      <c r="H29" s="44"/>
      <c r="I29" s="44"/>
      <c r="J29" s="44"/>
      <c r="K29" s="44"/>
    </row>
    <row r="30" customFormat="false" ht="25.5" hidden="false" customHeight="true" outlineLevel="0" collapsed="false">
      <c r="B30" s="10" t="s">
        <v>93</v>
      </c>
      <c r="C30" s="42"/>
      <c r="D30" s="42"/>
      <c r="E30" s="43" t="s">
        <v>94</v>
      </c>
      <c r="F30" s="44" t="s">
        <v>95</v>
      </c>
      <c r="G30" s="44"/>
      <c r="H30" s="44"/>
      <c r="I30" s="44"/>
      <c r="J30" s="44"/>
      <c r="K30" s="44"/>
    </row>
    <row r="31" customFormat="false" ht="7.5" hidden="false" customHeight="true" outlineLevel="0" collapsed="false"/>
    <row r="32" customFormat="false" ht="19.5" hidden="false" customHeight="true" outlineLevel="0" collapsed="false">
      <c r="A32" s="4" t="s">
        <v>96</v>
      </c>
      <c r="B32" s="4"/>
      <c r="C32" s="4"/>
      <c r="D32" s="4"/>
      <c r="E32" s="4"/>
      <c r="F32" s="4"/>
      <c r="G32" s="4"/>
      <c r="H32" s="4"/>
      <c r="I32" s="4"/>
      <c r="J32" s="4"/>
      <c r="K32" s="4"/>
    </row>
    <row r="33" customFormat="false" ht="30" hidden="false" customHeight="true" outlineLevel="0" collapsed="false">
      <c r="B33" s="25" t="s">
        <v>97</v>
      </c>
      <c r="C33" s="25" t="s">
        <v>98</v>
      </c>
      <c r="D33" s="25" t="s">
        <v>99</v>
      </c>
      <c r="E33" s="25" t="s">
        <v>100</v>
      </c>
      <c r="F33" s="26" t="s">
        <v>101</v>
      </c>
      <c r="G33" s="26"/>
      <c r="H33" s="26"/>
      <c r="I33" s="26"/>
      <c r="J33" s="26"/>
      <c r="K33" s="26"/>
    </row>
    <row r="34" customFormat="false" ht="25.5" hidden="false" customHeight="true" outlineLevel="0" collapsed="false">
      <c r="B34" s="10" t="s">
        <v>102</v>
      </c>
      <c r="C34" s="32" t="n">
        <f aca="false">$G$5</f>
        <v>0</v>
      </c>
      <c r="D34" s="32" t="n">
        <f aca="false">IFERROR(F20,"")</f>
        <v>0</v>
      </c>
      <c r="E34" s="32" t="n">
        <f aca="false">IFERROR(D34-C34,"")</f>
        <v>0</v>
      </c>
      <c r="F34" s="46" t="str">
        <f aca="false">IF(D34="","",IF(D34&gt;=C34,"✓ PASS","✗ FAIL — RE-ALLOCATE"))</f>
        <v>✓ PASS</v>
      </c>
      <c r="G34" s="47" t="str">
        <f aca="false">IF(D34="","",IF(D34&gt;=C34,"Portfolio passes IPS mandate. No re-allocation required. Proceed to Section 6 (Final Metrics).","FAIL: Portfolio breaches IPS Tripwire by "&amp;TEXT(ABS(D34-C34),"0.0%")&amp;". Complete Section 5 (Re-allocation) to bring portfolio within mandate before submitting."))</f>
        <v>Portfolio passes IPS mandate. No re-allocation required. Proceed to Section 6 (Final Metrics).</v>
      </c>
      <c r="H34" s="47"/>
      <c r="I34" s="47"/>
      <c r="J34" s="47"/>
      <c r="K34" s="47"/>
    </row>
    <row r="35" customFormat="false" ht="25.5" hidden="false" customHeight="true" outlineLevel="0" collapsed="false">
      <c r="B35" s="12" t="s">
        <v>103</v>
      </c>
      <c r="C35" s="21"/>
      <c r="D35" s="32" t="str">
        <f aca="false">IF(C27&lt;&gt;"",C27,"")</f>
        <v/>
      </c>
      <c r="E35" s="32" t="str">
        <f aca="false">IFERROR(D35-C35,"")</f>
        <v/>
      </c>
      <c r="F35" s="46" t="str">
        <f aca="false">IF(D35="","",IF(D35&lt;=C35,"✓ PASS","✗ EXCEED"))</f>
        <v/>
      </c>
      <c r="G35" s="48" t="s">
        <v>104</v>
      </c>
      <c r="H35" s="48"/>
      <c r="I35" s="48"/>
      <c r="J35" s="48"/>
      <c r="K35" s="48"/>
    </row>
    <row r="36" customFormat="false" ht="7.5" hidden="false" customHeight="true" outlineLevel="0" collapsed="false"/>
    <row r="37" customFormat="false" ht="19.5" hidden="false" customHeight="true" outlineLevel="0" collapsed="false">
      <c r="A37" s="49" t="s">
        <v>105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</row>
    <row r="38" customFormat="false" ht="31.5" hidden="false" customHeight="true" outlineLevel="0" collapsed="false">
      <c r="A38" s="50" t="s">
        <v>106</v>
      </c>
      <c r="B38" s="50"/>
      <c r="C38" s="50"/>
      <c r="D38" s="50"/>
      <c r="E38" s="50"/>
      <c r="F38" s="50"/>
      <c r="G38" s="50"/>
      <c r="H38" s="50"/>
      <c r="I38" s="50"/>
      <c r="J38" s="50"/>
      <c r="K38" s="50"/>
    </row>
    <row r="39" customFormat="false" ht="18" hidden="false" customHeight="true" outlineLevel="0" collapsed="false">
      <c r="A39" s="51" t="s">
        <v>107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</row>
    <row r="40" customFormat="false" ht="30" hidden="false" customHeight="true" outlineLevel="0" collapsed="false">
      <c r="B40" s="25" t="s">
        <v>108</v>
      </c>
      <c r="C40" s="25" t="s">
        <v>109</v>
      </c>
      <c r="D40" s="25" t="s">
        <v>110</v>
      </c>
      <c r="E40" s="25" t="s">
        <v>111</v>
      </c>
      <c r="F40" s="25" t="s">
        <v>112</v>
      </c>
      <c r="G40" s="26" t="s">
        <v>113</v>
      </c>
      <c r="H40" s="26"/>
      <c r="I40" s="26"/>
      <c r="J40" s="26"/>
      <c r="K40" s="26"/>
    </row>
    <row r="41" customFormat="false" ht="21.75" hidden="false" customHeight="true" outlineLevel="0" collapsed="false">
      <c r="B41" s="18"/>
      <c r="C41" s="18"/>
      <c r="D41" s="21"/>
      <c r="E41" s="21"/>
      <c r="F41" s="33" t="str">
        <f aca="false">IF(AND(D41&lt;&gt;"",E41&lt;&gt;""),(E41-D41)*500000,"")</f>
        <v/>
      </c>
      <c r="G41" s="28"/>
      <c r="H41" s="28"/>
      <c r="I41" s="28"/>
      <c r="J41" s="28"/>
      <c r="K41" s="28"/>
    </row>
    <row r="42" customFormat="false" ht="21.75" hidden="false" customHeight="true" outlineLevel="0" collapsed="false">
      <c r="B42" s="18"/>
      <c r="C42" s="18"/>
      <c r="D42" s="21"/>
      <c r="E42" s="21"/>
      <c r="F42" s="33" t="str">
        <f aca="false">IF(AND(D42&lt;&gt;"",E42&lt;&gt;""),(E42-D42)*500000,"")</f>
        <v/>
      </c>
      <c r="G42" s="28"/>
      <c r="H42" s="28"/>
      <c r="I42" s="28"/>
      <c r="J42" s="28"/>
      <c r="K42" s="28"/>
    </row>
    <row r="43" customFormat="false" ht="21.75" hidden="false" customHeight="true" outlineLevel="0" collapsed="false">
      <c r="B43" s="18"/>
      <c r="C43" s="18"/>
      <c r="D43" s="21"/>
      <c r="E43" s="21"/>
      <c r="F43" s="33" t="str">
        <f aca="false">IF(AND(D43&lt;&gt;"",E43&lt;&gt;""),(E43-D43)*500000,"")</f>
        <v/>
      </c>
      <c r="G43" s="28"/>
      <c r="H43" s="28"/>
      <c r="I43" s="28"/>
      <c r="J43" s="28"/>
      <c r="K43" s="28"/>
    </row>
    <row r="44" customFormat="false" ht="21.75" hidden="false" customHeight="true" outlineLevel="0" collapsed="false">
      <c r="B44" s="18"/>
      <c r="C44" s="18"/>
      <c r="D44" s="21"/>
      <c r="E44" s="21"/>
      <c r="F44" s="33" t="str">
        <f aca="false">IF(AND(D44&lt;&gt;"",E44&lt;&gt;""),(E44-D44)*500000,"")</f>
        <v/>
      </c>
      <c r="G44" s="28"/>
      <c r="H44" s="28"/>
      <c r="I44" s="28"/>
      <c r="J44" s="28"/>
      <c r="K44" s="28"/>
    </row>
    <row r="45" customFormat="false" ht="21.75" hidden="false" customHeight="true" outlineLevel="0" collapsed="false">
      <c r="B45" s="18"/>
      <c r="C45" s="18"/>
      <c r="D45" s="21"/>
      <c r="E45" s="21"/>
      <c r="F45" s="33" t="str">
        <f aca="false">IF(AND(D45&lt;&gt;"",E45&lt;&gt;""),(E45-D45)*500000,"")</f>
        <v/>
      </c>
      <c r="G45" s="28"/>
      <c r="H45" s="28"/>
      <c r="I45" s="28"/>
      <c r="J45" s="28"/>
      <c r="K45" s="28"/>
    </row>
    <row r="46" customFormat="false" ht="21.75" hidden="false" customHeight="true" outlineLevel="0" collapsed="false">
      <c r="B46" s="18"/>
      <c r="C46" s="18"/>
      <c r="D46" s="21"/>
      <c r="E46" s="21"/>
      <c r="F46" s="33" t="str">
        <f aca="false">IF(AND(D46&lt;&gt;"",E46&lt;&gt;""),(E46-D46)*500000,"")</f>
        <v/>
      </c>
      <c r="G46" s="28"/>
      <c r="H46" s="28"/>
      <c r="I46" s="28"/>
      <c r="J46" s="28"/>
      <c r="K46" s="28"/>
    </row>
    <row r="47" customFormat="false" ht="21.75" hidden="false" customHeight="true" outlineLevel="0" collapsed="false">
      <c r="A47" s="52" t="s">
        <v>114</v>
      </c>
      <c r="B47" s="52"/>
      <c r="C47" s="52"/>
      <c r="D47" s="32" t="n">
        <f aca="false">IFERROR(SUM(E41:E46),0)</f>
        <v>0</v>
      </c>
      <c r="E47" s="40" t="s">
        <v>115</v>
      </c>
      <c r="F47" s="40"/>
      <c r="G47" s="40"/>
      <c r="H47" s="40"/>
      <c r="I47" s="40"/>
      <c r="J47" s="40"/>
      <c r="K47" s="40"/>
    </row>
    <row r="48" customFormat="false" ht="7.5" hidden="false" customHeight="true" outlineLevel="0" collapsed="false"/>
    <row r="49" customFormat="false" ht="18" hidden="false" customHeight="true" outlineLevel="0" collapsed="false">
      <c r="A49" s="51" t="s">
        <v>116</v>
      </c>
      <c r="B49" s="51"/>
      <c r="C49" s="51"/>
      <c r="D49" s="51"/>
      <c r="E49" s="51"/>
      <c r="F49" s="51"/>
      <c r="G49" s="51"/>
      <c r="H49" s="51"/>
      <c r="I49" s="51"/>
      <c r="J49" s="51"/>
      <c r="K49" s="51"/>
    </row>
    <row r="50" customFormat="false" ht="31.5" hidden="false" customHeight="true" outlineLevel="0" collapsed="false">
      <c r="A50" s="8" t="s">
        <v>117</v>
      </c>
      <c r="B50" s="8"/>
      <c r="C50" s="8"/>
      <c r="D50" s="8"/>
      <c r="E50" s="8"/>
      <c r="F50" s="8"/>
      <c r="G50" s="8"/>
      <c r="H50" s="8"/>
      <c r="I50" s="8"/>
      <c r="J50" s="8"/>
      <c r="K50" s="8"/>
    </row>
    <row r="51" customFormat="false" ht="30" hidden="false" customHeight="true" outlineLevel="0" collapsed="false">
      <c r="B51" s="25" t="s">
        <v>55</v>
      </c>
      <c r="C51" s="25" t="s">
        <v>118</v>
      </c>
      <c r="D51" s="25" t="s">
        <v>119</v>
      </c>
      <c r="E51" s="25" t="s">
        <v>120</v>
      </c>
      <c r="F51" s="25" t="s">
        <v>121</v>
      </c>
      <c r="G51" s="26" t="s">
        <v>122</v>
      </c>
      <c r="H51" s="26"/>
      <c r="I51" s="26"/>
      <c r="J51" s="26"/>
      <c r="K51" s="26"/>
    </row>
    <row r="52" customFormat="false" ht="21.75" hidden="false" customHeight="true" outlineLevel="0" collapsed="false">
      <c r="B52" s="27" t="s">
        <v>59</v>
      </c>
      <c r="C52" s="21"/>
      <c r="D52" s="31" t="str">
        <f aca="false">IF(C52&lt;&gt;"",C52*$E$5,"")</f>
        <v/>
      </c>
      <c r="E52" s="32" t="n">
        <f aca="false">C10</f>
        <v>0</v>
      </c>
      <c r="F52" s="32" t="str">
        <f aca="false">IF(C52&lt;&gt;"",C52*C10,"")</f>
        <v/>
      </c>
      <c r="G52" s="33" t="str">
        <f aca="false">IF(D52&lt;&gt;"",D52*C10,"")</f>
        <v/>
      </c>
      <c r="H52" s="53"/>
      <c r="I52" s="53"/>
      <c r="J52" s="53"/>
      <c r="K52" s="53"/>
    </row>
    <row r="53" customFormat="false" ht="21.75" hidden="false" customHeight="true" outlineLevel="0" collapsed="false">
      <c r="B53" s="29" t="s">
        <v>60</v>
      </c>
      <c r="C53" s="21"/>
      <c r="D53" s="31" t="str">
        <f aca="false">IF(C53&lt;&gt;"",C53*$E$5,"")</f>
        <v/>
      </c>
      <c r="E53" s="32" t="n">
        <f aca="false">C11</f>
        <v>0</v>
      </c>
      <c r="F53" s="32" t="str">
        <f aca="false">IF(C53&lt;&gt;"",C53*C11,"")</f>
        <v/>
      </c>
      <c r="G53" s="33" t="str">
        <f aca="false">IF(D53&lt;&gt;"",D53*C11,"")</f>
        <v/>
      </c>
      <c r="H53" s="54"/>
      <c r="I53" s="54"/>
      <c r="J53" s="54"/>
      <c r="K53" s="54"/>
    </row>
    <row r="54" customFormat="false" ht="21.75" hidden="false" customHeight="true" outlineLevel="0" collapsed="false">
      <c r="B54" s="27" t="s">
        <v>61</v>
      </c>
      <c r="C54" s="21"/>
      <c r="D54" s="31" t="str">
        <f aca="false">IF(C54&lt;&gt;"",C54*$E$5,"")</f>
        <v/>
      </c>
      <c r="E54" s="32" t="n">
        <f aca="false">C12</f>
        <v>0</v>
      </c>
      <c r="F54" s="32" t="str">
        <f aca="false">IF(C54&lt;&gt;"",C54*C12,"")</f>
        <v/>
      </c>
      <c r="G54" s="33" t="str">
        <f aca="false">IF(D54&lt;&gt;"",D54*C12,"")</f>
        <v/>
      </c>
      <c r="H54" s="53"/>
      <c r="I54" s="53"/>
      <c r="J54" s="53"/>
      <c r="K54" s="53"/>
    </row>
    <row r="55" customFormat="false" ht="24" hidden="false" customHeight="true" outlineLevel="0" collapsed="false">
      <c r="A55" s="38" t="s">
        <v>123</v>
      </c>
      <c r="B55" s="38"/>
      <c r="C55" s="32" t="n">
        <f aca="false">IFERROR(SUM(C52:C54),0)</f>
        <v>0</v>
      </c>
      <c r="D55" s="31" t="n">
        <f aca="false">IFERROR(SUM(D52:D54),0)</f>
        <v>0</v>
      </c>
      <c r="E55" s="32"/>
      <c r="F55" s="32" t="n">
        <f aca="false">IFERROR(SUMPRODUCT(C52:C54,C10:C12),"")</f>
        <v>0</v>
      </c>
      <c r="G55" s="33" t="n">
        <f aca="false">IFERROR(SUM(G52:G54),"")</f>
        <v>0</v>
      </c>
    </row>
    <row r="56" customFormat="false" ht="25.5" hidden="false" customHeight="true" outlineLevel="0" collapsed="false">
      <c r="B56" s="10" t="s">
        <v>124</v>
      </c>
      <c r="C56" s="32" t="n">
        <f aca="false">$G$5</f>
        <v>0</v>
      </c>
      <c r="D56" s="32" t="n">
        <f aca="false">IFERROR(F55,"")</f>
        <v>0</v>
      </c>
      <c r="E56" s="32" t="n">
        <f aca="false">IFERROR(D56-C56,"")</f>
        <v>0</v>
      </c>
      <c r="F56" s="46" t="str">
        <f aca="false">IF(D56="","",IF(D56&gt;=$G$5,"✓ REVISED PASS","✗ STILL FAILING — ADJUST FURTHER"))</f>
        <v>✓ REVISED PASS</v>
      </c>
      <c r="G56" s="48" t="s">
        <v>125</v>
      </c>
      <c r="H56" s="48"/>
      <c r="I56" s="48"/>
      <c r="J56" s="48"/>
      <c r="K56" s="48"/>
    </row>
    <row r="57" customFormat="false" ht="7.5" hidden="false" customHeight="true" outlineLevel="0" collapsed="false"/>
    <row r="58" customFormat="false" ht="19.5" hidden="false" customHeight="true" outlineLevel="0" collapsed="false">
      <c r="A58" s="4" t="s">
        <v>126</v>
      </c>
      <c r="B58" s="4"/>
      <c r="C58" s="4"/>
      <c r="D58" s="4"/>
      <c r="E58" s="4"/>
      <c r="F58" s="4"/>
      <c r="G58" s="4"/>
      <c r="H58" s="4"/>
      <c r="I58" s="4"/>
      <c r="J58" s="4"/>
      <c r="K58" s="4"/>
    </row>
    <row r="59" customFormat="false" ht="31.5" hidden="false" customHeight="true" outlineLevel="0" collapsed="false">
      <c r="A59" s="8" t="s">
        <v>127</v>
      </c>
      <c r="B59" s="8"/>
      <c r="C59" s="8"/>
      <c r="D59" s="8"/>
      <c r="E59" s="8"/>
      <c r="F59" s="8"/>
      <c r="G59" s="8"/>
      <c r="H59" s="8"/>
      <c r="I59" s="8"/>
      <c r="J59" s="8"/>
      <c r="K59" s="8"/>
    </row>
    <row r="60" customFormat="false" ht="30" hidden="false" customHeight="true" outlineLevel="0" collapsed="false">
      <c r="B60" s="25" t="s">
        <v>34</v>
      </c>
      <c r="C60" s="25" t="s">
        <v>128</v>
      </c>
      <c r="D60" s="25" t="s">
        <v>129</v>
      </c>
      <c r="E60" s="26" t="s">
        <v>130</v>
      </c>
      <c r="F60" s="26"/>
      <c r="G60" s="26"/>
      <c r="H60" s="26"/>
      <c r="I60" s="26"/>
      <c r="J60" s="26"/>
      <c r="K60" s="26"/>
    </row>
    <row r="61" customFormat="false" ht="24" hidden="false" customHeight="true" outlineLevel="0" collapsed="false">
      <c r="B61" s="10" t="s">
        <v>42</v>
      </c>
      <c r="C61" s="42"/>
      <c r="D61" s="55" t="s">
        <v>131</v>
      </c>
      <c r="E61" s="44" t="s">
        <v>132</v>
      </c>
      <c r="F61" s="44"/>
      <c r="G61" s="44"/>
      <c r="H61" s="44"/>
      <c r="I61" s="44"/>
      <c r="J61" s="44"/>
      <c r="K61" s="44"/>
    </row>
    <row r="62" customFormat="false" ht="24" hidden="false" customHeight="true" outlineLevel="0" collapsed="false">
      <c r="B62" s="12" t="s">
        <v>83</v>
      </c>
      <c r="C62" s="21"/>
      <c r="D62" s="55" t="s">
        <v>133</v>
      </c>
      <c r="E62" s="44" t="s">
        <v>134</v>
      </c>
      <c r="F62" s="44"/>
      <c r="G62" s="44"/>
      <c r="H62" s="44"/>
      <c r="I62" s="44"/>
      <c r="J62" s="44"/>
      <c r="K62" s="44"/>
    </row>
    <row r="63" customFormat="false" ht="24" hidden="false" customHeight="true" outlineLevel="0" collapsed="false">
      <c r="B63" s="10" t="s">
        <v>135</v>
      </c>
      <c r="C63" s="42"/>
      <c r="D63" s="55" t="s">
        <v>136</v>
      </c>
      <c r="E63" s="44" t="s">
        <v>137</v>
      </c>
      <c r="F63" s="44"/>
      <c r="G63" s="44"/>
      <c r="H63" s="44"/>
      <c r="I63" s="44"/>
      <c r="J63" s="44"/>
      <c r="K63" s="44"/>
    </row>
    <row r="64" customFormat="false" ht="24" hidden="false" customHeight="true" outlineLevel="0" collapsed="false">
      <c r="B64" s="12" t="s">
        <v>39</v>
      </c>
      <c r="C64" s="21"/>
      <c r="D64" s="55" t="s">
        <v>138</v>
      </c>
      <c r="E64" s="44" t="s">
        <v>139</v>
      </c>
      <c r="F64" s="44"/>
      <c r="G64" s="44"/>
      <c r="H64" s="44"/>
      <c r="I64" s="44"/>
      <c r="J64" s="44"/>
      <c r="K64" s="44"/>
    </row>
    <row r="65" customFormat="false" ht="24" hidden="false" customHeight="true" outlineLevel="0" collapsed="false">
      <c r="B65" s="10" t="s">
        <v>140</v>
      </c>
      <c r="C65" s="56"/>
      <c r="D65" s="55" t="s">
        <v>141</v>
      </c>
      <c r="E65" s="44" t="s">
        <v>139</v>
      </c>
      <c r="F65" s="44"/>
      <c r="G65" s="44"/>
      <c r="H65" s="44"/>
      <c r="I65" s="44"/>
      <c r="J65" s="44"/>
      <c r="K65" s="44"/>
    </row>
    <row r="66" customFormat="false" ht="24" hidden="false" customHeight="true" outlineLevel="0" collapsed="false">
      <c r="B66" s="12" t="s">
        <v>142</v>
      </c>
      <c r="C66" s="57"/>
      <c r="D66" s="55" t="s">
        <v>143</v>
      </c>
      <c r="E66" s="44" t="s">
        <v>144</v>
      </c>
      <c r="F66" s="44"/>
      <c r="G66" s="44"/>
      <c r="H66" s="44"/>
      <c r="I66" s="44"/>
      <c r="J66" s="44"/>
      <c r="K66" s="44"/>
    </row>
    <row r="68" customFormat="false" ht="7.5" hidden="false" customHeight="true" outlineLevel="0" collapsed="false"/>
    <row r="69" customFormat="false" ht="19.5" hidden="false" customHeight="true" outlineLevel="0" collapsed="false">
      <c r="A69" s="4" t="s">
        <v>145</v>
      </c>
      <c r="B69" s="4"/>
      <c r="C69" s="4"/>
      <c r="D69" s="4"/>
      <c r="E69" s="4"/>
      <c r="F69" s="4"/>
      <c r="G69" s="4"/>
      <c r="H69" s="4"/>
      <c r="I69" s="4"/>
      <c r="J69" s="4"/>
      <c r="K69" s="4"/>
    </row>
    <row r="70" customFormat="false" ht="18" hidden="false" customHeight="true" outlineLevel="0" collapsed="false">
      <c r="B70" s="58" t="s">
        <v>146</v>
      </c>
      <c r="C70" s="7" t="s">
        <v>147</v>
      </c>
      <c r="D70" s="7"/>
      <c r="E70" s="7"/>
      <c r="F70" s="7"/>
      <c r="G70" s="7"/>
      <c r="H70" s="7"/>
      <c r="I70" s="7"/>
      <c r="J70" s="7"/>
      <c r="K70" s="7"/>
    </row>
    <row r="71" customFormat="false" ht="18" hidden="false" customHeight="true" outlineLevel="0" collapsed="false">
      <c r="B71" s="59" t="s">
        <v>146</v>
      </c>
      <c r="C71" s="7" t="s">
        <v>148</v>
      </c>
      <c r="D71" s="7"/>
      <c r="E71" s="7"/>
      <c r="F71" s="7"/>
      <c r="G71" s="7"/>
      <c r="H71" s="7"/>
      <c r="I71" s="7"/>
      <c r="J71" s="7"/>
      <c r="K71" s="7"/>
    </row>
    <row r="72" customFormat="false" ht="18" hidden="false" customHeight="true" outlineLevel="0" collapsed="false">
      <c r="B72" s="60" t="s">
        <v>146</v>
      </c>
      <c r="C72" s="7" t="s">
        <v>149</v>
      </c>
      <c r="D72" s="7"/>
      <c r="E72" s="7"/>
      <c r="F72" s="7"/>
      <c r="G72" s="7"/>
      <c r="H72" s="7"/>
      <c r="I72" s="7"/>
      <c r="J72" s="7"/>
      <c r="K72" s="7"/>
    </row>
    <row r="73" customFormat="false" ht="18" hidden="false" customHeight="true" outlineLevel="0" collapsed="false">
      <c r="B73" s="61" t="s">
        <v>146</v>
      </c>
      <c r="C73" s="7" t="s">
        <v>150</v>
      </c>
      <c r="D73" s="7"/>
      <c r="E73" s="7"/>
      <c r="F73" s="7"/>
      <c r="G73" s="7"/>
      <c r="H73" s="7"/>
      <c r="I73" s="7"/>
      <c r="J73" s="7"/>
      <c r="K73" s="7"/>
    </row>
    <row r="74" customFormat="false" ht="18" hidden="false" customHeight="true" outlineLevel="0" collapsed="false">
      <c r="B74" s="62" t="s">
        <v>146</v>
      </c>
      <c r="C74" s="7" t="s">
        <v>151</v>
      </c>
      <c r="D74" s="7"/>
      <c r="E74" s="7"/>
      <c r="F74" s="7"/>
      <c r="G74" s="7"/>
      <c r="H74" s="7"/>
      <c r="I74" s="7"/>
      <c r="J74" s="7"/>
      <c r="K74" s="7"/>
    </row>
    <row r="75" customFormat="false" ht="18" hidden="false" customHeight="true" outlineLevel="0" collapsed="false">
      <c r="B75" s="63" t="s">
        <v>146</v>
      </c>
      <c r="C75" s="7" t="s">
        <v>152</v>
      </c>
      <c r="D75" s="7"/>
      <c r="E75" s="7"/>
      <c r="F75" s="7"/>
      <c r="G75" s="7"/>
      <c r="H75" s="7"/>
      <c r="I75" s="7"/>
      <c r="J75" s="7"/>
      <c r="K75" s="7"/>
    </row>
  </sheetData>
  <mergeCells count="65">
    <mergeCell ref="A2:K2"/>
    <mergeCell ref="A3:K3"/>
    <mergeCell ref="A7:K7"/>
    <mergeCell ref="A8:K8"/>
    <mergeCell ref="E9:K9"/>
    <mergeCell ref="E10:K10"/>
    <mergeCell ref="E11:K11"/>
    <mergeCell ref="E12:K12"/>
    <mergeCell ref="A14:K14"/>
    <mergeCell ref="A15:K15"/>
    <mergeCell ref="I16:K16"/>
    <mergeCell ref="I17:K17"/>
    <mergeCell ref="I18:K18"/>
    <mergeCell ref="I19:K19"/>
    <mergeCell ref="A20:B20"/>
    <mergeCell ref="H20:K20"/>
    <mergeCell ref="A22:K22"/>
    <mergeCell ref="A23:K23"/>
    <mergeCell ref="F24:K24"/>
    <mergeCell ref="D25:K25"/>
    <mergeCell ref="F26:K26"/>
    <mergeCell ref="F27:K27"/>
    <mergeCell ref="F28:K28"/>
    <mergeCell ref="F29:K29"/>
    <mergeCell ref="F30:K30"/>
    <mergeCell ref="A32:K32"/>
    <mergeCell ref="F33:K33"/>
    <mergeCell ref="G34:K34"/>
    <mergeCell ref="G35:K35"/>
    <mergeCell ref="A37:K37"/>
    <mergeCell ref="A38:K38"/>
    <mergeCell ref="A39:K39"/>
    <mergeCell ref="G40:K40"/>
    <mergeCell ref="G41:K41"/>
    <mergeCell ref="G42:K42"/>
    <mergeCell ref="G43:K43"/>
    <mergeCell ref="G44:K44"/>
    <mergeCell ref="G45:K45"/>
    <mergeCell ref="G46:K46"/>
    <mergeCell ref="A47:C47"/>
    <mergeCell ref="E47:K47"/>
    <mergeCell ref="A49:K49"/>
    <mergeCell ref="A50:K50"/>
    <mergeCell ref="G51:K51"/>
    <mergeCell ref="H52:K52"/>
    <mergeCell ref="H53:K53"/>
    <mergeCell ref="H54:K54"/>
    <mergeCell ref="A55:B55"/>
    <mergeCell ref="G56:K56"/>
    <mergeCell ref="A58:K58"/>
    <mergeCell ref="A59:K59"/>
    <mergeCell ref="E60:K60"/>
    <mergeCell ref="E61:K61"/>
    <mergeCell ref="E62:K62"/>
    <mergeCell ref="E63:K63"/>
    <mergeCell ref="E64:K64"/>
    <mergeCell ref="E65:K65"/>
    <mergeCell ref="E66:K66"/>
    <mergeCell ref="A69:K69"/>
    <mergeCell ref="C70:K70"/>
    <mergeCell ref="C71:K71"/>
    <mergeCell ref="C72:K72"/>
    <mergeCell ref="C73:K73"/>
    <mergeCell ref="C74:K74"/>
    <mergeCell ref="C75:K75"/>
  </mergeCells>
  <conditionalFormatting sqref="C20">
    <cfRule type="cellIs" priority="2" operator="equal" aboveAverage="0" equalAverage="0" bottom="0" percent="0" rank="0" text="" dxfId="0">
      <formula>1</formula>
    </cfRule>
    <cfRule type="cellIs" priority="3" operator="notEqual" aboveAverage="0" equalAverage="0" bottom="0" percent="0" rank="0" text="" dxfId="1">
      <formula>1</formula>
    </cfRule>
  </conditionalFormatting>
  <conditionalFormatting sqref="F34">
    <cfRule type="expression" priority="4" aboveAverage="0" equalAverage="0" bottom="0" percent="0" rank="0" text="" dxfId="4">
      <formula>D34&gt;=C34</formula>
    </cfRule>
    <cfRule type="expression" priority="5" aboveAverage="0" equalAverage="0" bottom="0" percent="0" rank="0" text="" dxfId="5">
      <formula>AND(D34&lt;&gt;"",D34&lt;C34)</formula>
    </cfRule>
  </conditionalFormatting>
  <conditionalFormatting sqref="F35">
    <cfRule type="expression" priority="6" aboveAverage="0" equalAverage="0" bottom="0" percent="0" rank="0" text="" dxfId="4">
      <formula>AND(D35&lt;&gt;"",D35&lt;=C35)</formula>
    </cfRule>
    <cfRule type="expression" priority="7" aboveAverage="0" equalAverage="0" bottom="0" percent="0" rank="0" text="" dxfId="6">
      <formula>AND(D35&lt;&gt;"",D35&gt;C35)</formula>
    </cfRule>
  </conditionalFormatting>
  <conditionalFormatting sqref="D47">
    <cfRule type="cellIs" priority="8" operator="equal" aboveAverage="0" equalAverage="0" bottom="0" percent="0" rank="0" text="" dxfId="0">
      <formula>1</formula>
    </cfRule>
    <cfRule type="cellIs" priority="9" operator="notEqual" aboveAverage="0" equalAverage="0" bottom="0" percent="0" rank="0" text="" dxfId="1">
      <formula>1</formula>
    </cfRule>
  </conditionalFormatting>
  <conditionalFormatting sqref="F56">
    <cfRule type="expression" priority="10" aboveAverage="0" equalAverage="0" bottom="0" percent="0" rank="0" text="" dxfId="4">
      <formula>D56&gt;=$G$5</formula>
    </cfRule>
    <cfRule type="expression" priority="11" aboveAverage="0" equalAverage="0" bottom="0" percent="0" rank="0" text="" dxfId="5">
      <formula>AND(D56&lt;&gt;"",D56&lt;$G$5)</formula>
    </cfRule>
  </conditionalFormatting>
  <dataValidations count="1">
    <dataValidation allowBlank="true" errorStyle="stop" operator="between" showDropDown="false" showErrorMessage="false" showInputMessage="false" sqref="B41:B46" type="list">
      <formula1>"BUY,SELL,HOLD"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2026-04-20T13:35:19Z</dcterms:created>
  <dc:creator>openpyxl</dc:creator>
  <dc:description/>
  <dc:language>en-US</dc:language>
  <cp:lastModifiedBy/>
  <dcterms:modified xsi:type="dcterms:W3CDTF">2026-04-20T13:36:16Z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