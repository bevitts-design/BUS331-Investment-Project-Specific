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31572cdc8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49daad805a44a35"/>
    <x:sheet xmlns:r="http://schemas.openxmlformats.org/officeDocument/2006/relationships" name="SUMMARY" sheetId="2" r:id="Racac44fdfb9244b4"/>
    <x:sheet xmlns:r="http://schemas.openxmlformats.org/officeDocument/2006/relationships" name="Client 1" sheetId="3" r:id="R8015c8792fae4d71"/>
    <x:sheet xmlns:r="http://schemas.openxmlformats.org/officeDocument/2006/relationships" name="Client 2" sheetId="4" r:id="R84dd12c81d10406c"/>
    <x:sheet xmlns:r="http://schemas.openxmlformats.org/officeDocument/2006/relationships" name="Client 3" sheetId="5" r:id="Raab37177514948af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B41" authorId="0">
      <x:text>
        <x:r>
          <x:t>Select BUY, SELL, or HOLD</x:t>
        </x:r>
      </x:text>
    </x:comment>
    <x:comment ref="B42" authorId="0">
      <x:text>
        <x:r>
          <x:t>Select BUY, SELL, or HOLD</x:t>
        </x:r>
      </x:text>
    </x:comment>
    <x:comment ref="B43" authorId="0">
      <x:text>
        <x:r>
          <x:t>Select BUY, SELL, or HOLD</x:t>
        </x:r>
      </x:text>
    </x:comment>
    <x:comment ref="B44" authorId="0">
      <x:text>
        <x:r>
          <x:t>Select BUY, SELL, or HOLD</x:t>
        </x:r>
      </x:text>
    </x:comment>
    <x:comment ref="B45" authorId="0">
      <x:text>
        <x:r>
          <x:t>Select BUY, SELL, or HOLD</x:t>
        </x:r>
      </x:text>
    </x:comment>
    <x:comment ref="B46" authorId="0">
      <x:text>
        <x:r>
          <x:t>Select BUY, SELL, or HOLD</x:t>
        </x:r>
      </x:text>
    </x:comment>
    <x:comment ref="C5" authorId="0">
      <x:text>
        <x:r>
          <x:t>Client name or ID — e.g. Eleanor Vance — Client 1</x:t>
        </x:r>
      </x:text>
    </x:comment>
    <x:comment ref="C10" authorId="0">
      <x:text>
        <x:r>
          <x:t>Bear Case expected return for U.S. Equities. Must match Phase 1 Bear Case table. E.g. –18.0% (Bear Case from Phase 1 scenario table)</x:t>
        </x:r>
      </x:text>
    </x:comment>
    <x:comment ref="C11" authorId="0">
      <x:text>
        <x:r>
          <x:t>Bear Case expected return for Fixed Income. Must match Phase 1 Bear Case table. E.g. –4.5%  (rising rates compress bond prices)</x:t>
        </x:r>
      </x:text>
    </x:comment>
    <x:comment ref="C12" authorId="0">
      <x:text>
        <x:r>
          <x:t>Bear Case expected return for Cash / Cash Equivalents. Must match Phase 1 Bear Case table. E.g. +2.5%  (risk-free rate — stable in Bear Case)</x:t>
        </x:r>
      </x:text>
    </x:comment>
    <x:comment ref="C17" authorId="0">
      <x:text>
        <x:r>
          <x:t>Enter Solver-optimized weight for U.S. Equities from Phase 3 CME Matrix.</x:t>
        </x:r>
      </x:text>
    </x:comment>
    <x:comment ref="C18" authorId="0">
      <x:text>
        <x:r>
          <x:t>Enter Solver-optimized weight for Fixed Income from Phase 3 CME Matrix.</x:t>
        </x:r>
      </x:text>
    </x:comment>
    <x:comment ref="C19" authorId="0">
      <x:text>
        <x:r>
          <x:t>Enter Solver-optimized weight for Cash / Cash Equivalents from Phase 3 CME Matrix.</x:t>
        </x:r>
      </x:text>
    </x:comment>
    <x:comment ref="C25" authorId="0">
      <x:text>
        <x:r>
          <x:t>Current 3-Month T-Bill yield. Source: FRED series TB3MS. This is used in both Base and Bear Case Sharpe Ratio calculations.</x:t>
        </x:r>
      </x:text>
    </x:comment>
    <x:comment ref="C26" authorId="0">
      <x:text>
        <x:r>
          <x:t>Formula auto-calculated from entries above</x:t>
        </x:r>
      </x:text>
    </x:comment>
    <x:comment ref="C27" authorId="0">
      <x:text>
        <x:r>
          <x:t>Enter Portfolio Std Dev (σ) from the Phase 2 allocation and selected holdings.</x:t>
        </x:r>
      </x:text>
    </x:comment>
    <x:comment ref="C28" authorId="0">
      <x:text>
        <x:r>
          <x:t>Formula auto-calculated from entries above</x:t>
        </x:r>
      </x:text>
    </x:comment>
    <x:comment ref="C30" authorId="0">
      <x:text>
        <x:r>
          <x:t>Enter Value at Risk — 95% VaR from the Phase 2 portfolio risk analysis.</x:t>
        </x:r>
      </x:text>
    </x:comment>
    <x:comment ref="C34" authorId="0">
      <x:text>
        <x:r>
          <x:t>IPS maximum drawdown limit from client strip (row 5).</x:t>
        </x:r>
      </x:text>
    </x:comment>
    <x:comment ref="C35" authorId="0">
      <x:text>
        <x:r>
          <x:t>IPS maximum portfolio σ from Phase 2. Enter here for reference.</x:t>
        </x:r>
      </x:text>
    </x:comment>
    <x:comment ref="C41" authorId="0">
      <x:text>
        <x:r>
          <x:t>Security name or asset class. E.g. 'Reduce U.S. Equities' or 'Add Cash'</x:t>
        </x:r>
      </x:text>
    </x:comment>
    <x:comment ref="C42" authorId="0">
      <x:text>
        <x:r>
          <x:t>Security name or asset class. E.g. 'Reduce U.S. Equities' or 'Add Cash'</x:t>
        </x:r>
      </x:text>
    </x:comment>
    <x:comment ref="C43" authorId="0">
      <x:text>
        <x:r>
          <x:t>Security name or asset class. E.g. 'Reduce U.S. Equities' or 'Add Cash'</x:t>
        </x:r>
      </x:text>
    </x:comment>
    <x:comment ref="C44" authorId="0">
      <x:text>
        <x:r>
          <x:t>Security name or asset class. E.g. 'Reduce U.S. Equities' or 'Add Cash'</x:t>
        </x:r>
      </x:text>
    </x:comment>
    <x:comment ref="C45" authorId="0">
      <x:text>
        <x:r>
          <x:t>Security name or asset class. E.g. 'Reduce U.S. Equities' or 'Add Cash'</x:t>
        </x:r>
      </x:text>
    </x:comment>
    <x:comment ref="C46" authorId="0">
      <x:text>
        <x:r>
          <x:t>Security name or asset class. E.g. 'Reduce U.S. Equities' or 'Add Cash'</x:t>
        </x:r>
      </x:text>
    </x:comment>
    <x:comment ref="C52" authorId="0">
      <x:text>
        <x:r>
          <x:t>New weight for U.S. Equities after re-allocation (from Part A)</x:t>
        </x:r>
      </x:text>
    </x:comment>
    <x:comment ref="C53" authorId="0">
      <x:text>
        <x:r>
          <x:t>New weight for Fixed Income after re-allocation (from Part A)</x:t>
        </x:r>
      </x:text>
    </x:comment>
    <x:comment ref="C54" authorId="0">
      <x:text>
        <x:r>
          <x:t>New weight for Cash / Cash Equivalents after re-allocation (from Part A)</x:t>
        </x:r>
      </x:text>
    </x:comment>
    <x:comment ref="C61" authorId="0">
      <x:text>
        <x:r>
          <x:t>Enter final Portfolio Beta (β). Use the weighted average β from the Phase 2 security-selection record.</x:t>
        </x:r>
      </x:text>
    </x:comment>
    <x:comment ref="C62" authorId="0">
      <x:text>
        <x:r>
          <x:t>Enter final Portfolio Std Dev (σ). From Phase 3 CME Matrix Section 3 (Solver output)</x:t>
        </x:r>
      </x:text>
    </x:comment>
    <x:comment ref="C63" authorId="0">
      <x:text>
        <x:r>
          <x:t>Enter final Sharpe Ratio (Base Case). = (Portfolio E(R) – Rf) ÷ σ; Rf from Section 3</x:t>
        </x:r>
      </x:text>
    </x:comment>
    <x:comment ref="C64" authorId="0">
      <x:text>
        <x:r>
          <x:t>Enter final Bear Case Portfolio Return. From Section 2 total row (or Section 5 revised total if re-allocated)</x:t>
        </x:r>
      </x:text>
    </x:comment>
    <x:comment ref="C65" authorId="0">
      <x:text>
        <x:r>
          <x:t>Enter final Bear Case $ P&amp;L. From Section 2 total row (or Section 5 revised total if re-allocated)</x:t>
        </x:r>
      </x:text>
    </x:comment>
    <x:comment ref="C66" authorId="0">
      <x:text>
        <x:r>
          <x:t>Enter PASS or FAIL, matching your Section 4 / Section 5 verdict.</x:t>
        </x:r>
      </x:text>
    </x:comment>
    <x:comment ref="D10" authorId="0">
      <x:text>
        <x:r>
          <x:t>Bear Case standard deviation for U.S. Equities. Must match Phase 1 Bear Case CME Matrix.</x:t>
        </x:r>
      </x:text>
    </x:comment>
    <x:comment ref="D11" authorId="0">
      <x:text>
        <x:r>
          <x:t>Bear Case standard deviation for Fixed Income. Must match Phase 1 Bear Case CME Matrix.</x:t>
        </x:r>
      </x:text>
    </x:comment>
    <x:comment ref="D12" authorId="0">
      <x:text>
        <x:r>
          <x:t>Bear Case standard deviation for Cash / Cash Equivalents. Must match Phase 1 Bear Case CME Matrix.</x:t>
        </x:r>
      </x:text>
    </x:comment>
    <x:comment ref="D17" authorId="0">
      <x:text>
        <x:r>
          <x:t>Dollar allocation = weight × $500,000 AUM</x:t>
        </x:r>
      </x:text>
    </x:comment>
    <x:comment ref="D18" authorId="0">
      <x:text>
        <x:r>
          <x:t>Dollar allocation = weight × $500,000 AUM</x:t>
        </x:r>
      </x:text>
    </x:comment>
    <x:comment ref="D19" authorId="0">
      <x:text>
        <x:r>
          <x:t>Dollar allocation = weight × $500,000 AUM</x:t>
        </x:r>
      </x:text>
    </x:comment>
    <x:comment ref="D26" authorId="0">
      <x:text>
        <x:r>
          <x:t>Enter Bear Case Portfolio Beta (β).</x:t>
        </x:r>
      </x:text>
    </x:comment>
    <x:comment ref="D27" authorId="0">
      <x:text>
        <x:r>
          <x:t>Enter Bear Case Portfolio Std Dev (σ).</x:t>
        </x:r>
      </x:text>
    </x:comment>
    <x:comment ref="D30" authorId="0">
      <x:text>
        <x:r>
          <x:t>Enter Bear Case Value at Risk — 95% VaR.</x:t>
        </x:r>
      </x:text>
    </x:comment>
    <x:comment ref="D34" authorId="0">
      <x:text>
        <x:r>
          <x:t>Bear Case portfolio return from Section 2 total row.</x:t>
        </x:r>
      </x:text>
    </x:comment>
    <x:comment ref="D35" authorId="0">
      <x:text>
        <x:r>
          <x:t>Base Case portfolio σ from risk metrics row 27.</x:t>
        </x:r>
      </x:text>
    </x:comment>
    <x:comment ref="D41" authorId="0">
      <x:text>
        <x:r>
          <x:t>Original weight before re-allocation</x:t>
        </x:r>
      </x:text>
    </x:comment>
    <x:comment ref="D42" authorId="0">
      <x:text>
        <x:r>
          <x:t>Original weight before re-allocation</x:t>
        </x:r>
      </x:text>
    </x:comment>
    <x:comment ref="D43" authorId="0">
      <x:text>
        <x:r>
          <x:t>Original weight before re-allocation</x:t>
        </x:r>
      </x:text>
    </x:comment>
    <x:comment ref="D44" authorId="0">
      <x:text>
        <x:r>
          <x:t>Original weight before re-allocation</x:t>
        </x:r>
      </x:text>
    </x:comment>
    <x:comment ref="D45" authorId="0">
      <x:text>
        <x:r>
          <x:t>Original weight before re-allocation</x:t>
        </x:r>
      </x:text>
    </x:comment>
    <x:comment ref="D46" authorId="0">
      <x:text>
        <x:r>
          <x:t>Original weight before re-allocation</x:t>
        </x:r>
      </x:text>
    </x:comment>
    <x:comment ref="E10" authorId="0">
      <x:text>
        <x:r>
          <x:t>Cite your Phase 1 source exactly. E.g. 'Phase 1 Bear Case table, row 2 — GDP –1.5%, S&amp;P expected return –18.0% based on historical recession drawdown analysis.'</x:t>
        </x:r>
      </x:text>
    </x:comment>
    <x:comment ref="E11" authorId="0">
      <x:text>
        <x:r>
          <x:t>Cite your Phase 1 source exactly. E.g. 'Phase 1 Bear Case table, row 2 — GDP –1.5%, S&amp;P expected return –18.0% based on historical recession drawdown analysis.'</x:t>
        </x:r>
      </x:text>
    </x:comment>
    <x:comment ref="E12" authorId="0">
      <x:text>
        <x:r>
          <x:t>Cite your Phase 1 source exactly. E.g. 'Phase 1 Bear Case table, row 2 — GDP –1.5%, S&amp;P expected return –18.0% based on historical recession drawdown analysis.'</x:t>
        </x:r>
      </x:text>
    </x:comment>
    <x:comment ref="E17" authorId="0">
      <x:text>
        <x:r>
          <x:t>Base Case expected return for U.S. Equities from Phase 3 CME Matrix Base Case. E.g. 8.5% for equities.</x:t>
        </x:r>
      </x:text>
    </x:comment>
    <x:comment ref="E18" authorId="0">
      <x:text>
        <x:r>
          <x:t>Base Case expected return for Fixed Income from Phase 3 CME Matrix Base Case. E.g. 8.5% for equities.</x:t>
        </x:r>
      </x:text>
    </x:comment>
    <x:comment ref="E19" authorId="0">
      <x:text>
        <x:r>
          <x:t>Base Case expected return for Cash / Cash Equivalents from Phase 3 CME Matrix Base Case. E.g. 8.5% for equities.</x:t>
        </x:r>
      </x:text>
    </x:comment>
    <x:comment ref="E20" authorId="0">
      <x:text>
        <x:r>
          <x:t>Weighted average Base Case E(R) = sum of weight × return for each asset class</x:t>
        </x:r>
      </x:text>
    </x:comment>
    <x:comment ref="E34" authorId="0">
      <x:text>
        <x:r>
          <x:t>Margin = Actual – Limit. Positive = headroom; negative = breach.</x:t>
        </x:r>
      </x:text>
    </x:comment>
    <x:comment ref="E41" authorId="0">
      <x:text>
        <x:r>
          <x:t>New weight after re-allocation</x:t>
        </x:r>
      </x:text>
    </x:comment>
    <x:comment ref="E42" authorId="0">
      <x:text>
        <x:r>
          <x:t>New weight after re-allocation</x:t>
        </x:r>
      </x:text>
    </x:comment>
    <x:comment ref="E43" authorId="0">
      <x:text>
        <x:r>
          <x:t>New weight after re-allocation</x:t>
        </x:r>
      </x:text>
    </x:comment>
    <x:comment ref="E44" authorId="0">
      <x:text>
        <x:r>
          <x:t>New weight after re-allocation</x:t>
        </x:r>
      </x:text>
    </x:comment>
    <x:comment ref="E45" authorId="0">
      <x:text>
        <x:r>
          <x:t>New weight after re-allocation</x:t>
        </x:r>
      </x:text>
    </x:comment>
    <x:comment ref="E46" authorId="0">
      <x:text>
        <x:r>
          <x:t>New weight after re-allocation</x:t>
        </x:r>
      </x:text>
    </x:comment>
    <x:comment ref="E52" authorId="0">
      <x:text>
        <x:r>
          <x:t>Bear Case E(R) from Section 1 — same as original stress test</x:t>
        </x:r>
      </x:text>
    </x:comment>
    <x:comment ref="E53" authorId="0">
      <x:text>
        <x:r>
          <x:t>Bear Case E(R) from Section 1 — same as original stress test</x:t>
        </x:r>
      </x:text>
    </x:comment>
    <x:comment ref="E54" authorId="0">
      <x:text>
        <x:r>
          <x:t>Bear Case E(R) from Section 1 — same as original stress test</x:t>
        </x:r>
      </x:text>
    </x:comment>
    <x:comment ref="F17" authorId="0">
      <x:text>
        <x:r>
          <x:t>Weighted Bear Case contribution = weight × Bear Case E(R) from Section 1</x:t>
        </x:r>
      </x:text>
    </x:comment>
    <x:comment ref="F18" authorId="0">
      <x:text>
        <x:r>
          <x:t>Weighted Bear Case contribution = weight × Bear Case E(R) from Section 1</x:t>
        </x:r>
      </x:text>
    </x:comment>
    <x:comment ref="F19" authorId="0">
      <x:text>
        <x:r>
          <x:t>Weighted Bear Case contribution = weight × Bear Case E(R) from Section 1</x:t>
        </x:r>
      </x:text>
    </x:comment>
    <x:comment ref="F20" authorId="0">
      <x:text>
        <x:r>
          <x:t>Total portfolio Bear Case return = sum of weighted Bear Case contributions</x:t>
        </x:r>
      </x:text>
    </x:comment>
    <x:comment ref="F41" authorId="0">
      <x:text>
        <x:r>
          <x:t>Dollar change = (new weight – old weight) × $500,000</x:t>
        </x:r>
      </x:text>
    </x:comment>
    <x:comment ref="F42" authorId="0">
      <x:text>
        <x:r>
          <x:t>Dollar change = (new weight – old weight) × $500,000</x:t>
        </x:r>
      </x:text>
    </x:comment>
    <x:comment ref="F43" authorId="0">
      <x:text>
        <x:r>
          <x:t>Dollar change = (new weight – old weight) × $500,000</x:t>
        </x:r>
      </x:text>
    </x:comment>
    <x:comment ref="F44" authorId="0">
      <x:text>
        <x:r>
          <x:t>Dollar change = (new weight – old weight) × $500,000</x:t>
        </x:r>
      </x:text>
    </x:comment>
    <x:comment ref="F45" authorId="0">
      <x:text>
        <x:r>
          <x:t>Dollar change = (new weight – old weight) × $500,000</x:t>
        </x:r>
      </x:text>
    </x:comment>
    <x:comment ref="F46" authorId="0">
      <x:text>
        <x:r>
          <x:t>Dollar change = (new weight – old weight) × $500,000</x:t>
        </x:r>
      </x:text>
    </x:comment>
    <x:comment ref="G5" authorId="0">
      <x:text>
        <x:r>
          <x:t>Maximum acceptable drawdown from Phase 2 IPS. Enter as negative. E.g. –10% = –0.10</x:t>
        </x:r>
      </x:text>
    </x:comment>
    <x:comment ref="G17" authorId="0">
      <x:text>
        <x:r>
          <x:t>Dollar P&amp;L in Bear Case = $ allocation × Bear Case E(R)</x:t>
        </x:r>
      </x:text>
    </x:comment>
    <x:comment ref="G18" authorId="0">
      <x:text>
        <x:r>
          <x:t>Dollar P&amp;L in Bear Case = $ allocation × Bear Case E(R)</x:t>
        </x:r>
      </x:text>
    </x:comment>
    <x:comment ref="G19" authorId="0">
      <x:text>
        <x:r>
          <x:t>Dollar P&amp;L in Bear Case = $ allocation × Bear Case E(R)</x:t>
        </x:r>
      </x:text>
    </x:comment>
    <x:comment ref="G20" authorId="0">
      <x:text>
        <x:r>
          <x:t>Total dollar P&amp;L in Bear Case scenario</x:t>
        </x:r>
      </x:text>
    </x:comment>
    <x:comment ref="G41" authorId="0">
      <x:text>
        <x:r>
          <x:t>Why this trade? Link to Phase 1 Bear Case logic and IPS constraints. E.g. 'Reduce equity to cut β below 1.0 and limit drawdown exposure.'</x:t>
        </x:r>
      </x:text>
    </x:comment>
    <x:comment ref="G42" authorId="0">
      <x:text>
        <x:r>
          <x:t>Why this trade? Link to Phase 1 Bear Case logic and IPS constraints. E.g. 'Reduce equity to cut β below 1.0 and limit drawdown exposure.'</x:t>
        </x:r>
      </x:text>
    </x:comment>
    <x:comment ref="G43" authorId="0">
      <x:text>
        <x:r>
          <x:t>Why this trade? Link to Phase 1 Bear Case logic and IPS constraints. E.g. 'Reduce equity to cut β below 1.0 and limit drawdown exposure.'</x:t>
        </x:r>
      </x:text>
    </x:comment>
    <x:comment ref="G44" authorId="0">
      <x:text>
        <x:r>
          <x:t>Why this trade? Link to Phase 1 Bear Case logic and IPS constraints. E.g. 'Reduce equity to cut β below 1.0 and limit drawdown exposure.'</x:t>
        </x:r>
      </x:text>
    </x:comment>
    <x:comment ref="G45" authorId="0">
      <x:text>
        <x:r>
          <x:t>Why this trade? Link to Phase 1 Bear Case logic and IPS constraints. E.g. 'Reduce equity to cut β below 1.0 and limit drawdown exposure.'</x:t>
        </x:r>
      </x:text>
    </x:comment>
    <x:comment ref="G46" authorId="0">
      <x:text>
        <x:r>
          <x:t>Why this trade? Link to Phase 1 Bear Case logic and IPS constraints. E.g. 'Reduce equity to cut β below 1.0 and limit drawdown exposure.'</x:t>
        </x:r>
      </x:text>
    </x:comment>
    <x:comment ref="I5" authorId="0">
      <x:text>
        <x:r>
          <x:t>Risk aversion coefficient A from BKM / Phase 2 IPS. E.g. 4.0</x:t>
        </x:r>
      </x:text>
    </x:comment>
  </x:commentList>
</x:comments>
</file>

<file path=xl/comments2.xml><?xml version="1.0" encoding="utf-8"?>
<x:comments xmlns:x="http://schemas.openxmlformats.org/spreadsheetml/2006/main">
  <x:authors>
    <x:author>Unknown Author</x:author>
  </x:authors>
  <x:commentList>
    <x:comment ref="B41" authorId="0">
      <x:text>
        <x:r>
          <x:t>Select BUY, SELL, or HOLD</x:t>
        </x:r>
      </x:text>
    </x:comment>
    <x:comment ref="B42" authorId="0">
      <x:text>
        <x:r>
          <x:t>Select BUY, SELL, or HOLD</x:t>
        </x:r>
      </x:text>
    </x:comment>
    <x:comment ref="B43" authorId="0">
      <x:text>
        <x:r>
          <x:t>Select BUY, SELL, or HOLD</x:t>
        </x:r>
      </x:text>
    </x:comment>
    <x:comment ref="B44" authorId="0">
      <x:text>
        <x:r>
          <x:t>Select BUY, SELL, or HOLD</x:t>
        </x:r>
      </x:text>
    </x:comment>
    <x:comment ref="B45" authorId="0">
      <x:text>
        <x:r>
          <x:t>Select BUY, SELL, or HOLD</x:t>
        </x:r>
      </x:text>
    </x:comment>
    <x:comment ref="B46" authorId="0">
      <x:text>
        <x:r>
          <x:t>Select BUY, SELL, or HOLD</x:t>
        </x:r>
      </x:text>
    </x:comment>
    <x:comment ref="C5" authorId="0">
      <x:text>
        <x:r>
          <x:t>Client name or ID — e.g. Eleanor Vance — Client 1</x:t>
        </x:r>
      </x:text>
    </x:comment>
    <x:comment ref="C10" authorId="0">
      <x:text>
        <x:r>
          <x:t>Bear Case expected return for U.S. Equities. Must match Phase 1 Bear Case table. E.g. –18.0% (Bear Case from Phase 1 scenario table)</x:t>
        </x:r>
      </x:text>
    </x:comment>
    <x:comment ref="C11" authorId="0">
      <x:text>
        <x:r>
          <x:t>Bear Case expected return for Fixed Income. Must match Phase 1 Bear Case table. E.g. –4.5%  (rising rates compress bond prices)</x:t>
        </x:r>
      </x:text>
    </x:comment>
    <x:comment ref="C12" authorId="0">
      <x:text>
        <x:r>
          <x:t>Bear Case expected return for Cash / Cash Equivalents. Must match Phase 1 Bear Case table. E.g. +2.5%  (risk-free rate — stable in Bear Case)</x:t>
        </x:r>
      </x:text>
    </x:comment>
    <x:comment ref="C17" authorId="0">
      <x:text>
        <x:r>
          <x:t>Enter Solver-optimized weight for U.S. Equities from Phase 3 CME Matrix.</x:t>
        </x:r>
      </x:text>
    </x:comment>
    <x:comment ref="C18" authorId="0">
      <x:text>
        <x:r>
          <x:t>Enter Solver-optimized weight for Fixed Income from Phase 3 CME Matrix.</x:t>
        </x:r>
      </x:text>
    </x:comment>
    <x:comment ref="C19" authorId="0">
      <x:text>
        <x:r>
          <x:t>Enter Solver-optimized weight for Cash / Cash Equivalents from Phase 3 CME Matrix.</x:t>
        </x:r>
      </x:text>
    </x:comment>
    <x:comment ref="C25" authorId="0">
      <x:text>
        <x:r>
          <x:t>Current 3-Month T-Bill yield. Source: FRED series TB3MS. This is used in both Base and Bear Case Sharpe Ratio calculations.</x:t>
        </x:r>
      </x:text>
    </x:comment>
    <x:comment ref="C26" authorId="0">
      <x:text>
        <x:r>
          <x:t>Formula auto-calculated from entries above</x:t>
        </x:r>
      </x:text>
    </x:comment>
    <x:comment ref="C27" authorId="0">
      <x:text>
        <x:r>
          <x:t>Enter Portfolio Std Dev (σ) from the Phase 2 allocation and selected holdings.</x:t>
        </x:r>
      </x:text>
    </x:comment>
    <x:comment ref="C28" authorId="0">
      <x:text>
        <x:r>
          <x:t>Formula auto-calculated from entries above</x:t>
        </x:r>
      </x:text>
    </x:comment>
    <x:comment ref="C30" authorId="0">
      <x:text>
        <x:r>
          <x:t>Enter Value at Risk — 95% VaR from the Phase 2 portfolio risk analysis.</x:t>
        </x:r>
      </x:text>
    </x:comment>
    <x:comment ref="C34" authorId="0">
      <x:text>
        <x:r>
          <x:t>IPS maximum drawdown limit from client strip (row 5).</x:t>
        </x:r>
      </x:text>
    </x:comment>
    <x:comment ref="C35" authorId="0">
      <x:text>
        <x:r>
          <x:t>IPS maximum portfolio σ from Phase 2. Enter here for reference.</x:t>
        </x:r>
      </x:text>
    </x:comment>
    <x:comment ref="C41" authorId="0">
      <x:text>
        <x:r>
          <x:t>Security name or asset class. E.g. 'Reduce U.S. Equities' or 'Add Cash'</x:t>
        </x:r>
      </x:text>
    </x:comment>
    <x:comment ref="C42" authorId="0">
      <x:text>
        <x:r>
          <x:t>Security name or asset class. E.g. 'Reduce U.S. Equities' or 'Add Cash'</x:t>
        </x:r>
      </x:text>
    </x:comment>
    <x:comment ref="C43" authorId="0">
      <x:text>
        <x:r>
          <x:t>Security name or asset class. E.g. 'Reduce U.S. Equities' or 'Add Cash'</x:t>
        </x:r>
      </x:text>
    </x:comment>
    <x:comment ref="C44" authorId="0">
      <x:text>
        <x:r>
          <x:t>Security name or asset class. E.g. 'Reduce U.S. Equities' or 'Add Cash'</x:t>
        </x:r>
      </x:text>
    </x:comment>
    <x:comment ref="C45" authorId="0">
      <x:text>
        <x:r>
          <x:t>Security name or asset class. E.g. 'Reduce U.S. Equities' or 'Add Cash'</x:t>
        </x:r>
      </x:text>
    </x:comment>
    <x:comment ref="C46" authorId="0">
      <x:text>
        <x:r>
          <x:t>Security name or asset class. E.g. 'Reduce U.S. Equities' or 'Add Cash'</x:t>
        </x:r>
      </x:text>
    </x:comment>
    <x:comment ref="C52" authorId="0">
      <x:text>
        <x:r>
          <x:t>New weight for U.S. Equities after re-allocation (from Part A)</x:t>
        </x:r>
      </x:text>
    </x:comment>
    <x:comment ref="C53" authorId="0">
      <x:text>
        <x:r>
          <x:t>New weight for Fixed Income after re-allocation (from Part A)</x:t>
        </x:r>
      </x:text>
    </x:comment>
    <x:comment ref="C54" authorId="0">
      <x:text>
        <x:r>
          <x:t>New weight for Cash / Cash Equivalents after re-allocation (from Part A)</x:t>
        </x:r>
      </x:text>
    </x:comment>
    <x:comment ref="C61" authorId="0">
      <x:text>
        <x:r>
          <x:t>Enter final Portfolio Beta (β). Use the weighted average β from the Phase 2 security-selection record.</x:t>
        </x:r>
      </x:text>
    </x:comment>
    <x:comment ref="C62" authorId="0">
      <x:text>
        <x:r>
          <x:t>Enter final Portfolio Std Dev (σ). From Phase 3 CME Matrix Section 3 (Solver output)</x:t>
        </x:r>
      </x:text>
    </x:comment>
    <x:comment ref="C63" authorId="0">
      <x:text>
        <x:r>
          <x:t>Enter final Sharpe Ratio (Base Case). = (Portfolio E(R) – Rf) ÷ σ; Rf from Section 3</x:t>
        </x:r>
      </x:text>
    </x:comment>
    <x:comment ref="C64" authorId="0">
      <x:text>
        <x:r>
          <x:t>Enter final Bear Case Portfolio Return. From Section 2 total row (or Section 5 revised total if re-allocated)</x:t>
        </x:r>
      </x:text>
    </x:comment>
    <x:comment ref="C65" authorId="0">
      <x:text>
        <x:r>
          <x:t>Enter final Bear Case $ P&amp;L. From Section 2 total row (or Section 5 revised total if re-allocated)</x:t>
        </x:r>
      </x:text>
    </x:comment>
    <x:comment ref="C66" authorId="0">
      <x:text>
        <x:r>
          <x:t>Enter PASS or FAIL, matching your Section 4 / Section 5 verdict.</x:t>
        </x:r>
      </x:text>
    </x:comment>
    <x:comment ref="D10" authorId="0">
      <x:text>
        <x:r>
          <x:t>Bear Case standard deviation for U.S. Equities. Must match Phase 1 Bear Case CME Matrix.</x:t>
        </x:r>
      </x:text>
    </x:comment>
    <x:comment ref="D11" authorId="0">
      <x:text>
        <x:r>
          <x:t>Bear Case standard deviation for Fixed Income. Must match Phase 1 Bear Case CME Matrix.</x:t>
        </x:r>
      </x:text>
    </x:comment>
    <x:comment ref="D12" authorId="0">
      <x:text>
        <x:r>
          <x:t>Bear Case standard deviation for Cash / Cash Equivalents. Must match Phase 1 Bear Case CME Matrix.</x:t>
        </x:r>
      </x:text>
    </x:comment>
    <x:comment ref="D17" authorId="0">
      <x:text>
        <x:r>
          <x:t>Dollar allocation = weight × $500,000 AUM</x:t>
        </x:r>
      </x:text>
    </x:comment>
    <x:comment ref="D18" authorId="0">
      <x:text>
        <x:r>
          <x:t>Dollar allocation = weight × $500,000 AUM</x:t>
        </x:r>
      </x:text>
    </x:comment>
    <x:comment ref="D19" authorId="0">
      <x:text>
        <x:r>
          <x:t>Dollar allocation = weight × $500,000 AUM</x:t>
        </x:r>
      </x:text>
    </x:comment>
    <x:comment ref="D26" authorId="0">
      <x:text>
        <x:r>
          <x:t>Enter Bear Case Portfolio Beta (β).</x:t>
        </x:r>
      </x:text>
    </x:comment>
    <x:comment ref="D27" authorId="0">
      <x:text>
        <x:r>
          <x:t>Enter Bear Case Portfolio Std Dev (σ).</x:t>
        </x:r>
      </x:text>
    </x:comment>
    <x:comment ref="D30" authorId="0">
      <x:text>
        <x:r>
          <x:t>Enter Bear Case Value at Risk — 95% VaR.</x:t>
        </x:r>
      </x:text>
    </x:comment>
    <x:comment ref="D34" authorId="0">
      <x:text>
        <x:r>
          <x:t>Bear Case portfolio return from Section 2 total row.</x:t>
        </x:r>
      </x:text>
    </x:comment>
    <x:comment ref="D35" authorId="0">
      <x:text>
        <x:r>
          <x:t>Base Case portfolio σ from risk metrics row 27.</x:t>
        </x:r>
      </x:text>
    </x:comment>
    <x:comment ref="D41" authorId="0">
      <x:text>
        <x:r>
          <x:t>Original weight before re-allocation</x:t>
        </x:r>
      </x:text>
    </x:comment>
    <x:comment ref="D42" authorId="0">
      <x:text>
        <x:r>
          <x:t>Original weight before re-allocation</x:t>
        </x:r>
      </x:text>
    </x:comment>
    <x:comment ref="D43" authorId="0">
      <x:text>
        <x:r>
          <x:t>Original weight before re-allocation</x:t>
        </x:r>
      </x:text>
    </x:comment>
    <x:comment ref="D44" authorId="0">
      <x:text>
        <x:r>
          <x:t>Original weight before re-allocation</x:t>
        </x:r>
      </x:text>
    </x:comment>
    <x:comment ref="D45" authorId="0">
      <x:text>
        <x:r>
          <x:t>Original weight before re-allocation</x:t>
        </x:r>
      </x:text>
    </x:comment>
    <x:comment ref="D46" authorId="0">
      <x:text>
        <x:r>
          <x:t>Original weight before re-allocation</x:t>
        </x:r>
      </x:text>
    </x:comment>
    <x:comment ref="E10" authorId="0">
      <x:text>
        <x:r>
          <x:t>Cite your Phase 1 source exactly. E.g. 'Phase 1 Bear Case table, row 2 — GDP –1.5%, S&amp;P expected return –18.0% based on historical recession drawdown analysis.'</x:t>
        </x:r>
      </x:text>
    </x:comment>
    <x:comment ref="E11" authorId="0">
      <x:text>
        <x:r>
          <x:t>Cite your Phase 1 source exactly. E.g. 'Phase 1 Bear Case table, row 2 — GDP –1.5%, S&amp;P expected return –18.0% based on historical recession drawdown analysis.'</x:t>
        </x:r>
      </x:text>
    </x:comment>
    <x:comment ref="E12" authorId="0">
      <x:text>
        <x:r>
          <x:t>Cite your Phase 1 source exactly. E.g. 'Phase 1 Bear Case table, row 2 — GDP –1.5%, S&amp;P expected return –18.0% based on historical recession drawdown analysis.'</x:t>
        </x:r>
      </x:text>
    </x:comment>
    <x:comment ref="E17" authorId="0">
      <x:text>
        <x:r>
          <x:t>Base Case expected return for U.S. Equities from Phase 3 CME Matrix Base Case. E.g. 8.5% for equities.</x:t>
        </x:r>
      </x:text>
    </x:comment>
    <x:comment ref="E18" authorId="0">
      <x:text>
        <x:r>
          <x:t>Base Case expected return for Fixed Income from Phase 3 CME Matrix Base Case. E.g. 8.5% for equities.</x:t>
        </x:r>
      </x:text>
    </x:comment>
    <x:comment ref="E19" authorId="0">
      <x:text>
        <x:r>
          <x:t>Base Case expected return for Cash / Cash Equivalents from Phase 3 CME Matrix Base Case. E.g. 8.5% for equities.</x:t>
        </x:r>
      </x:text>
    </x:comment>
    <x:comment ref="E20" authorId="0">
      <x:text>
        <x:r>
          <x:t>Weighted average Base Case E(R) = sum of weight × return for each asset class</x:t>
        </x:r>
      </x:text>
    </x:comment>
    <x:comment ref="E34" authorId="0">
      <x:text>
        <x:r>
          <x:t>Margin = Actual – Limit. Positive = headroom; negative = breach.</x:t>
        </x:r>
      </x:text>
    </x:comment>
    <x:comment ref="E41" authorId="0">
      <x:text>
        <x:r>
          <x:t>New weight after re-allocation</x:t>
        </x:r>
      </x:text>
    </x:comment>
    <x:comment ref="E42" authorId="0">
      <x:text>
        <x:r>
          <x:t>New weight after re-allocation</x:t>
        </x:r>
      </x:text>
    </x:comment>
    <x:comment ref="E43" authorId="0">
      <x:text>
        <x:r>
          <x:t>New weight after re-allocation</x:t>
        </x:r>
      </x:text>
    </x:comment>
    <x:comment ref="E44" authorId="0">
      <x:text>
        <x:r>
          <x:t>New weight after re-allocation</x:t>
        </x:r>
      </x:text>
    </x:comment>
    <x:comment ref="E45" authorId="0">
      <x:text>
        <x:r>
          <x:t>New weight after re-allocation</x:t>
        </x:r>
      </x:text>
    </x:comment>
    <x:comment ref="E46" authorId="0">
      <x:text>
        <x:r>
          <x:t>New weight after re-allocation</x:t>
        </x:r>
      </x:text>
    </x:comment>
    <x:comment ref="E52" authorId="0">
      <x:text>
        <x:r>
          <x:t>Bear Case E(R) from Section 1 — same as original stress test</x:t>
        </x:r>
      </x:text>
    </x:comment>
    <x:comment ref="E53" authorId="0">
      <x:text>
        <x:r>
          <x:t>Bear Case E(R) from Section 1 — same as original stress test</x:t>
        </x:r>
      </x:text>
    </x:comment>
    <x:comment ref="E54" authorId="0">
      <x:text>
        <x:r>
          <x:t>Bear Case E(R) from Section 1 — same as original stress test</x:t>
        </x:r>
      </x:text>
    </x:comment>
    <x:comment ref="F17" authorId="0">
      <x:text>
        <x:r>
          <x:t>Weighted Bear Case contribution = weight × Bear Case E(R) from Section 1</x:t>
        </x:r>
      </x:text>
    </x:comment>
    <x:comment ref="F18" authorId="0">
      <x:text>
        <x:r>
          <x:t>Weighted Bear Case contribution = weight × Bear Case E(R) from Section 1</x:t>
        </x:r>
      </x:text>
    </x:comment>
    <x:comment ref="F19" authorId="0">
      <x:text>
        <x:r>
          <x:t>Weighted Bear Case contribution = weight × Bear Case E(R) from Section 1</x:t>
        </x:r>
      </x:text>
    </x:comment>
    <x:comment ref="F20" authorId="0">
      <x:text>
        <x:r>
          <x:t>Total portfolio Bear Case return = sum of weighted Bear Case contributions</x:t>
        </x:r>
      </x:text>
    </x:comment>
    <x:comment ref="F41" authorId="0">
      <x:text>
        <x:r>
          <x:t>Dollar change = (new weight – old weight) × $500,000</x:t>
        </x:r>
      </x:text>
    </x:comment>
    <x:comment ref="F42" authorId="0">
      <x:text>
        <x:r>
          <x:t>Dollar change = (new weight – old weight) × $500,000</x:t>
        </x:r>
      </x:text>
    </x:comment>
    <x:comment ref="F43" authorId="0">
      <x:text>
        <x:r>
          <x:t>Dollar change = (new weight – old weight) × $500,000</x:t>
        </x:r>
      </x:text>
    </x:comment>
    <x:comment ref="F44" authorId="0">
      <x:text>
        <x:r>
          <x:t>Dollar change = (new weight – old weight) × $500,000</x:t>
        </x:r>
      </x:text>
    </x:comment>
    <x:comment ref="F45" authorId="0">
      <x:text>
        <x:r>
          <x:t>Dollar change = (new weight – old weight) × $500,000</x:t>
        </x:r>
      </x:text>
    </x:comment>
    <x:comment ref="F46" authorId="0">
      <x:text>
        <x:r>
          <x:t>Dollar change = (new weight – old weight) × $500,000</x:t>
        </x:r>
      </x:text>
    </x:comment>
    <x:comment ref="G5" authorId="0">
      <x:text>
        <x:r>
          <x:t>Maximum acceptable drawdown from Phase 2 IPS. Enter as negative. E.g. –10% = –0.10</x:t>
        </x:r>
      </x:text>
    </x:comment>
    <x:comment ref="G17" authorId="0">
      <x:text>
        <x:r>
          <x:t>Dollar P&amp;L in Bear Case = $ allocation × Bear Case E(R)</x:t>
        </x:r>
      </x:text>
    </x:comment>
    <x:comment ref="G18" authorId="0">
      <x:text>
        <x:r>
          <x:t>Dollar P&amp;L in Bear Case = $ allocation × Bear Case E(R)</x:t>
        </x:r>
      </x:text>
    </x:comment>
    <x:comment ref="G19" authorId="0">
      <x:text>
        <x:r>
          <x:t>Dollar P&amp;L in Bear Case = $ allocation × Bear Case E(R)</x:t>
        </x:r>
      </x:text>
    </x:comment>
    <x:comment ref="G20" authorId="0">
      <x:text>
        <x:r>
          <x:t>Total dollar P&amp;L in Bear Case scenario</x:t>
        </x:r>
      </x:text>
    </x:comment>
    <x:comment ref="G41" authorId="0">
      <x:text>
        <x:r>
          <x:t>Why this trade? Link to Phase 1 Bear Case logic and IPS constraints. E.g. 'Reduce equity to cut β below 1.0 and limit drawdown exposure.'</x:t>
        </x:r>
      </x:text>
    </x:comment>
    <x:comment ref="G42" authorId="0">
      <x:text>
        <x:r>
          <x:t>Why this trade? Link to Phase 1 Bear Case logic and IPS constraints. E.g. 'Reduce equity to cut β below 1.0 and limit drawdown exposure.'</x:t>
        </x:r>
      </x:text>
    </x:comment>
    <x:comment ref="G43" authorId="0">
      <x:text>
        <x:r>
          <x:t>Why this trade? Link to Phase 1 Bear Case logic and IPS constraints. E.g. 'Reduce equity to cut β below 1.0 and limit drawdown exposure.'</x:t>
        </x:r>
      </x:text>
    </x:comment>
    <x:comment ref="G44" authorId="0">
      <x:text>
        <x:r>
          <x:t>Why this trade? Link to Phase 1 Bear Case logic and IPS constraints. E.g. 'Reduce equity to cut β below 1.0 and limit drawdown exposure.'</x:t>
        </x:r>
      </x:text>
    </x:comment>
    <x:comment ref="G45" authorId="0">
      <x:text>
        <x:r>
          <x:t>Why this trade? Link to Phase 1 Bear Case logic and IPS constraints. E.g. 'Reduce equity to cut β below 1.0 and limit drawdown exposure.'</x:t>
        </x:r>
      </x:text>
    </x:comment>
    <x:comment ref="G46" authorId="0">
      <x:text>
        <x:r>
          <x:t>Why this trade? Link to Phase 1 Bear Case logic and IPS constraints. E.g. 'Reduce equity to cut β below 1.0 and limit drawdown exposure.'</x:t>
        </x:r>
      </x:text>
    </x:comment>
    <x:comment ref="I5" authorId="0">
      <x:text>
        <x:r>
          <x:t>Risk aversion coefficient A from BKM / Phase 2 IPS. E.g. 4.0</x:t>
        </x:r>
      </x:text>
    </x:comment>
  </x:commentList>
</x:comments>
</file>

<file path=xl/comments3.xml><?xml version="1.0" encoding="utf-8"?>
<x:comments xmlns:x="http://schemas.openxmlformats.org/spreadsheetml/2006/main">
  <x:authors>
    <x:author>Unknown Author</x:author>
  </x:authors>
  <x:commentList>
    <x:comment ref="B41" authorId="0">
      <x:text>
        <x:r>
          <x:t>Select BUY, SELL, or HOLD</x:t>
        </x:r>
      </x:text>
    </x:comment>
    <x:comment ref="B42" authorId="0">
      <x:text>
        <x:r>
          <x:t>Select BUY, SELL, or HOLD</x:t>
        </x:r>
      </x:text>
    </x:comment>
    <x:comment ref="B43" authorId="0">
      <x:text>
        <x:r>
          <x:t>Select BUY, SELL, or HOLD</x:t>
        </x:r>
      </x:text>
    </x:comment>
    <x:comment ref="B44" authorId="0">
      <x:text>
        <x:r>
          <x:t>Select BUY, SELL, or HOLD</x:t>
        </x:r>
      </x:text>
    </x:comment>
    <x:comment ref="B45" authorId="0">
      <x:text>
        <x:r>
          <x:t>Select BUY, SELL, or HOLD</x:t>
        </x:r>
      </x:text>
    </x:comment>
    <x:comment ref="B46" authorId="0">
      <x:text>
        <x:r>
          <x:t>Select BUY, SELL, or HOLD</x:t>
        </x:r>
      </x:text>
    </x:comment>
    <x:comment ref="C5" authorId="0">
      <x:text>
        <x:r>
          <x:t>Client name or ID — e.g. Eleanor Vance — Client 1</x:t>
        </x:r>
      </x:text>
    </x:comment>
    <x:comment ref="C10" authorId="0">
      <x:text>
        <x:r>
          <x:t>Bear Case expected return for U.S. Equities. Must match Phase 1 Bear Case table. E.g. –18.0% (Bear Case from Phase 1 scenario table)</x:t>
        </x:r>
      </x:text>
    </x:comment>
    <x:comment ref="C11" authorId="0">
      <x:text>
        <x:r>
          <x:t>Bear Case expected return for Fixed Income. Must match Phase 1 Bear Case table. E.g. –4.5%  (rising rates compress bond prices)</x:t>
        </x:r>
      </x:text>
    </x:comment>
    <x:comment ref="C12" authorId="0">
      <x:text>
        <x:r>
          <x:t>Bear Case expected return for Cash / Cash Equivalents. Must match Phase 1 Bear Case table. E.g. +2.5%  (risk-free rate — stable in Bear Case)</x:t>
        </x:r>
      </x:text>
    </x:comment>
    <x:comment ref="C17" authorId="0">
      <x:text>
        <x:r>
          <x:t>Enter Solver-optimized weight for U.S. Equities from Phase 3 CME Matrix.</x:t>
        </x:r>
      </x:text>
    </x:comment>
    <x:comment ref="C18" authorId="0">
      <x:text>
        <x:r>
          <x:t>Enter Solver-optimized weight for Fixed Income from Phase 3 CME Matrix.</x:t>
        </x:r>
      </x:text>
    </x:comment>
    <x:comment ref="C19" authorId="0">
      <x:text>
        <x:r>
          <x:t>Enter Solver-optimized weight for Cash / Cash Equivalents from Phase 3 CME Matrix.</x:t>
        </x:r>
      </x:text>
    </x:comment>
    <x:comment ref="C25" authorId="0">
      <x:text>
        <x:r>
          <x:t>Current 3-Month T-Bill yield. Source: FRED series TB3MS. This is used in both Base and Bear Case Sharpe Ratio calculations.</x:t>
        </x:r>
      </x:text>
    </x:comment>
    <x:comment ref="C26" authorId="0">
      <x:text>
        <x:r>
          <x:t>Formula auto-calculated from entries above</x:t>
        </x:r>
      </x:text>
    </x:comment>
    <x:comment ref="C27" authorId="0">
      <x:text>
        <x:r>
          <x:t>Enter Portfolio Std Dev (σ) from the Phase 2 allocation and selected holdings.</x:t>
        </x:r>
      </x:text>
    </x:comment>
    <x:comment ref="C28" authorId="0">
      <x:text>
        <x:r>
          <x:t>Formula auto-calculated from entries above</x:t>
        </x:r>
      </x:text>
    </x:comment>
    <x:comment ref="C30" authorId="0">
      <x:text>
        <x:r>
          <x:t>Enter Value at Risk — 95% VaR from the Phase 2 portfolio risk analysis.</x:t>
        </x:r>
      </x:text>
    </x:comment>
    <x:comment ref="C34" authorId="0">
      <x:text>
        <x:r>
          <x:t>IPS maximum drawdown limit from client strip (row 5).</x:t>
        </x:r>
      </x:text>
    </x:comment>
    <x:comment ref="C35" authorId="0">
      <x:text>
        <x:r>
          <x:t>IPS maximum portfolio σ from Phase 2. Enter here for reference.</x:t>
        </x:r>
      </x:text>
    </x:comment>
    <x:comment ref="C41" authorId="0">
      <x:text>
        <x:r>
          <x:t>Security name or asset class. E.g. 'Reduce U.S. Equities' or 'Add Cash'</x:t>
        </x:r>
      </x:text>
    </x:comment>
    <x:comment ref="C42" authorId="0">
      <x:text>
        <x:r>
          <x:t>Security name or asset class. E.g. 'Reduce U.S. Equities' or 'Add Cash'</x:t>
        </x:r>
      </x:text>
    </x:comment>
    <x:comment ref="C43" authorId="0">
      <x:text>
        <x:r>
          <x:t>Security name or asset class. E.g. 'Reduce U.S. Equities' or 'Add Cash'</x:t>
        </x:r>
      </x:text>
    </x:comment>
    <x:comment ref="C44" authorId="0">
      <x:text>
        <x:r>
          <x:t>Security name or asset class. E.g. 'Reduce U.S. Equities' or 'Add Cash'</x:t>
        </x:r>
      </x:text>
    </x:comment>
    <x:comment ref="C45" authorId="0">
      <x:text>
        <x:r>
          <x:t>Security name or asset class. E.g. 'Reduce U.S. Equities' or 'Add Cash'</x:t>
        </x:r>
      </x:text>
    </x:comment>
    <x:comment ref="C46" authorId="0">
      <x:text>
        <x:r>
          <x:t>Security name or asset class. E.g. 'Reduce U.S. Equities' or 'Add Cash'</x:t>
        </x:r>
      </x:text>
    </x:comment>
    <x:comment ref="C52" authorId="0">
      <x:text>
        <x:r>
          <x:t>New weight for U.S. Equities after re-allocation (from Part A)</x:t>
        </x:r>
      </x:text>
    </x:comment>
    <x:comment ref="C53" authorId="0">
      <x:text>
        <x:r>
          <x:t>New weight for Fixed Income after re-allocation (from Part A)</x:t>
        </x:r>
      </x:text>
    </x:comment>
    <x:comment ref="C54" authorId="0">
      <x:text>
        <x:r>
          <x:t>New weight for Cash / Cash Equivalents after re-allocation (from Part A)</x:t>
        </x:r>
      </x:text>
    </x:comment>
    <x:comment ref="C61" authorId="0">
      <x:text>
        <x:r>
          <x:t>Enter final Portfolio Beta (β). Use the weighted average β from the Phase 2 security-selection record.</x:t>
        </x:r>
      </x:text>
    </x:comment>
    <x:comment ref="C62" authorId="0">
      <x:text>
        <x:r>
          <x:t>Enter final Portfolio Std Dev (σ). From Phase 3 CME Matrix Section 3 (Solver output)</x:t>
        </x:r>
      </x:text>
    </x:comment>
    <x:comment ref="C63" authorId="0">
      <x:text>
        <x:r>
          <x:t>Enter final Sharpe Ratio (Base Case). = (Portfolio E(R) – Rf) ÷ σ; Rf from Section 3</x:t>
        </x:r>
      </x:text>
    </x:comment>
    <x:comment ref="C64" authorId="0">
      <x:text>
        <x:r>
          <x:t>Enter final Bear Case Portfolio Return. From Section 2 total row (or Section 5 revised total if re-allocated)</x:t>
        </x:r>
      </x:text>
    </x:comment>
    <x:comment ref="C65" authorId="0">
      <x:text>
        <x:r>
          <x:t>Enter final Bear Case $ P&amp;L. From Section 2 total row (or Section 5 revised total if re-allocated)</x:t>
        </x:r>
      </x:text>
    </x:comment>
    <x:comment ref="C66" authorId="0">
      <x:text>
        <x:r>
          <x:t>Enter PASS or FAIL, matching your Section 4 / Section 5 verdict.</x:t>
        </x:r>
      </x:text>
    </x:comment>
    <x:comment ref="D10" authorId="0">
      <x:text>
        <x:r>
          <x:t>Bear Case standard deviation for U.S. Equities. Must match Phase 1 Bear Case CME Matrix.</x:t>
        </x:r>
      </x:text>
    </x:comment>
    <x:comment ref="D11" authorId="0">
      <x:text>
        <x:r>
          <x:t>Bear Case standard deviation for Fixed Income. Must match Phase 1 Bear Case CME Matrix.</x:t>
        </x:r>
      </x:text>
    </x:comment>
    <x:comment ref="D12" authorId="0">
      <x:text>
        <x:r>
          <x:t>Bear Case standard deviation for Cash / Cash Equivalents. Must match Phase 1 Bear Case CME Matrix.</x:t>
        </x:r>
      </x:text>
    </x:comment>
    <x:comment ref="D17" authorId="0">
      <x:text>
        <x:r>
          <x:t>Dollar allocation = weight × $500,000 AUM</x:t>
        </x:r>
      </x:text>
    </x:comment>
    <x:comment ref="D18" authorId="0">
      <x:text>
        <x:r>
          <x:t>Dollar allocation = weight × $500,000 AUM</x:t>
        </x:r>
      </x:text>
    </x:comment>
    <x:comment ref="D19" authorId="0">
      <x:text>
        <x:r>
          <x:t>Dollar allocation = weight × $500,000 AUM</x:t>
        </x:r>
      </x:text>
    </x:comment>
    <x:comment ref="D26" authorId="0">
      <x:text>
        <x:r>
          <x:t>Enter Bear Case Portfolio Beta (β).</x:t>
        </x:r>
      </x:text>
    </x:comment>
    <x:comment ref="D27" authorId="0">
      <x:text>
        <x:r>
          <x:t>Enter Bear Case Portfolio Std Dev (σ).</x:t>
        </x:r>
      </x:text>
    </x:comment>
    <x:comment ref="D30" authorId="0">
      <x:text>
        <x:r>
          <x:t>Enter Bear Case Value at Risk — 95% VaR.</x:t>
        </x:r>
      </x:text>
    </x:comment>
    <x:comment ref="D34" authorId="0">
      <x:text>
        <x:r>
          <x:t>Bear Case portfolio return from Section 2 total row.</x:t>
        </x:r>
      </x:text>
    </x:comment>
    <x:comment ref="D35" authorId="0">
      <x:text>
        <x:r>
          <x:t>Base Case portfolio σ from risk metrics row 27.</x:t>
        </x:r>
      </x:text>
    </x:comment>
    <x:comment ref="D41" authorId="0">
      <x:text>
        <x:r>
          <x:t>Original weight before re-allocation</x:t>
        </x:r>
      </x:text>
    </x:comment>
    <x:comment ref="D42" authorId="0">
      <x:text>
        <x:r>
          <x:t>Original weight before re-allocation</x:t>
        </x:r>
      </x:text>
    </x:comment>
    <x:comment ref="D43" authorId="0">
      <x:text>
        <x:r>
          <x:t>Original weight before re-allocation</x:t>
        </x:r>
      </x:text>
    </x:comment>
    <x:comment ref="D44" authorId="0">
      <x:text>
        <x:r>
          <x:t>Original weight before re-allocation</x:t>
        </x:r>
      </x:text>
    </x:comment>
    <x:comment ref="D45" authorId="0">
      <x:text>
        <x:r>
          <x:t>Original weight before re-allocation</x:t>
        </x:r>
      </x:text>
    </x:comment>
    <x:comment ref="D46" authorId="0">
      <x:text>
        <x:r>
          <x:t>Original weight before re-allocation</x:t>
        </x:r>
      </x:text>
    </x:comment>
    <x:comment ref="E10" authorId="0">
      <x:text>
        <x:r>
          <x:t>Cite your Phase 1 source exactly. E.g. 'Phase 1 Bear Case table, row 2 — GDP –1.5%, S&amp;P expected return –18.0% based on historical recession drawdown analysis.'</x:t>
        </x:r>
      </x:text>
    </x:comment>
    <x:comment ref="E11" authorId="0">
      <x:text>
        <x:r>
          <x:t>Cite your Phase 1 source exactly. E.g. 'Phase 1 Bear Case table, row 2 — GDP –1.5%, S&amp;P expected return –18.0% based on historical recession drawdown analysis.'</x:t>
        </x:r>
      </x:text>
    </x:comment>
    <x:comment ref="E12" authorId="0">
      <x:text>
        <x:r>
          <x:t>Cite your Phase 1 source exactly. E.g. 'Phase 1 Bear Case table, row 2 — GDP –1.5%, S&amp;P expected return –18.0% based on historical recession drawdown analysis.'</x:t>
        </x:r>
      </x:text>
    </x:comment>
    <x:comment ref="E17" authorId="0">
      <x:text>
        <x:r>
          <x:t>Base Case expected return for U.S. Equities from Phase 3 CME Matrix Base Case. E.g. 8.5% for equities.</x:t>
        </x:r>
      </x:text>
    </x:comment>
    <x:comment ref="E18" authorId="0">
      <x:text>
        <x:r>
          <x:t>Base Case expected return for Fixed Income from Phase 3 CME Matrix Base Case. E.g. 8.5% for equities.</x:t>
        </x:r>
      </x:text>
    </x:comment>
    <x:comment ref="E19" authorId="0">
      <x:text>
        <x:r>
          <x:t>Base Case expected return for Cash / Cash Equivalents from Phase 3 CME Matrix Base Case. E.g. 8.5% for equities.</x:t>
        </x:r>
      </x:text>
    </x:comment>
    <x:comment ref="E20" authorId="0">
      <x:text>
        <x:r>
          <x:t>Weighted average Base Case E(R) = sum of weight × return for each asset class</x:t>
        </x:r>
      </x:text>
    </x:comment>
    <x:comment ref="E34" authorId="0">
      <x:text>
        <x:r>
          <x:t>Margin = Actual – Limit. Positive = headroom; negative = breach.</x:t>
        </x:r>
      </x:text>
    </x:comment>
    <x:comment ref="E41" authorId="0">
      <x:text>
        <x:r>
          <x:t>New weight after re-allocation</x:t>
        </x:r>
      </x:text>
    </x:comment>
    <x:comment ref="E42" authorId="0">
      <x:text>
        <x:r>
          <x:t>New weight after re-allocation</x:t>
        </x:r>
      </x:text>
    </x:comment>
    <x:comment ref="E43" authorId="0">
      <x:text>
        <x:r>
          <x:t>New weight after re-allocation</x:t>
        </x:r>
      </x:text>
    </x:comment>
    <x:comment ref="E44" authorId="0">
      <x:text>
        <x:r>
          <x:t>New weight after re-allocation</x:t>
        </x:r>
      </x:text>
    </x:comment>
    <x:comment ref="E45" authorId="0">
      <x:text>
        <x:r>
          <x:t>New weight after re-allocation</x:t>
        </x:r>
      </x:text>
    </x:comment>
    <x:comment ref="E46" authorId="0">
      <x:text>
        <x:r>
          <x:t>New weight after re-allocation</x:t>
        </x:r>
      </x:text>
    </x:comment>
    <x:comment ref="E52" authorId="0">
      <x:text>
        <x:r>
          <x:t>Bear Case E(R) from Section 1 — same as original stress test</x:t>
        </x:r>
      </x:text>
    </x:comment>
    <x:comment ref="E53" authorId="0">
      <x:text>
        <x:r>
          <x:t>Bear Case E(R) from Section 1 — same as original stress test</x:t>
        </x:r>
      </x:text>
    </x:comment>
    <x:comment ref="E54" authorId="0">
      <x:text>
        <x:r>
          <x:t>Bear Case E(R) from Section 1 — same as original stress test</x:t>
        </x:r>
      </x:text>
    </x:comment>
    <x:comment ref="F17" authorId="0">
      <x:text>
        <x:r>
          <x:t>Weighted Bear Case contribution = weight × Bear Case E(R) from Section 1</x:t>
        </x:r>
      </x:text>
    </x:comment>
    <x:comment ref="F18" authorId="0">
      <x:text>
        <x:r>
          <x:t>Weighted Bear Case contribution = weight × Bear Case E(R) from Section 1</x:t>
        </x:r>
      </x:text>
    </x:comment>
    <x:comment ref="F19" authorId="0">
      <x:text>
        <x:r>
          <x:t>Weighted Bear Case contribution = weight × Bear Case E(R) from Section 1</x:t>
        </x:r>
      </x:text>
    </x:comment>
    <x:comment ref="F20" authorId="0">
      <x:text>
        <x:r>
          <x:t>Total portfolio Bear Case return = sum of weighted Bear Case contributions</x:t>
        </x:r>
      </x:text>
    </x:comment>
    <x:comment ref="F41" authorId="0">
      <x:text>
        <x:r>
          <x:t>Dollar change = (new weight – old weight) × $500,000</x:t>
        </x:r>
      </x:text>
    </x:comment>
    <x:comment ref="F42" authorId="0">
      <x:text>
        <x:r>
          <x:t>Dollar change = (new weight – old weight) × $500,000</x:t>
        </x:r>
      </x:text>
    </x:comment>
    <x:comment ref="F43" authorId="0">
      <x:text>
        <x:r>
          <x:t>Dollar change = (new weight – old weight) × $500,000</x:t>
        </x:r>
      </x:text>
    </x:comment>
    <x:comment ref="F44" authorId="0">
      <x:text>
        <x:r>
          <x:t>Dollar change = (new weight – old weight) × $500,000</x:t>
        </x:r>
      </x:text>
    </x:comment>
    <x:comment ref="F45" authorId="0">
      <x:text>
        <x:r>
          <x:t>Dollar change = (new weight – old weight) × $500,000</x:t>
        </x:r>
      </x:text>
    </x:comment>
    <x:comment ref="F46" authorId="0">
      <x:text>
        <x:r>
          <x:t>Dollar change = (new weight – old weight) × $500,000</x:t>
        </x:r>
      </x:text>
    </x:comment>
    <x:comment ref="G5" authorId="0">
      <x:text>
        <x:r>
          <x:t>Maximum acceptable drawdown from Phase 2 IPS. Enter as negative. E.g. –10% = –0.10</x:t>
        </x:r>
      </x:text>
    </x:comment>
    <x:comment ref="G17" authorId="0">
      <x:text>
        <x:r>
          <x:t>Dollar P&amp;L in Bear Case = $ allocation × Bear Case E(R)</x:t>
        </x:r>
      </x:text>
    </x:comment>
    <x:comment ref="G18" authorId="0">
      <x:text>
        <x:r>
          <x:t>Dollar P&amp;L in Bear Case = $ allocation × Bear Case E(R)</x:t>
        </x:r>
      </x:text>
    </x:comment>
    <x:comment ref="G19" authorId="0">
      <x:text>
        <x:r>
          <x:t>Dollar P&amp;L in Bear Case = $ allocation × Bear Case E(R)</x:t>
        </x:r>
      </x:text>
    </x:comment>
    <x:comment ref="G20" authorId="0">
      <x:text>
        <x:r>
          <x:t>Total dollar P&amp;L in Bear Case scenario</x:t>
        </x:r>
      </x:text>
    </x:comment>
    <x:comment ref="G41" authorId="0">
      <x:text>
        <x:r>
          <x:t>Why this trade? Link to Phase 1 Bear Case logic and IPS constraints. E.g. 'Reduce equity to cut β below 1.0 and limit drawdown exposure.'</x:t>
        </x:r>
      </x:text>
    </x:comment>
    <x:comment ref="G42" authorId="0">
      <x:text>
        <x:r>
          <x:t>Why this trade? Link to Phase 1 Bear Case logic and IPS constraints. E.g. 'Reduce equity to cut β below 1.0 and limit drawdown exposure.'</x:t>
        </x:r>
      </x:text>
    </x:comment>
    <x:comment ref="G43" authorId="0">
      <x:text>
        <x:r>
          <x:t>Why this trade? Link to Phase 1 Bear Case logic and IPS constraints. E.g. 'Reduce equity to cut β below 1.0 and limit drawdown exposure.'</x:t>
        </x:r>
      </x:text>
    </x:comment>
    <x:comment ref="G44" authorId="0">
      <x:text>
        <x:r>
          <x:t>Why this trade? Link to Phase 1 Bear Case logic and IPS constraints. E.g. 'Reduce equity to cut β below 1.0 and limit drawdown exposure.'</x:t>
        </x:r>
      </x:text>
    </x:comment>
    <x:comment ref="G45" authorId="0">
      <x:text>
        <x:r>
          <x:t>Why this trade? Link to Phase 1 Bear Case logic and IPS constraints. E.g. 'Reduce equity to cut β below 1.0 and limit drawdown exposure.'</x:t>
        </x:r>
      </x:text>
    </x:comment>
    <x:comment ref="G46" authorId="0">
      <x:text>
        <x:r>
          <x:t>Why this trade? Link to Phase 1 Bear Case logic and IPS constraints. E.g. 'Reduce equity to cut β below 1.0 and limit drawdown exposure.'</x:t>
        </x:r>
      </x:text>
    </x:comment>
    <x:comment ref="I5" authorId="0">
      <x:text>
        <x:r>
          <x:t>Risk aversion coefficient A from BKM / Phase 2 IPS. E.g. 4.0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<x:sst xmlns:x="http://schemas.openxmlformats.org/spreadsheetml/2006/main">
  <x:si>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Student Workbook  |  Endicott College  |  Institutional Portfolio Management Project</x:t>
  </x:si>
  <x:si>
    <x:t xml:space="preserve">  Overview — 5 Tabs</x:t>
  </x:si>
  <x:si>
    <x:t xml:space="preserve">This workbook has five tabs: START HERE, SUMMARY, Client 1, Client 2, Client 3.
Complete one client tab for each of your three assigned clients.
The SUMMARY tab auto-links key results from all three client tabs.</x:t>
  </x:si>
  <x:si>
    <x:t xml:space="preserve">  Before You Start</x:t>
  </x:si>
  <x:si>
    <x:t xml:space="preserve">  Section 1 — Bear Case Scenario Assumptions</x:t>
  </x:si>
  <x:si>
    <x:t xml:space="preserve">Enter your Phase 1 Bear Case expected returns and standard deviations for each asset class (equities, fixed income, cash). These MUST match your Phase 1 submission exactly — do not adjust them here. Cite your Phase 1 source in the rightmost column.</x:t>
  </x:si>
  <x:si>
    <x:t xml:space="preserve">  Section 2 — Base Case Portfolio</x:t>
  </x:si>
  <x:si>
    <x:t xml:space="preserve">  Section 3 — Risk Metrics</x:t>
  </x:si>
  <x:si>
    <x:t xml:space="preserve">  Section 4 — Pass / Fail Verdict</x:t>
  </x:si>
  <x:si>
    <x:t xml:space="preserve">The workbook automatically compares your Bear Case portfolio return to the IPS Tripwire. GREEN = PASS: portfolio survives the Bear Case within the client's drawdown limit.
RED = FAIL: portfolio breaches the mandate — you must complete Section 5.</x:t>
  </x:si>
  <x:si>
    <x:t xml:space="preserve">  Section 5 — Re-allocation (FAIL only)</x:t>
  </x:si>
  <x:si>
    <x:t xml:space="preserve">If a client fails, document the specific trades in Part A: what was sold, what was bought, old and new weights, dollar impact, and rationale. Part B re-runs the Bear Case with the new weights. The revised verdict must be PASS before submitting.</x:t>
  </x:si>
  <x:si>
    <x:t xml:space="preserve">  Section 6 — Final Metrics Summary</x:t>
  </x:si>
  <x:si>
    <x:t xml:space="preserve">Enter the final metrics for submission: β, σ, Sharpe, Bear Case return, dollar P&amp;L, and mandate status. Use revised figures if you re-allocated in Section 5.</x:t>
  </x:si>
  <x:si>
    <x:t xml:space="preserve">  AI Audit Log Reminder</x:t>
  </x:si>
  <x:si>
    <x:t xml:space="preserve">If AI was used to suggest Bear Case return assumptions, re-allocation trades, or risk metrics — document the prompt and verification in your team's AI Audit Log. Every number must be traceable to Phase 1 (scenario assumptions), FactSet, FRED, or your own Excel model.</x:t>
  </x:si>
  <x:si>
    <x:t xml:space="preserve">  PRE-SUBMISSION CHECKLIST</x:t>
  </x:si>
  <x:si>
    <x:t xml:space="preserve">☐  Bear Case assumptions match Phase 1 Bear Case scenario table exactly</x:t>
  </x:si>
  <x:si>
    <x:t xml:space="preserve">☐  Portfolio weights sum to 100% in Section 2 (total cell is green)</x:t>
  </x:si>
  <x:si>
    <x:t xml:space="preserve">☐  Risk-Free Rate (Rf) entered in Section 3</x:t>
  </x:si>
  <x:si>
    <x:t xml:space="preserve">☐  Beta and σ entered for both Base Case and Bear Case</x:t>
  </x:si>
  <x:si>
    <x:t xml:space="preserve">☐  Section 4 verdict calculated for all three clients</x:t>
  </x:si>
  <x:si>
    <x:t xml:space="preserve">☐  Section 5 re-allocation completed for any client that failed</x:t>
  </x:si>
  <x:si>
    <x:t xml:space="preserve">☐  Revised verdict in Section 5 shows PASS for all re-allocated clients</x:t>
  </x:si>
  <x:si>
    <x:t xml:space="preserve">☐  Section 6 final metrics entered and reflect re-allocation if applicable</x:t>
  </x:si>
  <x:si>
    <x:t xml:space="preserve">☐  SUMMARY tab shows all three clients passing before team submits</x:t>
  </x:si>
  <x:si>
    <x:t xml:space="preserve">☐  AI Audit Log updated for any AI-assisted analysis</x:t>
  </x:si>
  <x:si>
    <x:t xml:space="preserve">BUS 331 Investments  |  Endicott College  |  Cross-client Comparison</x:t>
  </x:si>
  <x:si>
    <x:t xml:space="preserve">Metric</x:t>
  </x:si>
  <x:si>
    <x:t xml:space="preserve">Client 1</x:t>
  </x:si>
  <x:si>
    <x:t xml:space="preserve">Client 2</x:t>
  </x:si>
  <x:si>
    <x:t xml:space="preserve">Client 3</x:t>
  </x:si>
  <x:si>
    <x:t xml:space="preserve">IPS Tripwire (max drawdown)</x:t>
  </x:si>
  <x:si>
    <x:t xml:space="preserve">Bear Case Portfolio Return</x:t>
  </x:si>
  <x:si>
    <x:t xml:space="preserve">Bear Case $ P&amp;L ($500K AUM)</x:t>
  </x:si>
  <x:si>
    <x:t xml:space="preserve">Section 4 Verdict (Pass/Fail)</x:t>
  </x:si>
  <x:si>
    <x:t xml:space="preserve">Portfolio Beta (β)</x:t>
  </x:si>
  <x:si>
    <x:t xml:space="preserve">Portfolio Std Dev (σ) — Base</x:t>
  </x:si>
  <x:si>
    <x:t xml:space="preserve">Sharpe Ratio — Base Case</x:t>
  </x:si>
  <x:si>
    <x:t xml:space="preserve">Re-allocation Required?</x:t>
  </x:si>
  <x:si>
    <x:t xml:space="preserve">Client Name / ID:</x:t>
  </x:si>
  <x:si>
    <x:t xml:space="preserve">AUM:</x:t>
  </x:si>
  <x:si>
    <x:t xml:space="preserve">IPS Max Drawdown (Tripwire):</x:t>
  </x:si>
  <x:si>
    <x:t xml:space="preserve">IPS Risk Score (A-value):</x:t>
  </x:si>
  <x:si>
    <x:t xml:space="preserve">(from Phase 2)</x:t>
  </x:si>
  <x:si>
    <x:t xml:space="preserve">  SECTION 1 — BEAR CASE SCENARIO ASSUMPTIONS  (from Phase 1)</x:t>
  </x:si>
  <x:si>
    <x:t xml:space="preserve">Enter your Phase 1 Bear Case return assumptions for each asset class. These must match your Phase 1 submission exactly — do not change them here. Source: your team's Phase 1 Bear Case scenario table.</x:t>
  </x:si>
  <x:si>
    <x:t xml:space="preserve">Asset Class</x:t>
  </x:si>
  <x:si>
    <x:t xml:space="preserve">Bear Case
E(R) Assumption</x:t>
  </x:si>
  <x:si>
    <x:t xml:space="preserve">Bear Case
Std Dev (σ)</x:t>
  </x:si>
  <x:si>
    <x:t xml:space="preserve">Source / Phase 1 Reference</x:t>
  </x:si>
  <x:si>
    <x:t xml:space="preserve">U.S. Equities</x:t>
  </x:si>
  <x:si>
    <x:t xml:space="preserve">Fixed Income</x:t>
  </x:si>
  <x:si>
    <x:t xml:space="preserve">Cash / Cash Equivalents</x:t>
  </x:si>
  <x:si>
    <x:t xml:space="preserve">$ Allocation
($500K AUM)</x:t>
  </x:si>
  <x:si>
    <x:t xml:space="preserve">Base Case
E(R) Contrib.</x:t>
  </x:si>
  <x:si>
    <x:t xml:space="preserve">Bear Case
Return Contrib.</x:t>
  </x:si>
  <x:si>
    <x:t xml:space="preserve">Bear Case
$ P&amp;L</x:t>
  </x:si>
  <x:si>
    <x:t xml:space="preserve">Notes</x:t>
  </x:si>
  <x:si>
    <x:t xml:space="preserve">IPS Check</x:t>
  </x:si>
  <x:si>
    <x:t xml:space="preserve">  PORTFOLIO TOTAL</x:t>
  </x:si>
  <x:si>
    <x:t xml:space="preserve">  ← Bear Case return must be ≥ IPS Tripwire (cell G5). See Section 3 verdict below.</x:t>
  </x:si>
  <x:si>
    <x:t xml:space="preserve">  SECTION 3 — RISK METRICS  (Base Case &amp; Bear Case)</x:t>
  </x:si>
  <x:si>
    <x:t xml:space="preserve">Bear Case</x:t>
  </x:si>
  <x:si>
    <x:t xml:space="preserve">Formula / Source</x:t>
  </x:si>
  <x:si>
    <x:t xml:space="preserve">Interpretation</x:t>
  </x:si>
  <x:si>
    <x:t xml:space="preserve">Risk-Free Rate (Rf):</x:t>
  </x:si>
  <x:si>
    <x:t xml:space="preserve">Source: FRED TB3MS (3-Month Treasury Bill Secondary Market Rate)</x:t>
  </x:si>
  <x:si>
    <x:t xml:space="preserve">β &gt; 1.0 = amplifies market moves; β &lt; 1.0 = defensive; β ≈ 0 = market-neutral</x:t>
  </x:si>
  <x:si>
    <x:t xml:space="preserve">Portfolio Std Dev (σ)</x:t>
  </x:si>
  <x:si>
    <x:t xml:space="preserve">Higher σ = wider range of outcomes; must be ≤ IPS max σ from Phase 2</x:t>
  </x:si>
  <x:si>
    <x:t xml:space="preserve">Sharpe Ratio</x:t>
  </x:si>
  <x:si>
    <x:t xml:space="preserve">Sharpe = (Portfolio E(R) – Rf) ÷ Portfolio σ</x:t>
  </x:si>
  <x:si>
    <x:t xml:space="preserve">Higher = better risk-adjusted return; compare Base vs Bear to see deterioration</x:t>
  </x:si>
  <x:si>
    <x:t xml:space="preserve">Max Drawdown (Bear Case)</x:t>
  </x:si>
  <x:si>
    <x:t xml:space="preserve">N/A</x:t>
  </x:si>
  <x:si>
    <x:t xml:space="preserve">Total Bear Case Portfolio Return (Section 2 row 20)</x:t>
  </x:si>
  <x:si>
    <x:t xml:space="preserve">Must be ≥ IPS Tripwire (cell G5). This drives the Pass/Fail verdict.</x:t>
  </x:si>
  <x:si>
    <x:t xml:space="preserve">Value at Risk — 95% VaR</x:t>
  </x:si>
  <x:si>
    <x:t xml:space="preserve">E(R) – 1.645 × σ  (parametric, 1-year, 95% confidence)</x:t>
  </x:si>
  <x:si>
    <x:t xml:space="preserve">There is a 5% chance of loss worse than this. Compare to IPS Tripwire.</x:t>
  </x:si>
  <x:si>
    <x:t xml:space="preserve">  SECTION 4 — PASS / FAIL VERDICT</x:t>
  </x:si>
  <x:si>
    <x:t xml:space="preserve">Test</x:t>
  </x:si>
  <x:si>
    <x:t xml:space="preserve">IPS Limit
(Tripwire)</x:t>
  </x:si>
  <x:si>
    <x:t xml:space="preserve">Actual Result</x:t>
  </x:si>
  <x:si>
    <x:t xml:space="preserve">Margin</x:t>
  </x:si>
  <x:si>
    <x:t xml:space="preserve">Required Action</x:t>
  </x:si>
  <x:si>
    <x:t xml:space="preserve">Max Drawdown vs. Tripwire</x:t>
  </x:si>
  <x:si>
    <x:t xml:space="preserve">Portfolio σ vs. IPS Max σ</x:t>
  </x:si>
  <x:si>
    <x:t xml:space="preserve">If σ exceeds IPS limit, consider adding cash or fixed income to reduce volatility.</x:t>
  </x:si>
  <x:si>
    <x:t xml:space="preserve">  SECTION 5 — RE-ALLOCATION  (complete only if Section 4 verdict = FAIL)</x:t>
  </x:si>
  <x:si>
    <x:t xml:space="preserve">If the portfolio failed the Tripwire, document the specific trades made to bring it within mandate. Describe what was sold, what was bought, the new weights, and show the re-run stress test confirms the revised portfolio now PASSES.</x:t>
  </x:si>
  <x:si>
    <x:t xml:space="preserve">  Part A — Trade Log  (specific securities sold / bought)</x:t>
  </x:si>
  <x:si>
    <x:t xml:space="preserve">Action
(BUY / SELL)</x:t>
  </x:si>
  <x:si>
    <x:t xml:space="preserve">Security / Asset Class</x:t>
  </x:si>
  <x:si>
    <x:t xml:space="preserve">Old Weight</x:t>
  </x:si>
  <x:si>
    <x:t xml:space="preserve">New Weight</x:t>
  </x:si>
  <x:si>
    <x:t xml:space="preserve">$ Change</x:t>
  </x:si>
  <x:si>
    <x:t xml:space="preserve">Rationale</x:t>
  </x:si>
  <x:si>
    <x:t xml:space="preserve">  New Total Weight (must = 100%)</x:t>
  </x:si>
  <x:si>
    <x:t xml:space="preserve">← Must equal 100% after re-allocation</x:t>
  </x:si>
  <x:si>
    <x:t xml:space="preserve">  Part B — Revised Bear Case Return  (confirm portfolio now PASSES)</x:t>
  </x:si>
  <x:si>
    <x:t xml:space="preserve">Using your new weights from Part A, recalculate the Bear Case portfolio return. The result must be ≥ the IPS Tripwire. Show your calculation clearly.</x:t>
  </x:si>
  <x:si>
    <x:t xml:space="preserve">NEW Weight</x:t>
  </x:si>
  <x:si>
    <x:t xml:space="preserve">$ Allocation</x:t>
  </x:si>
  <x:si>
    <x:t xml:space="preserve">Bear Case E(R)</x:t>
  </x:si>
  <x:si>
    <x:t xml:space="preserve">Wtd Bear Contribution</x:t>
  </x:si>
  <x:si>
    <x:t xml:space="preserve">$ P&amp;L</x:t>
  </x:si>
  <x:si>
    <x:t xml:space="preserve">  REVISED TOTAL</x:t>
  </x:si>
  <x:si>
    <x:t xml:space="preserve">REVISED VERDICT:</x:t>
  </x:si>
  <x:si>
    <x:t xml:space="preserve">Revised Bear Case return must be ≥ IPS Tripwire (G5). If still failing, increase cash allocation or add a derivative hedge.</x:t>
  </x:si>
  <x:si>
    <x:t xml:space="preserve">  SECTION 6 — FINAL RISK METRICS SUMMARY  (for submission)</x:t>
  </x:si>
  <x:si>
    <x:t xml:space="preserve">Final Value</x:t>
  </x:si>
  <x:si>
    <x:t xml:space="preserve">Pass / Fail vs. IPS</x:t>
  </x:si>
  <x:si>
    <x:t xml:space="preserve">Source / Calculation</x:t>
  </x:si>
  <x:si>
    <x:t xml:space="preserve">Benchmark: 1.0 = market-level risk</x:t>
  </x:si>
  <x:si>
    <x:t xml:space="preserve">Sharpe Ratio (Base Case)</x:t>
  </x:si>
  <x:si>
    <x:t xml:space="preserve">Higher = better; compare to market Sharpe ≈ 0.4</x:t>
  </x:si>
  <x:si>
    <x:t xml:space="preserve">(Portfolio E(R) – Rf) ÷ σ; Rf from Section 3</x:t>
  </x:si>
  <x:si>
    <x:t xml:space="preserve">Must be ≥ IPS Tripwire</x:t>
  </x:si>
  <x:si>
    <x:t xml:space="preserve">From Section 2 total row (or Section 5 revised total if re-allocated)</x:t>
  </x:si>
  <x:si>
    <x:t xml:space="preserve">Bear Case $ P&amp;L</x:t>
  </x:si>
  <x:si>
    <x:t xml:space="preserve">Dollar impact on $500K AUM</x:t>
  </x:si>
  <x:si>
    <x:t xml:space="preserve">IPS Mandate Status</x:t>
  </x:si>
  <x:si>
    <x:t xml:space="preserve">Final verdict for this client</x:t>
  </x:si>
  <x:si>
    <x:t xml:space="preserve">PASS or FAIL — based on Section 4 (or Section 5 revised verdict)</x:t>
  </x:si>
  <x:si>
    <x:t xml:space="preserve">  LEGEND</x:t>
  </x:si>
  <x:si>
    <x:t xml:space="preserve">Sample</x:t>
  </x:si>
  <x:si>
    <x:t xml:space="preserve">Student Input — enter your data (blue text)</x:t>
  </x:si>
  <x:si>
    <x:t xml:space="preserve">Calculated Formula — do not edit (black text)</x:t>
  </x:si>
  <x:si>
    <x:t xml:space="preserve">Fixed Value (e.g. $500K AUM)</x:t>
  </x:si>
  <x:si>
    <x:t xml:space="preserve">✓ PASS — portfolio meets IPS mandate</x:t>
  </x:si>
  <x:si>
    <x:t xml:space="preserve">✗ FAIL — portfolio breaches IPS mandate; re-allocation required</x:t>
  </x:si>
  <x:si>
    <x:t xml:space="preserve">⚠ WARNING — metric approaching limit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</x:si>
</x:sst>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0.0%"/>
    <x:numFmt numFmtId="166" formatCode="\$#,##0;&quot;($&quot;#,##0\);\-"/>
    <x:numFmt numFmtId="167" formatCode="0.00"/>
    <x:numFmt numFmtId="168" formatCode="\$#,##0"/>
    <x:numFmt numFmtId="169" formatCode="0.0"/>
  </x:numFmts>
  <x:fonts count="27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9"/>
      <x:color rgb="FF5A6A7E"/>
      <x:name val="Arial"/>
    </x:font>
    <x:font>
      <x:b/>
      <x:sz val="10"/>
      <x:color rgb="FFFFFFFF"/>
      <x:name val="Arial"/>
    </x:font>
    <x:font>
      <x:sz val="9"/>
      <x:color rgb="FF333333"/>
      <x:name val="Arial"/>
    </x:font>
    <x:font>
      <x:sz val="9"/>
      <x:color rgb="FF5A6A7E"/>
      <x:name val="Arial"/>
    </x:font>
    <x:font>
      <x:b/>
      <x:sz val="10"/>
      <x:color rgb="FF0A1628"/>
      <x:name val="Arial"/>
    </x:font>
    <x:font>
      <x:sz val="10"/>
      <x:color rgb="FF008000"/>
      <x:name val="Arial"/>
    </x:font>
    <x:font>
      <x:b/>
      <x:sz val="12"/>
      <x:color rgb="FFFFFFFF"/>
      <x:name val="Arial"/>
    </x:font>
    <x:font>
      <x:b/>
      <x:sz val="9"/>
      <x:color rgb="FF0A1628"/>
      <x:name val="Arial"/>
    </x:font>
    <x:font>
      <x:sz val="10"/>
      <x:color rgb="FF0000FF"/>
      <x:name val="Arial"/>
    </x:font>
    <x:font>
      <x:i/>
      <x:sz val="8"/>
      <x:color rgb="FF5A6A7E"/>
      <x:name val="Arial"/>
    </x:font>
    <x:font>
      <x:sz val="9"/>
      <x:color rgb="FF856404"/>
      <x:name val="Arial"/>
    </x:font>
    <x:font>
      <x:b/>
      <x:sz val="9"/>
      <x:color rgb="FFFFFFFF"/>
      <x:name val="Arial"/>
    </x:font>
    <x:font>
      <x:sz val="9"/>
      <x:color rgb="FF0000FF"/>
      <x:name val="Arial"/>
    </x:font>
    <x:font>
      <x:sz val="10"/>
      <x:color rgb="FF000000"/>
      <x:name val="Arial"/>
    </x:font>
    <x:font>
      <x:b/>
      <x:sz val="11"/>
      <x:color rgb="FF000000"/>
      <x:name val="Arial"/>
    </x:font>
    <x:font>
      <x:i/>
      <x:sz val="9"/>
      <x:color rgb="FF333333"/>
      <x:name val="Arial"/>
    </x:font>
    <x:font>
      <x:sz val="9"/>
      <x:color rgb="FF222222"/>
      <x:name val="Arial"/>
    </x:font>
    <x:font>
      <x:sz val="9"/>
      <x:color rgb="FF721C24"/>
      <x:name val="Arial"/>
    </x:font>
    <x:font>
      <x:sz val="9"/>
      <x:color rgb="FF000000"/>
      <x:name val="Arial"/>
    </x:font>
    <x:font>
      <x:sz val="9"/>
      <x:color rgb="FF0A1628"/>
      <x:name val="Arial"/>
    </x:font>
    <x:font>
      <x:sz val="9"/>
      <x:color rgb="FF155724"/>
      <x:name val="Arial"/>
    </x:font>
    <x:font>
      <x:sz val="10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0A1628"/>
      </x:patternFill>
    </x:fill>
    <x:fill>
      <x:patternFill patternType="solid">
        <x:fgColor rgb="FFFFFFFF"/>
      </x:patternFill>
    </x:fill>
    <x:fill>
      <x:patternFill patternType="solid">
        <x:fgColor rgb="FFEBF3FA"/>
      </x:patternFill>
    </x:fill>
    <x:fill>
      <x:patternFill patternType="solid">
        <x:fgColor rgb="FFFFFDE7"/>
      </x:patternFill>
    </x:fill>
    <x:fill>
      <x:patternFill patternType="solid">
        <x:fgColor rgb="FFFFFF00"/>
      </x:patternFill>
    </x:fill>
    <x:fill>
      <x:patternFill patternType="solid">
        <x:fgColor rgb="FFD6E4F0"/>
      </x:patternFill>
    </x:fill>
    <x:fill>
      <x:patternFill patternType="solid">
        <x:fgColor rgb="FFFFF3CD"/>
      </x:patternFill>
    </x:fill>
    <x:fill>
      <x:patternFill patternType="solid">
        <x:fgColor rgb="FFF4F7FB"/>
      </x:patternFill>
    </x:fill>
    <x:fill>
      <x:patternFill patternType="solid">
        <x:fgColor rgb="FFF8D7DA"/>
      </x:patternFill>
    </x:fill>
    <x:fill>
      <x:patternFill patternType="solid">
        <x:fgColor rgb="FFD4EDDA"/>
      </x:patternFill>
    </x:fill>
  </x:fills>
  <x:borders count="18">
    <x:border diagonalUp="0" diagonalDown="0"/>
    <x:border diagonalUp="0" diagonalDown="0">
      <x:bottom style="medium">
        <x:color rgb="FFC9A84C"/>
      </x:bottom>
    </x:border>
    <x:border diagonalUp="0" diagonalDown="0">
      <x:left style="medium">
        <x:color rgb="FFC9A84C"/>
      </x:left>
    </x:border>
    <x:border diagonalUp="0" diagonalDown="0">
      <x:left style="thin">
        <x:color rgb="FFCBD8E8"/>
      </x:left>
      <x:top style="thin">
        <x:color rgb="FFCBD8E8"/>
      </x:top>
      <x:bottom style="thin">
        <x:color rgb="FFCBD8E8"/>
      </x:bottom>
    </x:border>
    <x:border diagonalUp="0" diagonalDown="0">
      <x:left style="medium">
        <x:color rgb="FFC9A84C"/>
      </x:left>
      <x:bottom style="medium">
        <x:color rgb="FFC9A84C"/>
      </x:bottom>
    </x:border>
    <x:border diagonalUp="0" diagonalDown="0">
      <x:top style="medium">
        <x:color rgb="FFCBD8E8"/>
      </x:top>
      <x:bottom style="thin">
        <x:color rgb="FFCBD8E8"/>
      </x:bottom>
    </x:border>
    <x:border diagonalUp="0" diagonalDown="0">
      <x:left style="thin">
        <x:color rgb="FF0A1628"/>
      </x:left>
      <x:right style="thin">
        <x:color rgb="FF0A1628"/>
      </x:right>
      <x:top style="thin">
        <x:color rgb="FF0A1628"/>
      </x:top>
      <x:bottom style="thin">
        <x:color rgb="FF0A1628"/>
      </x:bottom>
    </x:border>
    <x:border diagonalUp="0" diagonalDown="0">
      <x:left style="medium">
        <x:color rgb="FFC9A84C"/>
      </x:left>
      <x:right style="thin">
        <x:color rgb="FFCBD8E8"/>
      </x:right>
      <x:top style="thin">
        <x:color rgb="FFCBD8E8"/>
      </x:top>
      <x:bottom style="thin">
        <x:color rgb="FFCBD8E8"/>
      </x:bottom>
    </x:border>
    <x:border diagonalUp="0" diagonalDown="0">
      <x:left style="thin">
        <x:color rgb="FFC9A84C"/>
      </x:left>
      <x:right style="thin">
        <x:color rgb="FFC9A84C"/>
      </x:right>
      <x:top style="thin">
        <x:color rgb="FFC9A84C"/>
      </x:top>
      <x:bottom style="thin">
        <x:color rgb="FFC9A84C"/>
      </x:bottom>
    </x:border>
    <x:border diagonalUp="0" diagonalDown="0">
      <x:top style="medium">
        <x:color rgb="FFC9A84C"/>
      </x:top>
      <x:bottom style="medium">
        <x:color rgb="FFC9A84C"/>
      </x:bottom>
    </x:border>
    <x:border diagonalUp="0" diagonalDown="0">
      <x:left style="thin">
        <x:color rgb="FFCBD8E8"/>
      </x:left>
      <x:right style="thin">
        <x:color rgb="FFCBD8E8"/>
      </x:right>
      <x:top style="thin">
        <x:color rgb="FFCBD8E8"/>
      </x:top>
      <x:bottom style="thin">
        <x:color rgb="FFCBD8E8"/>
      </x:bottom>
    </x:border>
    <x:border diagonalUp="0" diagonalDown="0">
      <x:top style="medium">
        <x:color rgb="FFC9A84C"/>
      </x:top>
      <x:bottom style="thin">
        <x:color rgb="FFC9A84C"/>
      </x:bottom>
    </x:border>
    <x:border diagonalUp="0" diagonalDown="0">
      <x:left style="thin">
        <x:color rgb="FFC9A84C"/>
      </x:left>
      <x:top style="thin">
        <x:color rgb="FFC9A84C"/>
      </x:top>
      <x:bottom style="thin">
        <x:color rgb="FFC9A84C"/>
      </x:bottom>
    </x:border>
    <x:border diagonalUp="0" diagonalDown="0">
      <x:left style="thin">
        <x:color rgb="FF0A1628"/>
      </x:left>
      <x:top style="thin">
        <x:color rgb="FF0A1628"/>
      </x:top>
      <x:bottom style="thin">
        <x:color rgb="FF0A1628"/>
      </x:bottom>
    </x:border>
    <x:border diagonalUp="0" diagonalDown="0">
      <x:left style="medium">
        <x:color rgb="FFC0392B"/>
      </x:left>
    </x:border>
    <x:border diagonalUp="0" diagonalDown="0">
      <x:top style="medium">
        <x:color rgb="FFC0392B"/>
      </x:top>
      <x:bottom style="thin">
        <x:color rgb="FFC0392B"/>
      </x:bottom>
    </x:border>
    <x:border diagonalUp="0" diagonalDown="0">
      <x:left style="medium">
        <x:color rgb="FFC9A84C"/>
      </x:left>
      <x:bottom style="thin">
        <x:color rgb="FF0A1628"/>
      </x:bottom>
    </x:border>
    <x:border diagonalUp="0" diagonalDown="0">
      <x:top style="medium">
        <x:color rgb="FFC9A84C"/>
      </x:top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64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1" xfId="0" applyFont="1" applyBorder="1" applyAlignment="1">
      <x:alignment horizontal="center" vertical="center" wrapText="0"/>
    </x:xf>
    <x:xf numFmtId="164" fontId="5" fillId="3" borderId="0" xfId="0" applyFont="1" applyBorder="1" applyAlignment="1">
      <x:alignment horizontal="center" vertical="center" wrapText="0"/>
    </x:xf>
    <x:xf numFmtId="164" fontId="6" fillId="2" borderId="2" xfId="0" applyFont="1" applyBorder="1" applyAlignment="1">
      <x:alignment horizontal="left" vertical="center" wrapText="0"/>
    </x:xf>
    <x:xf numFmtId="164" fontId="7" fillId="4" borderId="3" xfId="0" applyFont="1" applyBorder="1" applyAlignment="1">
      <x:alignment horizontal="left" vertical="center" wrapText="1"/>
    </x:xf>
    <x:xf numFmtId="164" fontId="6" fillId="2" borderId="4" xfId="0" applyFont="1" applyBorder="1" applyAlignment="1">
      <x:alignment horizontal="left" vertical="center" wrapText="0"/>
    </x:xf>
    <x:xf numFmtId="164" fontId="7" fillId="3" borderId="3" xfId="0" applyFont="1" applyBorder="1" applyAlignment="1">
      <x:alignment horizontal="left" vertical="center" wrapText="0"/>
    </x:xf>
    <x:xf numFmtId="164" fontId="8" fillId="4" borderId="5" xfId="0" applyFont="1" applyBorder="1" applyAlignment="1">
      <x:alignment horizontal="left" vertical="center" wrapText="1"/>
    </x:xf>
    <x:xf numFmtId="164" fontId="6" fillId="2" borderId="6" xfId="0" applyFont="1" applyBorder="1" applyAlignment="1">
      <x:alignment horizontal="center" vertical="center" wrapText="0"/>
    </x:xf>
    <x:xf numFmtId="164" fontId="9" fillId="4" borderId="7" xfId="0" applyFont="1" applyBorder="1" applyAlignment="1">
      <x:alignment horizontal="left" vertical="center" wrapText="0"/>
    </x:xf>
    <x:xf numFmtId="165" fontId="10" fillId="5" borderId="8" xfId="0" applyFont="1" applyBorder="1" applyAlignment="1">
      <x:alignment horizontal="center" vertical="center" wrapText="0"/>
    </x:xf>
    <x:xf numFmtId="164" fontId="9" fillId="3" borderId="7" xfId="0" applyFont="1" applyBorder="1" applyAlignment="1">
      <x:alignment horizontal="left" vertical="center" wrapText="0"/>
    </x:xf>
    <x:xf numFmtId="166" fontId="10" fillId="5" borderId="8" xfId="0" applyFont="1" applyBorder="1" applyAlignment="1">
      <x:alignment horizontal="center" vertical="center" wrapText="0"/>
    </x:xf>
    <x:xf numFmtId="164" fontId="10" fillId="5" borderId="8" xfId="0" applyFont="1" applyBorder="1" applyAlignment="1">
      <x:alignment horizontal="center" vertical="center" wrapText="0"/>
    </x:xf>
    <x:xf numFmtId="167" fontId="10" fillId="5" borderId="8" xfId="0" applyFont="1" applyBorder="1" applyAlignment="1">
      <x:alignment horizontal="center" vertical="center" wrapText="0"/>
    </x:xf>
    <x:xf numFmtId="164" fontId="11" fillId="2" borderId="9" xfId="0" applyFont="1" applyBorder="1" applyAlignment="1">
      <x:alignment horizontal="left" vertical="center" wrapText="0"/>
    </x:xf>
    <x:xf numFmtId="164" fontId="12" fillId="4" borderId="10" xfId="0" applyFont="1" applyBorder="1" applyAlignment="1">
      <x:alignment horizontal="left" vertical="center" wrapText="0"/>
    </x:xf>
    <x:xf numFmtId="164" fontId="13" fillId="6" borderId="8" xfId="0" applyFont="1" applyBorder="1" applyAlignment="1">
      <x:alignment horizontal="center" vertical="center" wrapText="0"/>
    </x:xf>
    <x:xf numFmtId="168" fontId="9" fillId="7" borderId="10" xfId="0" applyFont="1" applyBorder="1" applyAlignment="1">
      <x:alignment horizontal="center" vertical="center" wrapText="0"/>
    </x:xf>
    <x:xf numFmtId="164" fontId="12" fillId="4" borderId="10" xfId="0" applyFont="1" applyBorder="1" applyAlignment="1">
      <x:alignment horizontal="left" vertical="center" wrapText="1"/>
    </x:xf>
    <x:xf numFmtId="165" fontId="13" fillId="6" borderId="8" xfId="0" applyFont="1" applyBorder="1" applyAlignment="1">
      <x:alignment horizontal="center" vertical="center" wrapText="0"/>
    </x:xf>
    <x:xf numFmtId="169" fontId="13" fillId="6" borderId="8" xfId="0" applyFont="1" applyBorder="1" applyAlignment="1">
      <x:alignment horizontal="center" vertical="center" wrapText="0"/>
    </x:xf>
    <x:xf numFmtId="164" fontId="14" fillId="4" borderId="10" xfId="0" applyFont="1" applyBorder="1" applyAlignment="1">
      <x:alignment horizontal="left" vertical="center" wrapText="0"/>
    </x:xf>
    <x:xf numFmtId="164" fontId="15" fillId="8" borderId="11" xfId="0" applyFont="1" applyBorder="1" applyAlignment="1">
      <x:alignment horizontal="left" vertical="center" wrapText="1"/>
    </x:xf>
    <x:xf numFmtId="164" fontId="16" fillId="2" borderId="6" xfId="0" applyFont="1" applyBorder="1" applyAlignment="1">
      <x:alignment horizontal="center" vertical="center" wrapText="1"/>
    </x:xf>
    <x:xf numFmtId="164" fontId="16" fillId="2" borderId="6" xfId="0" applyFont="1" applyBorder="1" applyAlignment="1">
      <x:alignment horizontal="center" vertical="center" wrapText="0"/>
    </x:xf>
    <x:xf numFmtId="164" fontId="9" fillId="4" borderId="10" xfId="0" applyFont="1" applyBorder="1" applyAlignment="1">
      <x:alignment horizontal="left" vertical="center" wrapText="0"/>
    </x:xf>
    <x:xf numFmtId="164" fontId="17" fillId="6" borderId="12" xfId="0" applyFont="1" applyBorder="1" applyAlignment="1">
      <x:alignment horizontal="left" vertical="center" wrapText="1"/>
    </x:xf>
    <x:xf numFmtId="164" fontId="9" fillId="3" borderId="10" xfId="0" applyFont="1" applyBorder="1" applyAlignment="1">
      <x:alignment horizontal="left" vertical="center" wrapText="0"/>
    </x:xf>
    <x:xf numFmtId="164" fontId="16" fillId="2" borderId="13" xfId="0" applyFont="1" applyBorder="1" applyAlignment="1">
      <x:alignment horizontal="center" vertical="center" wrapText="0"/>
    </x:xf>
    <x:xf numFmtId="168" fontId="18" fillId="5" borderId="8" xfId="0" applyFont="1" applyBorder="1" applyAlignment="1">
      <x:alignment horizontal="center" vertical="center" wrapText="0"/>
    </x:xf>
    <x:xf numFmtId="165" fontId="18" fillId="5" borderId="8" xfId="0" applyFont="1" applyBorder="1" applyAlignment="1">
      <x:alignment horizontal="center" vertical="center" wrapText="0"/>
    </x:xf>
    <x:xf numFmtId="166" fontId="18" fillId="5" borderId="8" xfId="0" applyFont="1" applyBorder="1" applyAlignment="1">
      <x:alignment horizontal="center" vertical="center" wrapText="0"/>
    </x:xf>
    <x:xf numFmtId="164" fontId="18" fillId="4" borderId="10" xfId="0" applyFont="1" applyBorder="1" applyAlignment="1">
      <x:alignment horizontal="left" vertical="center" wrapText="0"/>
    </x:xf>
    <x:xf numFmtId="164" fontId="18" fillId="4" borderId="10" xfId="0" applyFont="1" applyBorder="1" applyAlignment="1">
      <x:alignment horizontal="center" vertical="center" wrapText="0"/>
    </x:xf>
    <x:xf numFmtId="164" fontId="18" fillId="3" borderId="10" xfId="0" applyFont="1" applyBorder="1" applyAlignment="1">
      <x:alignment horizontal="left" vertical="center" wrapText="0"/>
    </x:xf>
    <x:xf numFmtId="164" fontId="18" fillId="3" borderId="10" xfId="0" applyFont="1" applyBorder="1" applyAlignment="1">
      <x:alignment horizontal="center" vertical="center" wrapText="0"/>
    </x:xf>
    <x:xf numFmtId="164" fontId="6" fillId="2" borderId="9" xfId="0" applyFont="1" applyBorder="1" applyAlignment="1">
      <x:alignment horizontal="left" vertical="center" wrapText="0"/>
    </x:xf>
    <x:xf numFmtId="165" fontId="19" fillId="5" borderId="8" xfId="0" applyFont="1" applyBorder="1" applyAlignment="1">
      <x:alignment horizontal="center" vertical="center" wrapText="0"/>
    </x:xf>
    <x:xf numFmtId="164" fontId="5" fillId="4" borderId="3" xfId="0" applyFont="1" applyBorder="1" applyAlignment="1">
      <x:alignment horizontal="left" vertical="center" wrapText="0"/>
    </x:xf>
    <x:xf numFmtId="167" fontId="18" fillId="5" borderId="8" xfId="0" applyFont="1" applyBorder="1" applyAlignment="1">
      <x:alignment horizontal="center" vertical="center" wrapText="0"/>
    </x:xf>
    <x:xf numFmtId="167" fontId="13" fillId="6" borderId="8" xfId="0" applyFont="1" applyBorder="1" applyAlignment="1">
      <x:alignment horizontal="center" vertical="center" wrapText="0"/>
    </x:xf>
    <x:xf numFmtId="164" fontId="20" fillId="9" borderId="10" xfId="0" applyFont="1" applyBorder="1" applyAlignment="1">
      <x:alignment horizontal="left" vertical="center" wrapText="1"/>
    </x:xf>
    <x:xf numFmtId="164" fontId="20" fillId="4" borderId="3" xfId="0" applyFont="1" applyBorder="1" applyAlignment="1">
      <x:alignment horizontal="left" vertical="center" wrapText="1"/>
    </x:xf>
    <x:xf numFmtId="164" fontId="8" fillId="3" borderId="10" xfId="0" applyFont="1" applyBorder="1" applyAlignment="1">
      <x:alignment horizontal="center" vertical="center" wrapText="0"/>
    </x:xf>
    <x:xf numFmtId="164" fontId="19" fillId="5" borderId="8" xfId="0" applyFont="1" applyBorder="1" applyAlignment="1">
      <x:alignment horizontal="center" vertical="center" wrapText="0"/>
    </x:xf>
    <x:xf numFmtId="164" fontId="21" fillId="4" borderId="3" xfId="0" applyFont="1" applyBorder="1" applyAlignment="1">
      <x:alignment horizontal="left" vertical="center" wrapText="1"/>
    </x:xf>
    <x:xf numFmtId="164" fontId="5" fillId="4" borderId="3" xfId="0" applyFont="1" applyBorder="1" applyAlignment="1">
      <x:alignment horizontal="left" vertical="center" wrapText="1"/>
    </x:xf>
    <x:xf numFmtId="164" fontId="6" fillId="2" borderId="14" xfId="0" applyFont="1" applyBorder="1" applyAlignment="1">
      <x:alignment horizontal="left" vertical="center" wrapText="0"/>
    </x:xf>
    <x:xf numFmtId="164" fontId="22" fillId="10" borderId="15" xfId="0" applyFont="1" applyBorder="1" applyAlignment="1">
      <x:alignment horizontal="left" vertical="center" wrapText="1"/>
    </x:xf>
    <x:xf numFmtId="164" fontId="16" fillId="2" borderId="16" xfId="0" applyFont="1" applyBorder="1" applyAlignment="1">
      <x:alignment horizontal="left" vertical="center" wrapText="0"/>
    </x:xf>
    <x:xf numFmtId="164" fontId="16" fillId="2" borderId="17" xfId="0" applyFont="1" applyBorder="1" applyAlignment="1">
      <x:alignment horizontal="left" vertical="center" wrapText="0"/>
    </x:xf>
    <x:xf numFmtId="164" fontId="18" fillId="4" borderId="3" xfId="0" applyFont="1" applyBorder="1" applyAlignment="1">
      <x:alignment horizontal="center" vertical="center" wrapText="0"/>
    </x:xf>
    <x:xf numFmtId="164" fontId="18" fillId="3" borderId="3" xfId="0" applyFont="1" applyBorder="1" applyAlignment="1">
      <x:alignment horizontal="center" vertical="center" wrapText="0"/>
    </x:xf>
    <x:xf numFmtId="164" fontId="5" fillId="9" borderId="10" xfId="0" applyFont="1" applyBorder="1" applyAlignment="1">
      <x:alignment horizontal="left" vertical="center" wrapText="1"/>
    </x:xf>
    <x:xf numFmtId="166" fontId="13" fillId="6" borderId="8" xfId="0" applyFont="1" applyBorder="1" applyAlignment="1">
      <x:alignment horizontal="center" vertical="center" wrapText="0"/>
    </x:xf>
    <x:xf numFmtId="164" fontId="17" fillId="6" borderId="8" xfId="0" applyFont="1" applyBorder="1" applyAlignment="1">
      <x:alignment horizontal="left" vertical="center" wrapText="1"/>
    </x:xf>
    <x:xf numFmtId="164" fontId="17" fillId="6" borderId="8" xfId="0" applyFont="1" applyBorder="1" applyAlignment="1">
      <x:alignment horizontal="center" vertical="center" wrapText="0"/>
    </x:xf>
    <x:xf numFmtId="164" fontId="23" fillId="5" borderId="8" xfId="0" applyFont="1" applyBorder="1" applyAlignment="1">
      <x:alignment horizontal="center" vertical="center" wrapText="0"/>
    </x:xf>
    <x:xf numFmtId="164" fontId="24" fillId="7" borderId="8" xfId="0" applyFont="1" applyBorder="1" applyAlignment="1">
      <x:alignment horizontal="center" vertical="center" wrapText="0"/>
    </x:xf>
    <x:xf numFmtId="164" fontId="25" fillId="11" borderId="8" xfId="0" applyFont="1" applyBorder="1" applyAlignment="1">
      <x:alignment horizontal="center" vertical="center" wrapText="0"/>
    </x:xf>
    <x:xf numFmtId="164" fontId="22" fillId="10" borderId="8" xfId="0" applyFont="1" applyBorder="1" applyAlignment="1">
      <x:alignment horizontal="center" vertical="center" wrapText="0"/>
    </x:xf>
    <x:xf numFmtId="164" fontId="15" fillId="8" borderId="8" xfId="0" applyFont="1" applyBorder="1" applyAlignment="1">
      <x:alignment horizontal="center" vertical="center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7">
    <x:dxf>
      <x:font>
        <x:b/>
        <x:color rgb="FF155724"/>
        <x:name val="Arial"/>
      </x:font>
      <x:fill>
        <x:patternFill>
          <x:bgColor rgb="FFD4EDDA"/>
        </x:patternFill>
      </x:fill>
    </x:dxf>
    <x:dxf>
      <x:font>
        <x:b/>
        <x:color rgb="FF721C24"/>
        <x:name val="Arial"/>
      </x:font>
      <x:fill>
        <x:patternFill>
          <x:bgColor rgb="FFF8D7DA"/>
        </x:patternFill>
      </x:fill>
    </x:dxf>
    <x:dxf>
      <x:fill>
        <x:patternFill>
          <x:bgColor rgb="FF1E8449"/>
        </x:patternFill>
      </x:fill>
    </x:dxf>
    <x:dxf>
      <x:fill>
        <x:patternFill>
          <x:bgColor rgb="FFC0392B"/>
        </x:patternFill>
      </x:fill>
    </x:dxf>
    <x:dxf>
      <x:font>
        <x:b/>
        <x:sz val="11"/>
        <x:color rgb="FF1E8449"/>
        <x:name val="Arial"/>
      </x:font>
      <x:fill>
        <x:patternFill>
          <x:bgColor rgb="FFD4EDDA"/>
        </x:patternFill>
      </x:fill>
    </x:dxf>
    <x:dxf>
      <x:font>
        <x:b/>
        <x:sz val="11"/>
        <x:color rgb="FFC0392B"/>
        <x:name val="Arial"/>
      </x:font>
      <x:fill>
        <x:patternFill>
          <x:bgColor rgb="FFF8D7DA"/>
        </x:patternFill>
      </x:fill>
    </x:dxf>
    <x:dxf>
      <x:font>
        <x:b/>
        <x:sz val="11"/>
        <x:color rgb="FF856404"/>
        <x:name val="Arial"/>
      </x:font>
      <x:fill>
        <x:patternFill>
          <x:bgColor rgb="FFFFF3CD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721C24"/>
      <x:rgbColor rgb="FF008000"/>
      <x:rgbColor rgb="FF000080"/>
      <x:rgbColor rgb="FF856404"/>
      <x:rgbColor rgb="FF800080"/>
      <x:rgbColor rgb="FF008080"/>
      <x:rgbColor rgb="FFF4F7FB"/>
      <x:rgbColor rgb="FF808080"/>
      <x:rgbColor rgb="FF9999FF"/>
      <x:rgbColor rgb="FFC0392B"/>
      <x:rgbColor rgb="FFFFFDE7"/>
      <x:rgbColor rgb="FFEBF3FA"/>
      <x:rgbColor rgb="FF660066"/>
      <x:rgbColor rgb="FFFF8080"/>
      <x:rgbColor rgb="FF0066CC"/>
      <x:rgbColor rgb="FFCBD8E8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6E4F0"/>
      <x:rgbColor rgb="FFD4EDDA"/>
      <x:rgbColor rgb="FFFFF3CD"/>
      <x:rgbColor rgb="FF99CCFF"/>
      <x:rgbColor rgb="FFFF99CC"/>
      <x:rgbColor rgb="FFCC99FF"/>
      <x:rgbColor rgb="FFF8D7DA"/>
      <x:rgbColor rgb="FF3366FF"/>
      <x:rgbColor rgb="FF33CCCC"/>
      <x:rgbColor rgb="FF99CC00"/>
      <x:rgbColor rgb="FFFFCC00"/>
      <x:rgbColor rgb="FFFF9900"/>
      <x:rgbColor rgb="FFFF6600"/>
      <x:rgbColor rgb="FF5A6A7E"/>
      <x:rgbColor rgb="FFC9A84C"/>
      <x:rgbColor rgb="FF155724"/>
      <x:rgbColor rgb="FF1E8449"/>
      <x:rgbColor rgb="FF0A1628"/>
      <x:rgbColor rgb="FF222222"/>
      <x:rgbColor rgb="FF8B1A1A"/>
      <x:rgbColor rgb="FF993366"/>
      <x:rgbColor rgb="FF1A3A8B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af6b6ffa549b3" /><Relationship Type="http://schemas.openxmlformats.org/officeDocument/2006/relationships/theme" Target="/xl/theme/theme1.xml" Id="R21d819f3659440d9" /><Relationship Type="http://schemas.openxmlformats.org/officeDocument/2006/relationships/sharedStrings" Target="/xl/sharedStrings.xml" Id="Rd7ebe8ae87484486" /><Relationship Type="http://schemas.openxmlformats.org/officeDocument/2006/relationships/worksheet" Target="/xl/worksheets/sheet1.xml" Id="R849daad805a44a35" /><Relationship Type="http://schemas.openxmlformats.org/officeDocument/2006/relationships/worksheet" Target="/xl/worksheets/sheet2.xml" Id="Racac44fdfb9244b4" /><Relationship Type="http://schemas.openxmlformats.org/officeDocument/2006/relationships/worksheet" Target="/xl/worksheets/sheet3.xml" Id="R8015c8792fae4d71" /><Relationship Type="http://schemas.openxmlformats.org/officeDocument/2006/relationships/worksheet" Target="/xl/worksheets/sheet4.xml" Id="R84dd12c81d10406c" /><Relationship Type="http://schemas.openxmlformats.org/officeDocument/2006/relationships/worksheet" Target="/xl/worksheets/sheet5.xml" Id="Raab37177514948af" /><Relationship Type="http://schemas.microsoft.com/office/2017/10/relationships/person" Target="/xl/persons/person.xml" Id="R741d55c2c8274b5f" /></Relationships>
</file>

<file path=xl/persons/person.xml><?xml version="1.0" encoding="utf-8"?>
<xltc:personList xmlns:xltc="http://schemas.microsoft.com/office/spreadsheetml/2018/threadedcomments">
  <xltc:person displayName="Unknown Author" id="{01FFA9AD-F842-1D06-6F3D-9B9A0B69F134}"/>
  <xltc:person displayName="Unknown Author" id="{B54671D9-040F-CDF4-0468-1B285072D4C0}"/>
  <xltc:person displayName="Unknown Author" id="{80F95E9A-21AA-62F7-F0B5-9DAB0CE3ED06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ed39055b910c472c" /><Relationship Type="http://schemas.openxmlformats.org/officeDocument/2006/relationships/vmlDrawing" Target="/xl/drawings/vmldrawing.vml" Id="R0e5bfc99836542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2f51c035e6144a35" /><Relationship Type="http://schemas.openxmlformats.org/officeDocument/2006/relationships/vmlDrawing" Target="/xl/drawings/vmldrawing2.vml" Id="R651bae8ab1d84f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d79a40eee238404d" /><Relationship Type="http://schemas.openxmlformats.org/officeDocument/2006/relationships/vmlDrawing" Target="/xl/drawings/vmldrawing3.vml" Id="Ra4eee8eb9e7744d2" /></Relationships>
</file>

<file path=xl/worksheets/sheet1.xml><?xml version="1.0" encoding="utf-8"?>
<x:worksheet xmlns:x="http://schemas.openxmlformats.org/spreadsheetml/2006/main">
  <x:sheetPr>
    <x:tabColor rgb="FF0A1628"/>
  </x:sheetPr>
  <x:sheetViews>
    <x:sheetView showGridLines="0" workbookViewId="0"/>
  </x:sheetViews>
  <x:sheetFormatPr defaultColWidth="8.6796875" defaultRowHeight="15"/>
  <x:cols>
    <x:col min="1" max="1" width="2" style="1" hidden="0" customWidth="1"/>
    <x:col min="2" max="2" width="36" style="1" hidden="0" customWidth="1"/>
    <x:col min="3" max="3" width="58" style="1" hidden="0" customWidth="1"/>
    <x:col min="4" max="4" width="2" style="1" hidden="0" customWidth="1"/>
  </x:cols>
  <x:sheetData>
    <x:row r="1" ht="6" hidden="0" customHeight="1"/>
    <x:row r="2" ht="37.5" hidden="0" customHeight="1">
      <x:c r="A2" s="2" t="str">
        <x:v>BUS 331 — Phase 2 Workstream C: Portfolio Stress Test &amp; Quantitative Audit</x:v>
      </x:c>
      <x:c r="B2" s="2"/>
      <x:c r="C2" s="2"/>
    </x:row>
    <x:row r="3" ht="18" hidden="0" customHeight="1">
      <x:c r="A3" s="3" t="s">
        <x:v>0</x:v>
      </x:c>
      <x:c r="B3" s="3"/>
      <x:c r="C3" s="3"/>
    </x:row>
    <x:row r="4" ht="7.5" hidden="0" customHeight="1"/>
    <x:row r="5" ht="19.5" hidden="0" customHeight="1">
      <x:c r="B5" s="4" t="s">
        <x:v>1</x:v>
      </x:c>
    </x:row>
    <x:row r="6" ht="51.75" hidden="0" customHeight="1">
      <x:c r="B6" s="5" t="s">
        <x:v>2</x:v>
      </x:c>
      <x:c r="C6" s="5"/>
    </x:row>
    <x:row r="7" ht="7.5" hidden="0" customHeight="1"/>
    <x:row r="8" ht="19.5" hidden="0" customHeight="1">
      <x:c r="B8" s="4" t="s">
        <x:v>3</x:v>
      </x:c>
    </x:row>
    <x:row r="9" ht="51.75" hidden="0" customHeight="1">
      <x:c r="B9" s="5" t="str">
        <x:v>Before opening a client tab, confirm three inputs:
• Phase 1: Approved Bear Case E(R) and σ assumptions for each asset class
• Phase 1: Each client's IPS Tripwire, max σ, and other relevant guardrails
• Phase 2 Workstreams A and B: Solver-supported weights, selected holdings, β, σ, and Sharpe Ratio</x:v>
      </x:c>
      <x:c r="C9" s="5"/>
    </x:row>
    <x:row r="10" ht="7.5" hidden="0" customHeight="1"/>
    <x:row r="11" ht="19.5" hidden="0" customHeight="1">
      <x:c r="B11" s="4" t="s">
        <x:v>4</x:v>
      </x:c>
    </x:row>
    <x:row r="12" ht="51.75" hidden="0" customHeight="1">
      <x:c r="B12" s="5" t="s">
        <x:v>5</x:v>
      </x:c>
      <x:c r="C12" s="5"/>
    </x:row>
    <x:row r="13" ht="7.5" hidden="0" customHeight="1"/>
    <x:row r="14" ht="19.5" hidden="0" customHeight="1">
      <x:c r="B14" s="4" t="s">
        <x:v>6</x:v>
      </x:c>
    </x:row>
    <x:row r="15" ht="51.75" hidden="0" customHeight="1">
      <x:c r="B15" s="5" t="str">
        <x:v>Enter the Workstream A Solver-supported weights for each asset class. Also enter the Base Case E(R) for each class from the Phase 2 CME Matrix. Bear Case return contributions and dollar P&amp;L calculate automatically.</x:v>
      </x:c>
      <x:c r="C15" s="5"/>
    </x:row>
    <x:row r="16" ht="7.5" hidden="0" customHeight="1"/>
    <x:row r="17" ht="19.5" hidden="0" customHeight="1">
      <x:c r="B17" s="4" t="s">
        <x:v>7</x:v>
      </x:c>
    </x:row>
    <x:row r="18" ht="51.75" hidden="0" customHeight="1">
      <x:c r="B18" s="5" t="str">
        <x:v>Enter portfolio Beta and σ from the Phase 2 allocation and selected holdings. Sharpe Ratio calculates automatically. Enter both Base Case and Bear Case values. Also enter the current Risk-Free Rate (Rf) from FRED series TB3MS.</x:v>
      </x:c>
      <x:c r="C18" s="5"/>
    </x:row>
    <x:row r="19" ht="7.5" hidden="0" customHeight="1"/>
    <x:row r="20" ht="19.5" hidden="0" customHeight="1">
      <x:c r="B20" s="4" t="s">
        <x:v>8</x:v>
      </x:c>
    </x:row>
    <x:row r="21" ht="51.75" hidden="0" customHeight="1">
      <x:c r="B21" s="5" t="s">
        <x:v>9</x:v>
      </x:c>
      <x:c r="C21" s="5"/>
    </x:row>
    <x:row r="22" ht="7.5" hidden="0" customHeight="1"/>
    <x:row r="23" ht="19.5" hidden="0" customHeight="1">
      <x:c r="B23" s="4" t="s">
        <x:v>10</x:v>
      </x:c>
    </x:row>
    <x:row r="24" ht="51.75" hidden="0" customHeight="1">
      <x:c r="B24" s="5" t="s">
        <x:v>11</x:v>
      </x:c>
      <x:c r="C24" s="5"/>
    </x:row>
    <x:row r="25" ht="7.5" hidden="0" customHeight="1"/>
    <x:row r="26" ht="19.5" hidden="0" customHeight="1">
      <x:c r="B26" s="4" t="s">
        <x:v>12</x:v>
      </x:c>
    </x:row>
    <x:row r="27" ht="51.75" hidden="0" customHeight="1">
      <x:c r="B27" s="5" t="s">
        <x:v>13</x:v>
      </x:c>
      <x:c r="C27" s="5"/>
    </x:row>
    <x:row r="28" ht="7.5" hidden="0" customHeight="1"/>
    <x:row r="29" ht="19.5" hidden="0" customHeight="1">
      <x:c r="B29" s="4" t="s">
        <x:v>14</x:v>
      </x:c>
    </x:row>
    <x:row r="30" ht="51.75" hidden="0" customHeight="1">
      <x:c r="B30" s="5" t="s">
        <x:v>15</x:v>
      </x:c>
      <x:c r="C30" s="5"/>
    </x:row>
    <x:row r="32" ht="19.5" hidden="0" customHeight="1">
      <x:c r="B32" s="6" t="s">
        <x:v>16</x:v>
      </x:c>
    </x:row>
    <x:row r="33" ht="18" hidden="0" customHeight="1">
      <x:c r="B33" s="7" t="s">
        <x:v>17</x:v>
      </x:c>
      <x:c r="C33" s="7"/>
    </x:row>
    <x:row r="34" ht="18" hidden="0" customHeight="1">
      <x:c r="B34" s="7" t="s">
        <x:v>18</x:v>
      </x:c>
      <x:c r="C34" s="7"/>
    </x:row>
    <x:row r="35" ht="18" hidden="0" customHeight="1">
      <x:c r="B35" s="7" t="s">
        <x:v>19</x:v>
      </x:c>
      <x:c r="C35" s="7"/>
    </x:row>
    <x:row r="36" ht="18" hidden="0" customHeight="1">
      <x:c r="B36" s="7" t="s">
        <x:v>20</x:v>
      </x:c>
      <x:c r="C36" s="7"/>
    </x:row>
    <x:row r="37" ht="18" hidden="0" customHeight="1">
      <x:c r="B37" s="7" t="s">
        <x:v>21</x:v>
      </x:c>
      <x:c r="C37" s="7"/>
    </x:row>
    <x:row r="38" ht="18" hidden="0" customHeight="1">
      <x:c r="B38" s="7" t="s">
        <x:v>22</x:v>
      </x:c>
      <x:c r="C38" s="7"/>
    </x:row>
    <x:row r="39" ht="18" hidden="0" customHeight="1">
      <x:c r="B39" s="7" t="s">
        <x:v>23</x:v>
      </x:c>
      <x:c r="C39" s="7"/>
    </x:row>
    <x:row r="40" ht="18" hidden="0" customHeight="1">
      <x:c r="B40" s="7" t="s">
        <x:v>24</x:v>
      </x:c>
      <x:c r="C40" s="7"/>
    </x:row>
    <x:row r="41" ht="18" hidden="0" customHeight="1">
      <x:c r="B41" s="7" t="s">
        <x:v>25</x:v>
      </x:c>
      <x:c r="C41" s="7"/>
    </x:row>
    <x:row r="42" ht="18" hidden="0" customHeight="1">
      <x:c r="B42" s="7" t="s">
        <x:v>26</x:v>
      </x:c>
      <x:c r="C42" s="7"/>
    </x:row>
  </x:sheetData>
  <x:mergeCells>
    <x:mergeCell ref="A2:C2"/>
    <x:mergeCell ref="A3:C3"/>
    <x:mergeCell ref="B6:C6"/>
    <x:mergeCell ref="B9:C9"/>
    <x:mergeCell ref="B12:C12"/>
    <x:mergeCell ref="B15:C15"/>
    <x:mergeCell ref="B18:C18"/>
    <x:mergeCell ref="B21:C21"/>
    <x:mergeCell ref="B24:C24"/>
    <x:mergeCell ref="B27:C27"/>
    <x:mergeCell ref="B30:C30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B42:C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9A84C"/>
  </x:sheetPr>
  <x:sheetViews>
    <x:sheetView showGridLines="0" workbookViewId="0"/>
  </x:sheetViews>
  <x:sheetFormatPr defaultColWidth="8.6796875" defaultRowHeight="15"/>
  <x:cols>
    <x:col min="1" max="1" width="2" style="1" hidden="0" customWidth="1"/>
    <x:col min="2" max="2" width="32" style="1" hidden="0" customWidth="1"/>
    <x:col min="3" max="5" width="18" style="1" hidden="0" customWidth="1"/>
    <x:col min="6" max="6" width="2" style="1" hidden="0" customWidth="1"/>
  </x:cols>
  <x:sheetData>
    <x:row r="1" ht="6" hidden="0" customHeight="1"/>
    <x:row r="2" ht="37.5" hidden="0" customHeight="1">
      <x:c r="A2" s="2" t="str">
        <x:v>Phase 2 Workstream C — Portfolio Stress Test Summary — All Clients</x:v>
      </x:c>
      <x:c r="B2" s="2"/>
      <x:c r="C2" s="2"/>
      <x:c r="D2" s="2"/>
      <x:c r="E2" s="2"/>
      <x:c r="F2" s="2"/>
    </x:row>
    <x:row r="3" ht="18" hidden="0" customHeight="1">
      <x:c r="A3" s="3" t="s">
        <x:v>27</x:v>
      </x:c>
      <x:c r="B3" s="3"/>
      <x:c r="C3" s="3"/>
      <x:c r="D3" s="3"/>
      <x:c r="E3" s="3"/>
      <x:c r="F3" s="3"/>
    </x:row>
    <x:row r="4" ht="31.5" hidden="0" customHeight="1">
      <x:c r="A4" s="8" t="str">
        <x:v>This tab auto-links key stress-test results from each client tab. All three clients must satisfy the tripwire and complete the full IPS scorecard before the Phase 2 committee vote.</x:v>
      </x:c>
      <x:c r="B4" s="8"/>
      <x:c r="C4" s="8"/>
      <x:c r="D4" s="8"/>
      <x:c r="E4" s="8"/>
      <x:c r="F4" s="8"/>
    </x:row>
    <x:row r="5" ht="7.5" hidden="0" customHeight="1"/>
    <x:row r="6" ht="30" hidden="0" customHeight="1">
      <x:c r="B6" s="9" t="s">
        <x:v>28</x:v>
      </x:c>
      <x:c r="C6" s="9" t="s">
        <x:v>29</x:v>
      </x:c>
      <x:c r="D6" s="9" t="s">
        <x:v>30</x:v>
      </x:c>
      <x:c r="E6" s="9" t="s">
        <x:v>31</x:v>
      </x:c>
    </x:row>
    <x:row r="7" ht="25.5" hidden="0" customHeight="1">
      <x:c r="B7" s="10" t="s">
        <x:v>32</x:v>
      </x:c>
      <x:c r="C7" s="11" t="n">
        <x:f aca="0">'Client 1'!G5</x:f>
        <x:v>0</x:v>
      </x:c>
      <x:c r="D7" s="11" t="n">
        <x:f aca="0">'Client 2'!G5</x:f>
        <x:v>0</x:v>
      </x:c>
      <x:c r="E7" s="11" t="n">
        <x:f aca="0">'Client 3'!G5</x:f>
        <x:v>0</x:v>
      </x:c>
    </x:row>
    <x:row r="8" ht="25.5" hidden="0" customHeight="1">
      <x:c r="B8" s="12" t="s">
        <x:v>33</x:v>
      </x:c>
      <x:c r="C8" s="11" t="n">
        <x:f aca="0">'Client 1'!F20</x:f>
        <x:v>0</x:v>
      </x:c>
      <x:c r="D8" s="11" t="n">
        <x:f aca="0">'Client 2'!F20</x:f>
        <x:v>0</x:v>
      </x:c>
      <x:c r="E8" s="11" t="n">
        <x:f aca="0">'Client 3'!F20</x:f>
        <x:v>0</x:v>
      </x:c>
    </x:row>
    <x:row r="9" ht="25.5" hidden="0" customHeight="1">
      <x:c r="B9" s="10" t="s">
        <x:v>34</x:v>
      </x:c>
      <x:c r="C9" s="13" t="n">
        <x:f aca="0">'Client 1'!G20</x:f>
        <x:v>0</x:v>
      </x:c>
      <x:c r="D9" s="13" t="n">
        <x:f aca="0">'Client 2'!G20</x:f>
        <x:v>0</x:v>
      </x:c>
      <x:c r="E9" s="13" t="n">
        <x:f aca="0">'Client 3'!G20</x:f>
        <x:v>0</x:v>
      </x:c>
    </x:row>
    <x:row r="10" ht="25.5" hidden="0" customHeight="1">
      <x:c r="B10" s="12" t="s">
        <x:v>35</x:v>
      </x:c>
      <x:c r="C10" s="14" t="str">
        <x:f aca="0">'Client 1'!F34</x:f>
      </x:c>
      <x:c r="D10" s="14" t="str">
        <x:f aca="0">'Client 2'!F34</x:f>
      </x:c>
      <x:c r="E10" s="14" t="str">
        <x:f aca="0">'Client 3'!F34</x:f>
      </x:c>
    </x:row>
    <x:row r="11" ht="25.5" hidden="0" customHeight="1">
      <x:c r="B11" s="10" t="s">
        <x:v>36</x:v>
      </x:c>
      <x:c r="C11" s="15" t="n">
        <x:f aca="0">'Client 1'!C26</x:f>
        <x:v>0</x:v>
      </x:c>
      <x:c r="D11" s="15" t="n">
        <x:f aca="0">'Client 2'!C26</x:f>
        <x:v>0</x:v>
      </x:c>
      <x:c r="E11" s="15" t="n">
        <x:f aca="0">'Client 3'!C26</x:f>
        <x:v>0</x:v>
      </x:c>
    </x:row>
    <x:row r="12" ht="25.5" hidden="0" customHeight="1">
      <x:c r="B12" s="12" t="s">
        <x:v>37</x:v>
      </x:c>
      <x:c r="C12" s="11" t="n">
        <x:f aca="0">'Client 1'!C27</x:f>
        <x:v>0</x:v>
      </x:c>
      <x:c r="D12" s="11" t="n">
        <x:f aca="0">'Client 2'!C27</x:f>
        <x:v>0</x:v>
      </x:c>
      <x:c r="E12" s="11" t="n">
        <x:f aca="0">'Client 3'!C27</x:f>
        <x:v>0</x:v>
      </x:c>
    </x:row>
    <x:row r="13" ht="25.5" hidden="0" customHeight="1">
      <x:c r="B13" s="10" t="s">
        <x:v>38</x:v>
      </x:c>
      <x:c r="C13" s="15" t="str">
        <x:f aca="0">'Client 1'!C28</x:f>
      </x:c>
      <x:c r="D13" s="15" t="str">
        <x:f aca="0">'Client 2'!C28</x:f>
      </x:c>
      <x:c r="E13" s="15" t="str">
        <x:f aca="0">'Client 3'!C28</x:f>
      </x:c>
    </x:row>
    <x:row r="14" ht="25.5" hidden="0" customHeight="1">
      <x:c r="B14" s="12" t="s">
        <x:v>39</x:v>
      </x:c>
      <x:c r="C14" s="14" t="str">
        <x:f aca="0">IF('Client 1'!F34="","",IF('Client 1'!F34="✓ PASS","NO","YES"))</x:f>
      </x:c>
      <x:c r="D14" s="14" t="str">
        <x:f aca="0">IF('Client 2'!F34="","",IF('Client 2'!F34="✓ PASS","NO","YES"))</x:f>
      </x:c>
      <x:c r="E14" s="14" t="str">
        <x:f aca="0">IF('Client 3'!F34="","",IF('Client 3'!F34="✓ PASS","NO","YES"))</x:f>
      </x:c>
    </x:row>
    <x:row r="16" ht="7.5" hidden="0" customHeight="1"/>
    <x:row r="17" ht="30" hidden="0" customHeight="1">
      <x:c r="A17" s="16" t="str">
        <x:f aca="0">IF(AND('Client 1'!F34="✓ PASS",'Client 2'!F34="✓ PASS",'Client 3'!F34="✓ PASS"),"  ✓ ALL THREE CLIENTS PASS — Ready for the Phase 2 committee vote and Phase 3 defense","  ✗ ONE OR MORE CLIENTS FAILING — Complete Section 5 re-allocation and re-test before approval")</x:f>
        <x:v>  ✗ ONE OR MORE CLIENTS FAILING — Complete Section 5 re-allocation and re-test before approval</x:v>
      </x:c>
      <x:c r="B17" s="16"/>
      <x:c r="C17" s="16"/>
      <x:c r="D17" s="16"/>
      <x:c r="E17" s="16"/>
      <x:c r="F17" s="16"/>
    </x:row>
  </x:sheetData>
  <x:mergeCells>
    <x:mergeCell ref="A2:F2"/>
    <x:mergeCell ref="A3:F3"/>
    <x:mergeCell ref="A4:F4"/>
    <x:mergeCell ref="A17:F17"/>
  </x:mergeCells>
  <x:conditionalFormatting sqref="C8:C8">
    <x:cfRule type="expression" dxfId="0" priority="2" aboveAverage="0" percent="0" bottom="0" rank="0" equalAverage="0">
      <x:formula>C8&gt;='Client 1'!G5</x:formula>
    </x:cfRule>
    <x:cfRule type="expression" dxfId="1" priority="3" aboveAverage="0" percent="0" bottom="0" rank="0" equalAverage="0">
      <x:formula>AND(C8&lt;&gt;"",C8&lt;'Client 1'!G5)</x:formula>
    </x:cfRule>
  </x:conditionalFormatting>
  <x:conditionalFormatting sqref="D8:D8">
    <x:cfRule type="expression" dxfId="0" priority="4" aboveAverage="0" percent="0" bottom="0" rank="0" equalAverage="0">
      <x:formula>D8&gt;='Client 2'!G5</x:formula>
    </x:cfRule>
    <x:cfRule type="expression" dxfId="1" priority="5" aboveAverage="0" percent="0" bottom="0" rank="0" equalAverage="0">
      <x:formula>AND(D8&lt;&gt;"",D8&lt;'Client 2'!G5)</x:formula>
    </x:cfRule>
  </x:conditionalFormatting>
  <x:conditionalFormatting sqref="E8:E8">
    <x:cfRule type="expression" dxfId="0" priority="6" aboveAverage="0" percent="0" bottom="0" rank="0" equalAverage="0">
      <x:formula>E8&gt;='Client 3'!G5</x:formula>
    </x:cfRule>
    <x:cfRule type="expression" dxfId="1" priority="7" aboveAverage="0" percent="0" bottom="0" rank="0" equalAverage="0">
      <x:formula>AND(E8&lt;&gt;"",E8&lt;'Client 3'!G5)</x:formula>
    </x:cfRule>
  </x:conditionalFormatting>
  <x:conditionalFormatting sqref="C10:C10">
    <x:cfRule type="expression" dxfId="0" priority="8" aboveAverage="0" percent="0" bottom="0" rank="0" equalAverage="0">
      <x:formula>OR(C10="✓ PASS",C10="NO")</x:formula>
    </x:cfRule>
    <x:cfRule type="expression" dxfId="1" priority="9" aboveAverage="0" percent="0" bottom="0" rank="0" equalAverage="0">
      <x:formula>OR(C10="✗ FAIL — RE-ALLOCATE",C10="YES")</x:formula>
    </x:cfRule>
  </x:conditionalFormatting>
  <x:conditionalFormatting sqref="D10:D10">
    <x:cfRule type="expression" dxfId="0" priority="10" aboveAverage="0" percent="0" bottom="0" rank="0" equalAverage="0">
      <x:formula>OR(D10="✓ PASS",D10="NO")</x:formula>
    </x:cfRule>
    <x:cfRule type="expression" dxfId="1" priority="11" aboveAverage="0" percent="0" bottom="0" rank="0" equalAverage="0">
      <x:formula>OR(D10="✗ FAIL — RE-ALLOCATE",D10="YES")</x:formula>
    </x:cfRule>
  </x:conditionalFormatting>
  <x:conditionalFormatting sqref="E10:E10">
    <x:cfRule type="expression" dxfId="0" priority="12" aboveAverage="0" percent="0" bottom="0" rank="0" equalAverage="0">
      <x:formula>OR(E10="✓ PASS",E10="NO")</x:formula>
    </x:cfRule>
    <x:cfRule type="expression" dxfId="1" priority="13" aboveAverage="0" percent="0" bottom="0" rank="0" equalAverage="0">
      <x:formula>OR(E10="✗ FAIL — RE-ALLOCATE",E10="YES")</x:formula>
    </x:cfRule>
  </x:conditionalFormatting>
  <x:conditionalFormatting sqref="C14:C14">
    <x:cfRule type="expression" dxfId="0" priority="14" aboveAverage="0" percent="0" bottom="0" rank="0" equalAverage="0">
      <x:formula>OR(C14="✓ PASS",C14="NO")</x:formula>
    </x:cfRule>
    <x:cfRule type="expression" dxfId="1" priority="15" aboveAverage="0" percent="0" bottom="0" rank="0" equalAverage="0">
      <x:formula>OR(C14="✗ FAIL — RE-ALLOCATE",C14="YES")</x:formula>
    </x:cfRule>
  </x:conditionalFormatting>
  <x:conditionalFormatting sqref="D14:D14">
    <x:cfRule type="expression" dxfId="0" priority="16" aboveAverage="0" percent="0" bottom="0" rank="0" equalAverage="0">
      <x:formula>OR(D14="✓ PASS",D14="NO")</x:formula>
    </x:cfRule>
    <x:cfRule type="expression" dxfId="1" priority="17" aboveAverage="0" percent="0" bottom="0" rank="0" equalAverage="0">
      <x:formula>OR(D14="✗ FAIL — RE-ALLOCATE",D14="YES")</x:formula>
    </x:cfRule>
  </x:conditionalFormatting>
  <x:conditionalFormatting sqref="E14:E14">
    <x:cfRule type="expression" dxfId="0" priority="18" aboveAverage="0" percent="0" bottom="0" rank="0" equalAverage="0">
      <x:formula>OR(E14="✓ PASS",E14="NO")</x:formula>
    </x:cfRule>
    <x:cfRule type="expression" dxfId="1" priority="19" aboveAverage="0" percent="0" bottom="0" rank="0" equalAverage="0">
      <x:formula>OR(E14="✗ FAIL — RE-ALLOCATE",E14="YES")</x:formula>
    </x:cfRule>
  </x:conditionalFormatting>
  <x:conditionalFormatting sqref="A17:A17">
    <x:cfRule type="expression" dxfId="2" priority="20" aboveAverage="0" percent="0" bottom="0" rank="0" equalAverage="0">
      <x:formula>AND('Client 1'!F34="✓ PASS",'Client 2'!F34="✓ PASS",'Client 3'!F34="✓ PASS")</x:formula>
    </x:cfRule>
    <x:cfRule type="expression" dxfId="3" priority="21" aboveAverage="0" percent="0" bottom="0" rank="0" equalAverage="0">
      <x:formula>NOT(AND('Client 1'!F34="✓ PASS",'Client 2'!F34="✓ PASS",'Client 3'!F34="✓ PASS"))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E8449"/>
  </x:sheetPr>
  <x:sheetViews>
    <x:sheetView showGridLines="0" workbookViewId="0"/>
  </x:sheetViews>
  <x:sheetFormatPr defaultColWidth="8.6796875" defaultRowHeight="15"/>
  <x:cols>
    <x:col min="1" max="1" width="2" style="1" hidden="0" customWidth="1"/>
    <x:col min="2" max="2" width="30" style="1" hidden="0" customWidth="1"/>
    <x:col min="3" max="3" width="13" style="1" hidden="0" customWidth="1"/>
    <x:col min="4" max="7" width="16" style="1" hidden="0" customWidth="1"/>
    <x:col min="8" max="8" width="28" style="1" hidden="0" customWidth="1"/>
    <x:col min="9" max="10" width="14" style="1" hidden="0" customWidth="1"/>
    <x:col min="11" max="11" width="2" style="1" hidden="0" customWidth="1"/>
  </x:cols>
  <x:sheetData>
    <x:row r="1" ht="6" hidden="0" customHeight="1"/>
    <x:row r="2" ht="37.5" hidden="0" customHeight="1">
      <x:c r="A2" s="2" t="str">
        <x:v>Phase 2 Workstream C — Portfolio Stress Test &amp; Quantitative Audit  |  Client 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18" hidden="0" customHeight="1">
      <x:c r="A3" s="3" t="str">
        <x:v>BUS 331 Investments  |  Endicott College  |  Apply the approved Phase 1 Bear Case to the Phase 2 Portfolio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6" hidden="0" customHeight="1"/>
    <x:row r="5" ht="21.75" hidden="0" customHeight="1">
      <x:c r="B5" s="17" t="s">
        <x:v>40</x:v>
      </x:c>
      <x:c r="C5" s="18"/>
      <x:c r="D5" s="17" t="s">
        <x:v>41</x:v>
      </x:c>
      <x:c r="E5" s="19" t="n">
        <x:v>500000</x:v>
      </x:c>
      <x:c r="F5" s="20" t="s">
        <x:v>42</x:v>
      </x:c>
      <x:c r="G5" s="21"/>
      <x:c r="H5" s="17" t="s">
        <x:v>43</x:v>
      </x:c>
      <x:c r="I5" s="22" t="str">
        <x:v>(from Phase 1)</x:v>
      </x:c>
      <x:c r="J5" s="23" t="s">
        <x:v>44</x:v>
      </x:c>
    </x:row>
    <x:row r="6" ht="6" hidden="0" customHeight="1"/>
    <x:row r="7" ht="19.5" hidden="0" customHeight="1">
      <x:c r="A7" s="4" t="s">
        <x:v>45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1.5" hidden="0" customHeight="1">
      <x:c r="A8" s="24" t="s">
        <x:v>46</x:v>
      </x:c>
      <x:c r="B8" s="24"/>
      <x:c r="C8" s="24"/>
      <x:c r="D8" s="24"/>
      <x:c r="E8" s="24"/>
      <x:c r="F8" s="24"/>
      <x:c r="G8" s="24"/>
      <x:c r="H8" s="24"/>
      <x:c r="I8" s="24"/>
      <x:c r="J8" s="24"/>
      <x:c r="K8" s="24"/>
    </x:row>
    <x:row r="9" ht="30" hidden="0" customHeight="1">
      <x:c r="B9" s="25" t="s">
        <x:v>47</x:v>
      </x:c>
      <x:c r="C9" s="25" t="s">
        <x:v>48</x:v>
      </x:c>
      <x:c r="D9" s="25" t="s">
        <x:v>49</x:v>
      </x:c>
      <x:c r="E9" s="26" t="s">
        <x:v>50</x:v>
      </x:c>
      <x:c r="F9" s="26"/>
      <x:c r="G9" s="26"/>
      <x:c r="H9" s="26"/>
      <x:c r="I9" s="26"/>
      <x:c r="J9" s="26"/>
      <x:c r="K9" s="26"/>
    </x:row>
    <x:row r="10" ht="21.75" hidden="0" customHeight="1">
      <x:c r="B10" s="27" t="s">
        <x:v>51</x:v>
      </x:c>
      <x:c r="C10" s="21"/>
      <x:c r="D10" s="21"/>
      <x:c r="E10" s="28"/>
      <x:c r="F10" s="28"/>
      <x:c r="G10" s="28"/>
      <x:c r="H10" s="28"/>
      <x:c r="I10" s="28"/>
      <x:c r="J10" s="28"/>
      <x:c r="K10" s="28"/>
    </x:row>
    <x:row r="11" ht="21.75" hidden="0" customHeight="1">
      <x:c r="B11" s="29" t="s">
        <x:v>52</x:v>
      </x:c>
      <x:c r="C11" s="21"/>
      <x:c r="D11" s="21"/>
      <x:c r="E11" s="28"/>
      <x:c r="F11" s="28"/>
      <x:c r="G11" s="28"/>
      <x:c r="H11" s="28"/>
      <x:c r="I11" s="28"/>
      <x:c r="J11" s="28"/>
      <x:c r="K11" s="28"/>
    </x:row>
    <x:row r="12" ht="21.75" hidden="0" customHeight="1">
      <x:c r="B12" s="27" t="s">
        <x:v>53</x:v>
      </x:c>
      <x:c r="C12" s="21"/>
      <x:c r="D12" s="21"/>
      <x:c r="E12" s="28"/>
      <x:c r="F12" s="28"/>
      <x:c r="G12" s="28"/>
      <x:c r="H12" s="28"/>
      <x:c r="I12" s="28"/>
      <x:c r="J12" s="28"/>
      <x:c r="K12" s="28"/>
    </x:row>
    <x:row r="13" ht="7.5" hidden="0" customHeight="1"/>
    <x:row r="14" ht="19.5" hidden="0" customHeight="1">
      <x:c r="A14" s="4" t="str">
        <x:v>  SECTION 2 — BASE CASE PORTFOLIO  (enter Phase 2 Workstream A weights)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 ht="31.5" hidden="0" customHeight="1">
      <x:c r="A15" s="8" t="str">
        <x:v>Enter the Solver-supported weights from Phase 2 Workstream A for this client. Weights must sum to 100%. The Base Case return and risk metrics auto-calculate.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 ht="33.75" hidden="0" customHeight="1">
      <x:c r="B16" s="25" t="s">
        <x:v>47</x:v>
      </x:c>
      <x:c r="C16" s="25" t="str">
        <x:v>Weight
(Workstream A)</x:v>
      </x:c>
      <x:c r="D16" s="25" t="s">
        <x:v>54</x:v>
      </x:c>
      <x:c r="E16" s="25" t="s">
        <x:v>55</x:v>
      </x:c>
      <x:c r="F16" s="25" t="s">
        <x:v>56</x:v>
      </x:c>
      <x:c r="G16" s="25" t="s">
        <x:v>57</x:v>
      </x:c>
      <x:c r="H16" s="25" t="s">
        <x:v>58</x:v>
      </x:c>
      <x:c r="I16" s="30" t="s">
        <x:v>59</x:v>
      </x:c>
      <x:c r="J16" s="30"/>
      <x:c r="K16" s="30"/>
    </x:row>
    <x:row r="17" ht="21.75" hidden="0" customHeight="1">
      <x:c r="B17" s="27" t="s">
        <x:v>51</x:v>
      </x:c>
      <x:c r="C17" s="21"/>
      <x:c r="D17" s="31" t="str">
        <x:f aca="0">IF(C17&lt;&gt;"",C17*$E$5,"")</x:f>
      </x:c>
      <x:c r="E17" s="21"/>
      <x:c r="F17" s="32" t="str">
        <x:f aca="0">IF(C17&lt;&gt;"",C17*C10,"")</x:f>
      </x:c>
      <x:c r="G17" s="33" t="str">
        <x:f aca="0">IF(D17&lt;&gt;"",D17*C10,"")</x:f>
      </x:c>
      <x:c r="H17" s="34"/>
      <x:c r="I17" s="35"/>
      <x:c r="J17" s="35"/>
      <x:c r="K17" s="35"/>
    </x:row>
    <x:row r="18" ht="21.75" hidden="0" customHeight="1">
      <x:c r="B18" s="29" t="s">
        <x:v>52</x:v>
      </x:c>
      <x:c r="C18" s="21"/>
      <x:c r="D18" s="31" t="str">
        <x:f aca="0">IF(C18&lt;&gt;"",C18*$E$5,"")</x:f>
      </x:c>
      <x:c r="E18" s="21"/>
      <x:c r="F18" s="32" t="str">
        <x:f aca="0">IF(C18&lt;&gt;"",C18*C11,"")</x:f>
      </x:c>
      <x:c r="G18" s="33" t="str">
        <x:f aca="0">IF(D18&lt;&gt;"",D18*C11,"")</x:f>
      </x:c>
      <x:c r="H18" s="36"/>
      <x:c r="I18" s="37"/>
      <x:c r="J18" s="37"/>
      <x:c r="K18" s="37"/>
    </x:row>
    <x:row r="19" ht="21.75" hidden="0" customHeight="1">
      <x:c r="B19" s="27" t="s">
        <x:v>53</x:v>
      </x:c>
      <x:c r="C19" s="21"/>
      <x:c r="D19" s="31" t="str">
        <x:f aca="0">IF(C19&lt;&gt;"",C19*$E$5,"")</x:f>
      </x:c>
      <x:c r="E19" s="21"/>
      <x:c r="F19" s="32" t="str">
        <x:f aca="0">IF(C19&lt;&gt;"",C19*C12,"")</x:f>
      </x:c>
      <x:c r="G19" s="33" t="str">
        <x:f aca="0">IF(D19&lt;&gt;"",D19*C12,"")</x:f>
      </x:c>
      <x:c r="H19" s="34"/>
      <x:c r="I19" s="35"/>
      <x:c r="J19" s="35"/>
      <x:c r="K19" s="35"/>
    </x:row>
    <x:row r="20" ht="24" hidden="0" customHeight="1">
      <x:c r="A20" s="38" t="s">
        <x:v>60</x:v>
      </x:c>
      <x:c r="B20" s="38"/>
      <x:c r="C20" s="39" t="n">
        <x:f aca="0">IFERROR(SUM(C17:C19),0)</x:f>
        <x:v>0</x:v>
      </x:c>
      <x:c r="D20" s="31" t="n">
        <x:f aca="0">IFERROR(SUM(D17:D19),0)</x:f>
        <x:v>0</x:v>
      </x:c>
      <x:c r="E20" s="32" t="n">
        <x:f aca="0">IFERROR(SUMPRODUCT(C17:C19,E17:E19),"")</x:f>
        <x:v>0</x:v>
      </x:c>
      <x:c r="F20" s="32" t="n">
        <x:f aca="0">IFERROR(SUMPRODUCT(C17:C19,C10:C12),"")</x:f>
        <x:v>0</x:v>
      </x:c>
      <x:c r="G20" s="33" t="n">
        <x:f aca="0">IFERROR(SUM(G17:G19),"")</x:f>
        <x:v>0</x:v>
      </x:c>
      <x:c r="H20" s="40" t="s">
        <x:v>61</x:v>
      </x:c>
      <x:c r="I20" s="40"/>
      <x:c r="J20" s="40"/>
      <x:c r="K20" s="40"/>
    </x:row>
    <x:row r="21" ht="7.5" hidden="0" customHeight="1"/>
    <x:row r="22" ht="19.5" hidden="0" customHeight="1">
      <x:c r="A22" s="4" t="s">
        <x:v>62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</x:row>
    <x:row r="23" ht="31.5" hidden="0" customHeight="1">
      <x:c r="A23" s="8" t="str">
        <x:v>Enter portfolio risk metrics for BOTH the Base Case and Bear Case. Beta and σ come from the Phase 2 allocation and selected holdings. Sharpe Ratio is calculated automatically using the formula below.</x:v>
      </x:c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 ht="30" hidden="0" customHeight="1">
      <x:c r="B24" s="25" t="s">
        <x:v>28</x:v>
      </x:c>
      <x:c r="C24" s="25" t="str">
        <x:v>Base Case
(Phase 2)</x:v>
      </x:c>
      <x:c r="D24" s="25" t="s">
        <x:v>63</x:v>
      </x:c>
      <x:c r="E24" s="25" t="s">
        <x:v>64</x:v>
      </x:c>
      <x:c r="F24" s="26" t="s">
        <x:v>65</x:v>
      </x:c>
      <x:c r="G24" s="26"/>
      <x:c r="H24" s="26"/>
      <x:c r="I24" s="26"/>
      <x:c r="J24" s="26"/>
      <x:c r="K24" s="26"/>
    </x:row>
    <x:row r="25" ht="21.75" hidden="0" customHeight="1">
      <x:c r="B25" s="17" t="s">
        <x:v>66</x:v>
      </x:c>
      <x:c r="C25" s="21"/>
      <x:c r="D25" s="40" t="s">
        <x:v>67</x:v>
      </x:c>
      <x:c r="E25" s="40"/>
      <x:c r="F25" s="40"/>
      <x:c r="G25" s="40"/>
      <x:c r="H25" s="40"/>
      <x:c r="I25" s="40"/>
      <x:c r="J25" s="40"/>
      <x:c r="K25" s="40"/>
    </x:row>
    <x:row r="26" ht="25.5" hidden="0" customHeight="1">
      <x:c r="B26" s="10" t="s">
        <x:v>36</x:v>
      </x:c>
      <x:c r="C26" s="41"/>
      <x:c r="D26" s="42"/>
      <x:c r="E26" s="43" t="str">
        <x:v>From Phase 2 security selection — weighted average beta of all holdings</x:v>
      </x:c>
      <x:c r="F26" s="44" t="s">
        <x:v>68</x:v>
      </x:c>
      <x:c r="G26" s="44"/>
      <x:c r="H26" s="44"/>
      <x:c r="I26" s="44"/>
      <x:c r="J26" s="44"/>
      <x:c r="K26" s="44"/>
    </x:row>
    <x:row r="27" ht="25.5" hidden="0" customHeight="1">
      <x:c r="B27" s="12" t="s">
        <x:v>69</x:v>
      </x:c>
      <x:c r="C27" s="21"/>
      <x:c r="D27" s="21"/>
      <x:c r="E27" s="43" t="str">
        <x:v>From Phase 2 CME Matrix — portfolio σ from Solver output</x:v>
      </x:c>
      <x:c r="F27" s="44" t="s">
        <x:v>70</x:v>
      </x:c>
      <x:c r="G27" s="44"/>
      <x:c r="H27" s="44"/>
      <x:c r="I27" s="44"/>
      <x:c r="J27" s="44"/>
      <x:c r="K27" s="44"/>
    </x:row>
    <x:row r="28" ht="25.5" hidden="0" customHeight="1">
      <x:c r="B28" s="10" t="s">
        <x:v>71</x:v>
      </x:c>
      <x:c r="C28" s="41" t="str">
        <x:f aca="0">IFERROR((E20-$C$25)/C27,"")</x:f>
      </x:c>
      <x:c r="D28" s="41" t="str">
        <x:f aca="0">IFERROR((F20-$C$25)/D27,"")</x:f>
      </x:c>
      <x:c r="E28" s="43" t="s">
        <x:v>72</x:v>
      </x:c>
      <x:c r="F28" s="44" t="s">
        <x:v>73</x:v>
      </x:c>
      <x:c r="G28" s="44"/>
      <x:c r="H28" s="44"/>
      <x:c r="I28" s="44"/>
      <x:c r="J28" s="44"/>
      <x:c r="K28" s="44"/>
    </x:row>
    <x:row r="29" ht="25.5" hidden="0" customHeight="1">
      <x:c r="B29" s="12" t="s">
        <x:v>74</x:v>
      </x:c>
      <x:c r="C29" s="45" t="s">
        <x:v>75</x:v>
      </x:c>
      <x:c r="D29" s="32" t="n">
        <x:f aca="0">IFERROR(F20,"")</x:f>
        <x:v>0</x:v>
      </x:c>
      <x:c r="E29" s="43" t="s">
        <x:v>76</x:v>
      </x:c>
      <x:c r="F29" s="44" t="s">
        <x:v>77</x:v>
      </x:c>
      <x:c r="G29" s="44"/>
      <x:c r="H29" s="44"/>
      <x:c r="I29" s="44"/>
      <x:c r="J29" s="44"/>
      <x:c r="K29" s="44"/>
    </x:row>
    <x:row r="30" ht="25.5" hidden="0" customHeight="1">
      <x:c r="B30" s="10" t="s">
        <x:v>78</x:v>
      </x:c>
      <x:c r="C30" s="42"/>
      <x:c r="D30" s="42"/>
      <x:c r="E30" s="43" t="s">
        <x:v>79</x:v>
      </x:c>
      <x:c r="F30" s="44" t="s">
        <x:v>80</x:v>
      </x:c>
      <x:c r="G30" s="44"/>
      <x:c r="H30" s="44"/>
      <x:c r="I30" s="44"/>
      <x:c r="J30" s="44"/>
      <x:c r="K30" s="44"/>
    </x:row>
    <x:row r="31" ht="7.5" hidden="0" customHeight="1"/>
    <x:row r="32" ht="19.5" hidden="0" customHeight="1">
      <x:c r="A32" s="4" t="s">
        <x:v>81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4"/>
    </x:row>
    <x:row r="33" ht="30" hidden="0" customHeight="1">
      <x:c r="B33" s="25" t="s">
        <x:v>82</x:v>
      </x:c>
      <x:c r="C33" s="25" t="s">
        <x:v>83</x:v>
      </x:c>
      <x:c r="D33" s="25" t="s">
        <x:v>84</x:v>
      </x:c>
      <x:c r="E33" s="25" t="s">
        <x:v>85</x:v>
      </x:c>
      <x:c r="F33" s="26" t="s">
        <x:v>86</x:v>
      </x:c>
      <x:c r="G33" s="26"/>
      <x:c r="H33" s="26"/>
      <x:c r="I33" s="26"/>
      <x:c r="J33" s="26"/>
      <x:c r="K33" s="26"/>
    </x:row>
    <x:row r="34" ht="25.5" hidden="0" customHeight="1">
      <x:c r="B34" s="10" t="s">
        <x:v>87</x:v>
      </x:c>
      <x:c r="C34" s="32" t="n">
        <x:f aca="0">$G$5</x:f>
        <x:v>0</x:v>
      </x:c>
      <x:c r="D34" s="32" t="n">
        <x:f aca="0">IFERROR(F20,"")</x:f>
        <x:v>0</x:v>
      </x:c>
      <x:c r="E34" s="32" t="n">
        <x:f aca="0">IFERROR(D34-C34,"")</x:f>
        <x:v>0</x:v>
      </x:c>
      <x:c r="F34" s="46" t="str">
        <x:f aca="0">IF(D34="","",IF(D34&gt;=C34,"✓ PASS","✗ FAIL — RE-ALLOCATE"))</x:f>
      </x:c>
      <x:c r="G34" s="47" t="str">
        <x:f aca="0">IF(D34="","",IF(D34&gt;=C34,"Portfolio passes IPS mandate. No re-allocation required. Proceed to Section 6 (Final Metrics).","FAIL: Portfolio breaches IPS Tripwire by "&amp;TEXT(ABS(D34-C34),"0.0%")&amp;". Complete Section 5 (Re-allocation) to bring portfolio within mandate before submitting."))</x:f>
      </x:c>
      <x:c r="H34" s="47"/>
      <x:c r="I34" s="47"/>
      <x:c r="J34" s="47"/>
      <x:c r="K34" s="47"/>
    </x:row>
    <x:row r="35" ht="25.5" hidden="0" customHeight="1">
      <x:c r="B35" s="12" t="s">
        <x:v>88</x:v>
      </x:c>
      <x:c r="C35" s="21"/>
      <x:c r="D35" s="32" t="str">
        <x:f aca="0">IF(C27&lt;&gt;"",C27,"")</x:f>
      </x:c>
      <x:c r="E35" s="32" t="n">
        <x:f aca="0">IFERROR(D35-C35,"")</x:f>
        <x:v>0</x:v>
      </x:c>
      <x:c r="F35" s="46" t="str">
        <x:f aca="0">IF(D35="","",IF(D35&lt;=C35,"✓ PASS","✗ EXCEED"))</x:f>
      </x:c>
      <x:c r="G35" s="48" t="s">
        <x:v>89</x:v>
      </x:c>
      <x:c r="H35" s="48"/>
      <x:c r="I35" s="48"/>
      <x:c r="J35" s="48"/>
      <x:c r="K35" s="48"/>
    </x:row>
    <x:row r="36" ht="7.5" hidden="0" customHeight="1"/>
    <x:row r="37" ht="19.5" hidden="0" customHeight="1">
      <x:c r="A37" s="49" t="s">
        <x:v>90</x:v>
      </x:c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</x:row>
    <x:row r="38" ht="31.5" hidden="0" customHeight="1">
      <x:c r="A38" s="50" t="s">
        <x:v>91</x:v>
      </x:c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</x:row>
    <x:row r="39" ht="18" hidden="0" customHeight="1">
      <x:c r="A39" s="51" t="s">
        <x:v>92</x:v>
      </x:c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</x:row>
    <x:row r="40" ht="30" hidden="0" customHeight="1">
      <x:c r="B40" s="25" t="s">
        <x:v>93</x:v>
      </x:c>
      <x:c r="C40" s="25" t="s">
        <x:v>94</x:v>
      </x:c>
      <x:c r="D40" s="25" t="s">
        <x:v>95</x:v>
      </x:c>
      <x:c r="E40" s="25" t="s">
        <x:v>96</x:v>
      </x:c>
      <x:c r="F40" s="25" t="s">
        <x:v>97</x:v>
      </x:c>
      <x:c r="G40" s="26" t="s">
        <x:v>98</x:v>
      </x:c>
      <x:c r="H40" s="26"/>
      <x:c r="I40" s="26"/>
      <x:c r="J40" s="26"/>
      <x:c r="K40" s="26"/>
    </x:row>
    <x:row r="41" ht="21.75" hidden="0" customHeight="1">
      <x:c r="B41" s="18"/>
      <x:c r="C41" s="18"/>
      <x:c r="D41" s="21"/>
      <x:c r="E41" s="21"/>
      <x:c r="F41" s="33" t="str">
        <x:f aca="0">IF(AND(D41&lt;&gt;"",E41&lt;&gt;""),(E41-D41)*500000,"")</x:f>
      </x:c>
      <x:c r="G41" s="28"/>
      <x:c r="H41" s="28"/>
      <x:c r="I41" s="28"/>
      <x:c r="J41" s="28"/>
      <x:c r="K41" s="28"/>
    </x:row>
    <x:row r="42" ht="21.75" hidden="0" customHeight="1">
      <x:c r="B42" s="18"/>
      <x:c r="C42" s="18"/>
      <x:c r="D42" s="21"/>
      <x:c r="E42" s="21"/>
      <x:c r="F42" s="33" t="str">
        <x:f aca="0">IF(AND(D42&lt;&gt;"",E42&lt;&gt;""),(E42-D42)*500000,"")</x:f>
      </x:c>
      <x:c r="G42" s="28"/>
      <x:c r="H42" s="28"/>
      <x:c r="I42" s="28"/>
      <x:c r="J42" s="28"/>
      <x:c r="K42" s="28"/>
    </x:row>
    <x:row r="43" ht="21.75" hidden="0" customHeight="1">
      <x:c r="B43" s="18"/>
      <x:c r="C43" s="18"/>
      <x:c r="D43" s="21"/>
      <x:c r="E43" s="21"/>
      <x:c r="F43" s="33" t="str">
        <x:f aca="0">IF(AND(D43&lt;&gt;"",E43&lt;&gt;""),(E43-D43)*500000,"")</x:f>
      </x:c>
      <x:c r="G43" s="28"/>
      <x:c r="H43" s="28"/>
      <x:c r="I43" s="28"/>
      <x:c r="J43" s="28"/>
      <x:c r="K43" s="28"/>
    </x:row>
    <x:row r="44" ht="21.75" hidden="0" customHeight="1">
      <x:c r="B44" s="18"/>
      <x:c r="C44" s="18"/>
      <x:c r="D44" s="21"/>
      <x:c r="E44" s="21"/>
      <x:c r="F44" s="33" t="str">
        <x:f aca="0">IF(AND(D44&lt;&gt;"",E44&lt;&gt;""),(E44-D44)*500000,"")</x:f>
      </x:c>
      <x:c r="G44" s="28"/>
      <x:c r="H44" s="28"/>
      <x:c r="I44" s="28"/>
      <x:c r="J44" s="28"/>
      <x:c r="K44" s="28"/>
    </x:row>
    <x:row r="45" ht="21.75" hidden="0" customHeight="1">
      <x:c r="B45" s="18"/>
      <x:c r="C45" s="18"/>
      <x:c r="D45" s="21"/>
      <x:c r="E45" s="21"/>
      <x:c r="F45" s="33" t="str">
        <x:f aca="0">IF(AND(D45&lt;&gt;"",E45&lt;&gt;""),(E45-D45)*500000,"")</x:f>
      </x:c>
      <x:c r="G45" s="28"/>
      <x:c r="H45" s="28"/>
      <x:c r="I45" s="28"/>
      <x:c r="J45" s="28"/>
      <x:c r="K45" s="28"/>
    </x:row>
    <x:row r="46" ht="21.75" hidden="0" customHeight="1">
      <x:c r="B46" s="18"/>
      <x:c r="C46" s="18"/>
      <x:c r="D46" s="21"/>
      <x:c r="E46" s="21"/>
      <x:c r="F46" s="33" t="str">
        <x:f aca="0">IF(AND(D46&lt;&gt;"",E46&lt;&gt;""),(E46-D46)*500000,"")</x:f>
      </x:c>
      <x:c r="G46" s="28"/>
      <x:c r="H46" s="28"/>
      <x:c r="I46" s="28"/>
      <x:c r="J46" s="28"/>
      <x:c r="K46" s="28"/>
    </x:row>
    <x:row r="47" ht="21.75" hidden="0" customHeight="1">
      <x:c r="A47" s="52" t="s">
        <x:v>99</x:v>
      </x:c>
      <x:c r="B47" s="52"/>
      <x:c r="C47" s="52"/>
      <x:c r="D47" s="32" t="n">
        <x:f aca="0">IFERROR(SUM(E41:E46),0)</x:f>
        <x:v>0</x:v>
      </x:c>
      <x:c r="E47" s="40" t="s">
        <x:v>100</x:v>
      </x:c>
      <x:c r="F47" s="40"/>
      <x:c r="G47" s="40"/>
      <x:c r="H47" s="40"/>
      <x:c r="I47" s="40"/>
      <x:c r="J47" s="40"/>
      <x:c r="K47" s="40"/>
    </x:row>
    <x:row r="48" ht="7.5" hidden="0" customHeight="1"/>
    <x:row r="49" ht="18" hidden="0" customHeight="1">
      <x:c r="A49" s="51" t="s">
        <x:v>101</x:v>
      </x:c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</x:row>
    <x:row r="50" ht="31.5" hidden="0" customHeight="1">
      <x:c r="A50" s="8" t="s">
        <x:v>102</x:v>
      </x:c>
      <x:c r="B50" s="8"/>
      <x:c r="C50" s="8"/>
      <x:c r="D50" s="8"/>
      <x:c r="E50" s="8"/>
      <x:c r="F50" s="8"/>
      <x:c r="G50" s="8"/>
      <x:c r="H50" s="8"/>
      <x:c r="I50" s="8"/>
      <x:c r="J50" s="8"/>
      <x:c r="K50" s="8"/>
    </x:row>
    <x:row r="51" ht="30" hidden="0" customHeight="1">
      <x:c r="B51" s="25" t="s">
        <x:v>47</x:v>
      </x:c>
      <x:c r="C51" s="25" t="s">
        <x:v>103</x:v>
      </x:c>
      <x:c r="D51" s="25" t="s">
        <x:v>104</x:v>
      </x:c>
      <x:c r="E51" s="25" t="s">
        <x:v>105</x:v>
      </x:c>
      <x:c r="F51" s="25" t="s">
        <x:v>106</x:v>
      </x:c>
      <x:c r="G51" s="26" t="s">
        <x:v>107</x:v>
      </x:c>
      <x:c r="H51" s="26"/>
      <x:c r="I51" s="26"/>
      <x:c r="J51" s="26"/>
      <x:c r="K51" s="26"/>
    </x:row>
    <x:row r="52" ht="21.75" hidden="0" customHeight="1">
      <x:c r="B52" s="27" t="s">
        <x:v>51</x:v>
      </x:c>
      <x:c r="C52" s="21"/>
      <x:c r="D52" s="31" t="str">
        <x:f aca="0">IF(C52&lt;&gt;"",C52*$E$5,"")</x:f>
      </x:c>
      <x:c r="E52" s="32" t="n">
        <x:f aca="0">C10</x:f>
        <x:v>0</x:v>
      </x:c>
      <x:c r="F52" s="32" t="str">
        <x:f aca="0">IF(C52&lt;&gt;"",C52*C10,"")</x:f>
      </x:c>
      <x:c r="G52" s="33" t="str">
        <x:f aca="0">IF(D52&lt;&gt;"",D52*C10,"")</x:f>
      </x:c>
      <x:c r="H52" s="53"/>
      <x:c r="I52" s="53"/>
      <x:c r="J52" s="53"/>
      <x:c r="K52" s="53"/>
    </x:row>
    <x:row r="53" ht="21.75" hidden="0" customHeight="1">
      <x:c r="B53" s="29" t="s">
        <x:v>52</x:v>
      </x:c>
      <x:c r="C53" s="21"/>
      <x:c r="D53" s="31" t="str">
        <x:f aca="0">IF(C53&lt;&gt;"",C53*$E$5,"")</x:f>
      </x:c>
      <x:c r="E53" s="32" t="n">
        <x:f aca="0">C11</x:f>
        <x:v>0</x:v>
      </x:c>
      <x:c r="F53" s="32" t="str">
        <x:f aca="0">IF(C53&lt;&gt;"",C53*C11,"")</x:f>
      </x:c>
      <x:c r="G53" s="33" t="str">
        <x:f aca="0">IF(D53&lt;&gt;"",D53*C11,"")</x:f>
      </x:c>
      <x:c r="H53" s="54"/>
      <x:c r="I53" s="54"/>
      <x:c r="J53" s="54"/>
      <x:c r="K53" s="54"/>
    </x:row>
    <x:row r="54" ht="21.75" hidden="0" customHeight="1">
      <x:c r="B54" s="27" t="s">
        <x:v>53</x:v>
      </x:c>
      <x:c r="C54" s="21"/>
      <x:c r="D54" s="31" t="str">
        <x:f aca="0">IF(C54&lt;&gt;"",C54*$E$5,"")</x:f>
      </x:c>
      <x:c r="E54" s="32" t="n">
        <x:f aca="0">C12</x:f>
        <x:v>0</x:v>
      </x:c>
      <x:c r="F54" s="32" t="str">
        <x:f aca="0">IF(C54&lt;&gt;"",C54*C12,"")</x:f>
      </x:c>
      <x:c r="G54" s="33" t="str">
        <x:f aca="0">IF(D54&lt;&gt;"",D54*C12,"")</x:f>
      </x:c>
      <x:c r="H54" s="53"/>
      <x:c r="I54" s="53"/>
      <x:c r="J54" s="53"/>
      <x:c r="K54" s="53"/>
    </x:row>
    <x:row r="55" ht="24" hidden="0" customHeight="1">
      <x:c r="A55" s="38" t="s">
        <x:v>108</x:v>
      </x:c>
      <x:c r="B55" s="38"/>
      <x:c r="C55" s="32" t="n">
        <x:f aca="0">IFERROR(SUM(C52:C54),0)</x:f>
        <x:v>0</x:v>
      </x:c>
      <x:c r="D55" s="31" t="n">
        <x:f aca="0">IFERROR(SUM(D52:D54),0)</x:f>
        <x:v>0</x:v>
      </x:c>
      <x:c r="E55" s="32"/>
      <x:c r="F55" s="32" t="n">
        <x:f aca="0">IFERROR(SUMPRODUCT(C52:C54,C10:C12),"")</x:f>
        <x:v>0</x:v>
      </x:c>
      <x:c r="G55" s="33" t="n">
        <x:f aca="0">IFERROR(SUM(G52:G54),"")</x:f>
        <x:v>0</x:v>
      </x:c>
    </x:row>
    <x:row r="56" ht="25.5" hidden="0" customHeight="1">
      <x:c r="B56" s="10" t="s">
        <x:v>109</x:v>
      </x:c>
      <x:c r="C56" s="32" t="n">
        <x:f aca="0">$G$5</x:f>
        <x:v>0</x:v>
      </x:c>
      <x:c r="D56" s="32" t="n">
        <x:f aca="0">IFERROR(F55,"")</x:f>
        <x:v>0</x:v>
      </x:c>
      <x:c r="E56" s="32" t="n">
        <x:f aca="0">IFERROR(D56-C56,"")</x:f>
        <x:v>0</x:v>
      </x:c>
      <x:c r="F56" s="46" t="str">
        <x:f aca="0">IF(D56="","",IF(D56&gt;=$G$5,"✓ REVISED PASS","✗ STILL FAILING — ADJUST FURTHER"))</x:f>
      </x:c>
      <x:c r="G56" s="48" t="s">
        <x:v>110</x:v>
      </x:c>
      <x:c r="H56" s="48"/>
      <x:c r="I56" s="48"/>
      <x:c r="J56" s="48"/>
      <x:c r="K56" s="48"/>
    </x:row>
    <x:row r="57" ht="7.5" hidden="0" customHeight="1"/>
    <x:row r="58" ht="19.5" hidden="0" customHeight="1">
      <x:c r="A58" s="4" t="s">
        <x:v>111</x:v>
      </x:c>
      <x:c r="B58" s="4"/>
      <x:c r="C58" s="4"/>
      <x:c r="D58" s="4"/>
      <x:c r="E58" s="4"/>
      <x:c r="F58" s="4"/>
      <x:c r="G58" s="4"/>
      <x:c r="H58" s="4"/>
      <x:c r="I58" s="4"/>
      <x:c r="J58" s="4"/>
      <x:c r="K58" s="4"/>
    </x:row>
    <x:row r="59" ht="31.5" hidden="0" customHeight="1">
      <x:c r="A59" s="8" t="str">
        <x:v>These are the final numbers your team submits. If you re-allocated in Section 5, use the revised portfolio metrics here. If the original portfolio passed, carry forward the verified Phase 2 metrics.</x:v>
      </x:c>
      <x:c r="B59" s="8"/>
      <x:c r="C59" s="8"/>
      <x:c r="D59" s="8"/>
      <x:c r="E59" s="8"/>
      <x:c r="F59" s="8"/>
      <x:c r="G59" s="8"/>
      <x:c r="H59" s="8"/>
      <x:c r="I59" s="8"/>
      <x:c r="J59" s="8"/>
      <x:c r="K59" s="8"/>
    </x:row>
    <x:row r="60" ht="30" hidden="0" customHeight="1">
      <x:c r="B60" s="25" t="s">
        <x:v>28</x:v>
      </x:c>
      <x:c r="C60" s="25" t="s">
        <x:v>112</x:v>
      </x:c>
      <x:c r="D60" s="25" t="s">
        <x:v>113</x:v>
      </x:c>
      <x:c r="E60" s="26" t="s">
        <x:v>114</x:v>
      </x:c>
      <x:c r="F60" s="26"/>
      <x:c r="G60" s="26"/>
      <x:c r="H60" s="26"/>
      <x:c r="I60" s="26"/>
      <x:c r="J60" s="26"/>
      <x:c r="K60" s="26"/>
    </x:row>
    <x:row r="61" ht="24" hidden="0" customHeight="1">
      <x:c r="B61" s="10" t="s">
        <x:v>36</x:v>
      </x:c>
      <x:c r="C61" s="42"/>
      <x:c r="D61" s="55" t="s">
        <x:v>115</x:v>
      </x:c>
      <x:c r="E61" s="44" t="str">
        <x:v>Weighted average β from the Phase 2 security-selection record</x:v>
      </x:c>
      <x:c r="F61" s="44"/>
      <x:c r="G61" s="44"/>
      <x:c r="H61" s="44"/>
      <x:c r="I61" s="44"/>
      <x:c r="J61" s="44"/>
      <x:c r="K61" s="44"/>
    </x:row>
    <x:row r="62" ht="24" hidden="0" customHeight="1">
      <x:c r="B62" s="12" t="s">
        <x:v>69</x:v>
      </x:c>
      <x:c r="C62" s="21"/>
      <x:c r="D62" s="55" t="str">
        <x:v>Must be ≤ IPS Max σ from Phase 1</x:v>
      </x:c>
      <x:c r="E62" s="44" t="str">
        <x:v>From the Phase 2 CME Matrix (Solver output)</x:v>
      </x:c>
      <x:c r="F62" s="44"/>
      <x:c r="G62" s="44"/>
      <x:c r="H62" s="44"/>
      <x:c r="I62" s="44"/>
      <x:c r="J62" s="44"/>
      <x:c r="K62" s="44"/>
    </x:row>
    <x:row r="63" ht="24" hidden="0" customHeight="1">
      <x:c r="B63" s="10" t="s">
        <x:v>116</x:v>
      </x:c>
      <x:c r="C63" s="42"/>
      <x:c r="D63" s="55" t="s">
        <x:v>117</x:v>
      </x:c>
      <x:c r="E63" s="44" t="s">
        <x:v>118</x:v>
      </x:c>
      <x:c r="F63" s="44"/>
      <x:c r="G63" s="44"/>
      <x:c r="H63" s="44"/>
      <x:c r="I63" s="44"/>
      <x:c r="J63" s="44"/>
      <x:c r="K63" s="44"/>
    </x:row>
    <x:row r="64" ht="24" hidden="0" customHeight="1">
      <x:c r="B64" s="12" t="s">
        <x:v>33</x:v>
      </x:c>
      <x:c r="C64" s="21"/>
      <x:c r="D64" s="55" t="s">
        <x:v>119</x:v>
      </x:c>
      <x:c r="E64" s="44" t="s">
        <x:v>120</x:v>
      </x:c>
      <x:c r="F64" s="44"/>
      <x:c r="G64" s="44"/>
      <x:c r="H64" s="44"/>
      <x:c r="I64" s="44"/>
      <x:c r="J64" s="44"/>
      <x:c r="K64" s="44"/>
    </x:row>
    <x:row r="65" ht="24" hidden="0" customHeight="1">
      <x:c r="B65" s="10" t="s">
        <x:v>121</x:v>
      </x:c>
      <x:c r="C65" s="56"/>
      <x:c r="D65" s="55" t="s">
        <x:v>122</x:v>
      </x:c>
      <x:c r="E65" s="44" t="s">
        <x:v>120</x:v>
      </x:c>
      <x:c r="F65" s="44"/>
      <x:c r="G65" s="44"/>
      <x:c r="H65" s="44"/>
      <x:c r="I65" s="44"/>
      <x:c r="J65" s="44"/>
      <x:c r="K65" s="44"/>
    </x:row>
    <x:row r="66" ht="24" hidden="0" customHeight="1">
      <x:c r="B66" s="12" t="s">
        <x:v>123</x:v>
      </x:c>
      <x:c r="C66" s="57"/>
      <x:c r="D66" s="55" t="s">
        <x:v>124</x:v>
      </x:c>
      <x:c r="E66" s="44" t="s">
        <x:v>125</x:v>
      </x:c>
      <x:c r="F66" s="44"/>
      <x:c r="G66" s="44"/>
      <x:c r="H66" s="44"/>
      <x:c r="I66" s="44"/>
      <x:c r="J66" s="44"/>
      <x:c r="K66" s="44"/>
    </x:row>
    <x:row r="68" ht="7.5" hidden="0" customHeight="1"/>
    <x:row r="69" ht="19.5" hidden="0" customHeight="1">
      <x:c r="A69" s="4" t="s">
        <x:v>126</x:v>
      </x:c>
      <x:c r="B69" s="4"/>
      <x:c r="C69" s="4"/>
      <x:c r="D69" s="4"/>
      <x:c r="E69" s="4"/>
      <x:c r="F69" s="4"/>
      <x:c r="G69" s="4"/>
      <x:c r="H69" s="4"/>
      <x:c r="I69" s="4"/>
      <x:c r="J69" s="4"/>
      <x:c r="K69" s="4"/>
    </x:row>
    <x:row r="70" ht="18" hidden="0" customHeight="1">
      <x:c r="B70" s="58" t="s">
        <x:v>127</x:v>
      </x:c>
      <x:c r="C70" s="7" t="s">
        <x:v>128</x:v>
      </x:c>
      <x:c r="D70" s="7"/>
      <x:c r="E70" s="7"/>
      <x:c r="F70" s="7"/>
      <x:c r="G70" s="7"/>
      <x:c r="H70" s="7"/>
      <x:c r="I70" s="7"/>
      <x:c r="J70" s="7"/>
      <x:c r="K70" s="7"/>
    </x:row>
    <x:row r="71" ht="18" hidden="0" customHeight="1">
      <x:c r="B71" s="59" t="s">
        <x:v>127</x:v>
      </x:c>
      <x:c r="C71" s="7" t="s">
        <x:v>129</x:v>
      </x:c>
      <x:c r="D71" s="7"/>
      <x:c r="E71" s="7"/>
      <x:c r="F71" s="7"/>
      <x:c r="G71" s="7"/>
      <x:c r="H71" s="7"/>
      <x:c r="I71" s="7"/>
      <x:c r="J71" s="7"/>
      <x:c r="K71" s="7"/>
    </x:row>
    <x:row r="72" ht="18" hidden="0" customHeight="1">
      <x:c r="B72" s="60" t="s">
        <x:v>127</x:v>
      </x:c>
      <x:c r="C72" s="7" t="s">
        <x:v>130</x:v>
      </x:c>
      <x:c r="D72" s="7"/>
      <x:c r="E72" s="7"/>
      <x:c r="F72" s="7"/>
      <x:c r="G72" s="7"/>
      <x:c r="H72" s="7"/>
      <x:c r="I72" s="7"/>
      <x:c r="J72" s="7"/>
      <x:c r="K72" s="7"/>
    </x:row>
    <x:row r="73" ht="18" hidden="0" customHeight="1">
      <x:c r="B73" s="61" t="s">
        <x:v>127</x:v>
      </x:c>
      <x:c r="C73" s="7" t="s">
        <x:v>131</x:v>
      </x:c>
      <x:c r="D73" s="7"/>
      <x:c r="E73" s="7"/>
      <x:c r="F73" s="7"/>
      <x:c r="G73" s="7"/>
      <x:c r="H73" s="7"/>
      <x:c r="I73" s="7"/>
      <x:c r="J73" s="7"/>
      <x:c r="K73" s="7"/>
    </x:row>
    <x:row r="74" ht="18" hidden="0" customHeight="1">
      <x:c r="B74" s="62" t="s">
        <x:v>127</x:v>
      </x:c>
      <x:c r="C74" s="7" t="s">
        <x:v>132</x:v>
      </x:c>
      <x:c r="D74" s="7"/>
      <x:c r="E74" s="7"/>
      <x:c r="F74" s="7"/>
      <x:c r="G74" s="7"/>
      <x:c r="H74" s="7"/>
      <x:c r="I74" s="7"/>
      <x:c r="J74" s="7"/>
      <x:c r="K74" s="7"/>
    </x:row>
    <x:row r="75" ht="18" hidden="0" customHeight="1">
      <x:c r="B75" s="63" t="s">
        <x:v>127</x:v>
      </x:c>
      <x:c r="C75" s="7" t="s">
        <x:v>133</x:v>
      </x:c>
      <x:c r="D75" s="7"/>
      <x:c r="E75" s="7"/>
      <x:c r="F75" s="7"/>
      <x:c r="G75" s="7"/>
      <x:c r="H75" s="7"/>
      <x:c r="I75" s="7"/>
      <x:c r="J75" s="7"/>
      <x:c r="K75" s="7"/>
    </x:row>
  </x:sheetData>
  <x:mergeCells>
    <x:mergeCell ref="A2:K2"/>
    <x:mergeCell ref="A3:K3"/>
    <x:mergeCell ref="A7:K7"/>
    <x:mergeCell ref="A8:K8"/>
    <x:mergeCell ref="E9:K9"/>
    <x:mergeCell ref="E10:K10"/>
    <x:mergeCell ref="E11:K11"/>
    <x:mergeCell ref="E12:K12"/>
    <x:mergeCell ref="A14:K14"/>
    <x:mergeCell ref="A15:K15"/>
    <x:mergeCell ref="I16:K16"/>
    <x:mergeCell ref="I17:K17"/>
    <x:mergeCell ref="I18:K18"/>
    <x:mergeCell ref="I19:K19"/>
    <x:mergeCell ref="A20:B20"/>
    <x:mergeCell ref="H20:K20"/>
    <x:mergeCell ref="A22:K22"/>
    <x:mergeCell ref="A23:K23"/>
    <x:mergeCell ref="F24:K24"/>
    <x:mergeCell ref="D25:K25"/>
    <x:mergeCell ref="F26:K26"/>
    <x:mergeCell ref="F27:K27"/>
    <x:mergeCell ref="F28:K28"/>
    <x:mergeCell ref="F29:K29"/>
    <x:mergeCell ref="F30:K30"/>
    <x:mergeCell ref="A32:K32"/>
    <x:mergeCell ref="F33:K33"/>
    <x:mergeCell ref="G34:K34"/>
    <x:mergeCell ref="G35:K35"/>
    <x:mergeCell ref="A37:K37"/>
    <x:mergeCell ref="A38:K38"/>
    <x:mergeCell ref="A39:K39"/>
    <x:mergeCell ref="G40:K40"/>
    <x:mergeCell ref="G41:K41"/>
    <x:mergeCell ref="G42:K42"/>
    <x:mergeCell ref="G43:K43"/>
    <x:mergeCell ref="G44:K44"/>
    <x:mergeCell ref="G45:K45"/>
    <x:mergeCell ref="G46:K46"/>
    <x:mergeCell ref="A47:C47"/>
    <x:mergeCell ref="E47:K47"/>
    <x:mergeCell ref="A49:K49"/>
    <x:mergeCell ref="A50:K50"/>
    <x:mergeCell ref="G51:K51"/>
    <x:mergeCell ref="H52:K52"/>
    <x:mergeCell ref="H53:K53"/>
    <x:mergeCell ref="H54:K54"/>
    <x:mergeCell ref="A55:B55"/>
    <x:mergeCell ref="G56:K56"/>
    <x:mergeCell ref="A58:K58"/>
    <x:mergeCell ref="A59:K59"/>
    <x:mergeCell ref="E60:K60"/>
    <x:mergeCell ref="E61:K61"/>
    <x:mergeCell ref="E62:K62"/>
    <x:mergeCell ref="E63:K63"/>
    <x:mergeCell ref="E64:K64"/>
    <x:mergeCell ref="E65:K65"/>
    <x:mergeCell ref="E66:K66"/>
    <x:mergeCell ref="A69:K69"/>
    <x:mergeCell ref="C70:K70"/>
    <x:mergeCell ref="C71:K71"/>
    <x:mergeCell ref="C72:K72"/>
    <x:mergeCell ref="C73:K73"/>
    <x:mergeCell ref="C74:K74"/>
    <x:mergeCell ref="C75:K75"/>
  </x:mergeCells>
  <x:conditionalFormatting sqref="C20:C20">
    <x:cfRule type="cellIs" dxfId="0" priority="2" aboveAverage="0" percent="0" bottom="0" operator="equal" rank="0" equalAverage="0">
      <x:formula>1</x:formula>
    </x:cfRule>
    <x:cfRule type="cellIs" dxfId="1" priority="3" aboveAverage="0" percent="0" bottom="0" operator="notEqual" rank="0" equalAverage="0">
      <x:formula>1</x:formula>
    </x:cfRule>
  </x:conditionalFormatting>
  <x:conditionalFormatting sqref="F34:F34">
    <x:cfRule type="expression" dxfId="4" priority="4" aboveAverage="0" percent="0" bottom="0" rank="0" equalAverage="0">
      <x:formula>D34&gt;=C34</x:formula>
    </x:cfRule>
    <x:cfRule type="expression" dxfId="5" priority="5" aboveAverage="0" percent="0" bottom="0" rank="0" equalAverage="0">
      <x:formula>AND(D34&lt;&gt;"",D34&lt;C34)</x:formula>
    </x:cfRule>
  </x:conditionalFormatting>
  <x:conditionalFormatting sqref="F35:F35">
    <x:cfRule type="expression" dxfId="4" priority="6" aboveAverage="0" percent="0" bottom="0" rank="0" equalAverage="0">
      <x:formula>AND(D35&lt;&gt;"",D35&lt;=C35)</x:formula>
    </x:cfRule>
    <x:cfRule type="expression" dxfId="6" priority="7" aboveAverage="0" percent="0" bottom="0" rank="0" equalAverage="0">
      <x:formula>AND(D35&lt;&gt;"",D35&gt;C35)</x:formula>
    </x:cfRule>
  </x:conditionalFormatting>
  <x:conditionalFormatting sqref="D47:D47">
    <x:cfRule type="cellIs" dxfId="0" priority="8" aboveAverage="0" percent="0" bottom="0" operator="equal" rank="0" equalAverage="0">
      <x:formula>1</x:formula>
    </x:cfRule>
    <x:cfRule type="cellIs" dxfId="1" priority="9" aboveAverage="0" percent="0" bottom="0" operator="notEqual" rank="0" equalAverage="0">
      <x:formula>1</x:formula>
    </x:cfRule>
  </x:conditionalFormatting>
  <x:conditionalFormatting sqref="F56:F56">
    <x:cfRule type="expression" dxfId="4" priority="10" aboveAverage="0" percent="0" bottom="0" rank="0" equalAverage="0">
      <x:formula>D56&gt;=$G$5</x:formula>
    </x:cfRule>
    <x:cfRule type="expression" dxfId="5" priority="11" aboveAverage="0" percent="0" bottom="0" rank="0" equalAverage="0">
      <x:formula>AND(D56&lt;&gt;"",D56&lt;$G$5)</x:formula>
    </x:cfRule>
  </x:conditionalFormatting>
  <x:dataValidations count="1">
    <x:dataValidation type="list" errorStyle="stop" operator="between" allowBlank="1" showDropDown="0" showInputMessage="0" showErrorMessage="0" sqref="B41:B46">
      <x:formula1>"BUY,SELL,HOLD"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0e5bfc99836542cb"/>
</x:worksheet>
</file>

<file path=xl/worksheets/sheet4.xml><?xml version="1.0" encoding="utf-8"?>
<x:worksheet xmlns:x="http://schemas.openxmlformats.org/spreadsheetml/2006/main">
  <x:sheetPr>
    <x:tabColor rgb="FF8B1A1A"/>
  </x:sheetPr>
  <x:sheetViews>
    <x:sheetView showGridLines="0" workbookViewId="0"/>
  </x:sheetViews>
  <x:sheetFormatPr defaultColWidth="8.6796875" defaultRowHeight="15"/>
  <x:cols>
    <x:col min="1" max="1" width="2" style="1" hidden="0" customWidth="1"/>
    <x:col min="2" max="2" width="30" style="1" hidden="0" customWidth="1"/>
    <x:col min="3" max="3" width="13" style="1" hidden="0" customWidth="1"/>
    <x:col min="4" max="7" width="16" style="1" hidden="0" customWidth="1"/>
    <x:col min="8" max="8" width="28" style="1" hidden="0" customWidth="1"/>
    <x:col min="9" max="10" width="14" style="1" hidden="0" customWidth="1"/>
    <x:col min="11" max="11" width="2" style="1" hidden="0" customWidth="1"/>
  </x:cols>
  <x:sheetData>
    <x:row r="1" ht="6" hidden="0" customHeight="1"/>
    <x:row r="2" ht="37.5" hidden="0" customHeight="1">
      <x:c r="A2" s="2" t="str">
        <x:v>Phase 2 Workstream C — Portfolio Stress Test &amp; Quantitative Audit  |  Client 2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18" hidden="0" customHeight="1">
      <x:c r="A3" s="3" t="str">
        <x:v>BUS 331 Investments  |  Endicott College  |  Apply the approved Phase 1 Bear Case to the Phase 2 Portfolio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6" hidden="0" customHeight="1"/>
    <x:row r="5" ht="21.75" hidden="0" customHeight="1">
      <x:c r="B5" s="17" t="s">
        <x:v>40</x:v>
      </x:c>
      <x:c r="C5" s="18"/>
      <x:c r="D5" s="17" t="s">
        <x:v>41</x:v>
      </x:c>
      <x:c r="E5" s="19" t="n">
        <x:v>500000</x:v>
      </x:c>
      <x:c r="F5" s="20" t="s">
        <x:v>42</x:v>
      </x:c>
      <x:c r="G5" s="21"/>
      <x:c r="H5" s="17" t="s">
        <x:v>43</x:v>
      </x:c>
      <x:c r="I5" s="22" t="str">
        <x:v>(from Phase 1)</x:v>
      </x:c>
      <x:c r="J5" s="23" t="s">
        <x:v>44</x:v>
      </x:c>
    </x:row>
    <x:row r="6" ht="6" hidden="0" customHeight="1"/>
    <x:row r="7" ht="19.5" hidden="0" customHeight="1">
      <x:c r="A7" s="4" t="s">
        <x:v>45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1.5" hidden="0" customHeight="1">
      <x:c r="A8" s="24" t="s">
        <x:v>46</x:v>
      </x:c>
      <x:c r="B8" s="24"/>
      <x:c r="C8" s="24"/>
      <x:c r="D8" s="24"/>
      <x:c r="E8" s="24"/>
      <x:c r="F8" s="24"/>
      <x:c r="G8" s="24"/>
      <x:c r="H8" s="24"/>
      <x:c r="I8" s="24"/>
      <x:c r="J8" s="24"/>
      <x:c r="K8" s="24"/>
    </x:row>
    <x:row r="9" ht="30" hidden="0" customHeight="1">
      <x:c r="B9" s="25" t="s">
        <x:v>47</x:v>
      </x:c>
      <x:c r="C9" s="25" t="s">
        <x:v>48</x:v>
      </x:c>
      <x:c r="D9" s="25" t="s">
        <x:v>49</x:v>
      </x:c>
      <x:c r="E9" s="26" t="s">
        <x:v>50</x:v>
      </x:c>
      <x:c r="F9" s="26"/>
      <x:c r="G9" s="26"/>
      <x:c r="H9" s="26"/>
      <x:c r="I9" s="26"/>
      <x:c r="J9" s="26"/>
      <x:c r="K9" s="26"/>
    </x:row>
    <x:row r="10" ht="21.75" hidden="0" customHeight="1">
      <x:c r="B10" s="27" t="s">
        <x:v>51</x:v>
      </x:c>
      <x:c r="C10" s="21"/>
      <x:c r="D10" s="21"/>
      <x:c r="E10" s="28"/>
      <x:c r="F10" s="28"/>
      <x:c r="G10" s="28"/>
      <x:c r="H10" s="28"/>
      <x:c r="I10" s="28"/>
      <x:c r="J10" s="28"/>
      <x:c r="K10" s="28"/>
    </x:row>
    <x:row r="11" ht="21.75" hidden="0" customHeight="1">
      <x:c r="B11" s="29" t="s">
        <x:v>52</x:v>
      </x:c>
      <x:c r="C11" s="21"/>
      <x:c r="D11" s="21"/>
      <x:c r="E11" s="28"/>
      <x:c r="F11" s="28"/>
      <x:c r="G11" s="28"/>
      <x:c r="H11" s="28"/>
      <x:c r="I11" s="28"/>
      <x:c r="J11" s="28"/>
      <x:c r="K11" s="28"/>
    </x:row>
    <x:row r="12" ht="21.75" hidden="0" customHeight="1">
      <x:c r="B12" s="27" t="s">
        <x:v>53</x:v>
      </x:c>
      <x:c r="C12" s="21"/>
      <x:c r="D12" s="21"/>
      <x:c r="E12" s="28"/>
      <x:c r="F12" s="28"/>
      <x:c r="G12" s="28"/>
      <x:c r="H12" s="28"/>
      <x:c r="I12" s="28"/>
      <x:c r="J12" s="28"/>
      <x:c r="K12" s="28"/>
    </x:row>
    <x:row r="13" ht="7.5" hidden="0" customHeight="1"/>
    <x:row r="14" ht="19.5" hidden="0" customHeight="1">
      <x:c r="A14" s="4" t="str">
        <x:v>  SECTION 2 — BASE CASE PORTFOLIO  (enter Phase 2 Workstream A weights)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 ht="31.5" hidden="0" customHeight="1">
      <x:c r="A15" s="8" t="str">
        <x:v>Enter the Solver-supported weights from Phase 2 Workstream A for this client. Weights must sum to 100%. The Base Case return and risk metrics auto-calculate.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 ht="33.75" hidden="0" customHeight="1">
      <x:c r="B16" s="25" t="s">
        <x:v>47</x:v>
      </x:c>
      <x:c r="C16" s="25" t="str">
        <x:v>Weight
(Workstream A)</x:v>
      </x:c>
      <x:c r="D16" s="25" t="s">
        <x:v>54</x:v>
      </x:c>
      <x:c r="E16" s="25" t="s">
        <x:v>55</x:v>
      </x:c>
      <x:c r="F16" s="25" t="s">
        <x:v>56</x:v>
      </x:c>
      <x:c r="G16" s="25" t="s">
        <x:v>57</x:v>
      </x:c>
      <x:c r="H16" s="25" t="s">
        <x:v>58</x:v>
      </x:c>
      <x:c r="I16" s="30" t="s">
        <x:v>59</x:v>
      </x:c>
      <x:c r="J16" s="30"/>
      <x:c r="K16" s="30"/>
    </x:row>
    <x:row r="17" ht="21.75" hidden="0" customHeight="1">
      <x:c r="B17" s="27" t="s">
        <x:v>51</x:v>
      </x:c>
      <x:c r="C17" s="21"/>
      <x:c r="D17" s="31" t="str">
        <x:f aca="0">IF(C17&lt;&gt;"",C17*$E$5,"")</x:f>
      </x:c>
      <x:c r="E17" s="21"/>
      <x:c r="F17" s="32" t="str">
        <x:f aca="0">IF(C17&lt;&gt;"",C17*C10,"")</x:f>
      </x:c>
      <x:c r="G17" s="33" t="str">
        <x:f aca="0">IF(D17&lt;&gt;"",D17*C10,"")</x:f>
      </x:c>
      <x:c r="H17" s="34"/>
      <x:c r="I17" s="35"/>
      <x:c r="J17" s="35"/>
      <x:c r="K17" s="35"/>
    </x:row>
    <x:row r="18" ht="21.75" hidden="0" customHeight="1">
      <x:c r="B18" s="29" t="s">
        <x:v>52</x:v>
      </x:c>
      <x:c r="C18" s="21"/>
      <x:c r="D18" s="31" t="str">
        <x:f aca="0">IF(C18&lt;&gt;"",C18*$E$5,"")</x:f>
      </x:c>
      <x:c r="E18" s="21"/>
      <x:c r="F18" s="32" t="str">
        <x:f aca="0">IF(C18&lt;&gt;"",C18*C11,"")</x:f>
      </x:c>
      <x:c r="G18" s="33" t="str">
        <x:f aca="0">IF(D18&lt;&gt;"",D18*C11,"")</x:f>
      </x:c>
      <x:c r="H18" s="36"/>
      <x:c r="I18" s="37"/>
      <x:c r="J18" s="37"/>
      <x:c r="K18" s="37"/>
    </x:row>
    <x:row r="19" ht="21.75" hidden="0" customHeight="1">
      <x:c r="B19" s="27" t="s">
        <x:v>53</x:v>
      </x:c>
      <x:c r="C19" s="21"/>
      <x:c r="D19" s="31" t="str">
        <x:f aca="0">IF(C19&lt;&gt;"",C19*$E$5,"")</x:f>
      </x:c>
      <x:c r="E19" s="21"/>
      <x:c r="F19" s="32" t="str">
        <x:f aca="0">IF(C19&lt;&gt;"",C19*C12,"")</x:f>
      </x:c>
      <x:c r="G19" s="33" t="str">
        <x:f aca="0">IF(D19&lt;&gt;"",D19*C12,"")</x:f>
      </x:c>
      <x:c r="H19" s="34"/>
      <x:c r="I19" s="35"/>
      <x:c r="J19" s="35"/>
      <x:c r="K19" s="35"/>
    </x:row>
    <x:row r="20" ht="24" hidden="0" customHeight="1">
      <x:c r="A20" s="38" t="s">
        <x:v>60</x:v>
      </x:c>
      <x:c r="B20" s="38"/>
      <x:c r="C20" s="39" t="n">
        <x:f aca="0">IFERROR(SUM(C17:C19),0)</x:f>
        <x:v>0</x:v>
      </x:c>
      <x:c r="D20" s="31" t="n">
        <x:f aca="0">IFERROR(SUM(D17:D19),0)</x:f>
        <x:v>0</x:v>
      </x:c>
      <x:c r="E20" s="32" t="n">
        <x:f aca="0">IFERROR(SUMPRODUCT(C17:C19,E17:E19),"")</x:f>
        <x:v>0</x:v>
      </x:c>
      <x:c r="F20" s="32" t="n">
        <x:f aca="0">IFERROR(SUMPRODUCT(C17:C19,C10:C12),"")</x:f>
        <x:v>0</x:v>
      </x:c>
      <x:c r="G20" s="33" t="n">
        <x:f aca="0">IFERROR(SUM(G17:G19),"")</x:f>
        <x:v>0</x:v>
      </x:c>
      <x:c r="H20" s="40" t="s">
        <x:v>61</x:v>
      </x:c>
      <x:c r="I20" s="40"/>
      <x:c r="J20" s="40"/>
      <x:c r="K20" s="40"/>
    </x:row>
    <x:row r="21" ht="7.5" hidden="0" customHeight="1"/>
    <x:row r="22" ht="19.5" hidden="0" customHeight="1">
      <x:c r="A22" s="4" t="s">
        <x:v>62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</x:row>
    <x:row r="23" ht="31.5" hidden="0" customHeight="1">
      <x:c r="A23" s="8" t="str">
        <x:v>Enter portfolio risk metrics for BOTH the Base Case and Bear Case. Beta and σ come from the Phase 2 allocation and selected holdings. Sharpe Ratio is calculated automatically using the formula below.</x:v>
      </x:c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 ht="30" hidden="0" customHeight="1">
      <x:c r="B24" s="25" t="s">
        <x:v>28</x:v>
      </x:c>
      <x:c r="C24" s="25" t="str">
        <x:v>Base Case
(Phase 2)</x:v>
      </x:c>
      <x:c r="D24" s="25" t="s">
        <x:v>63</x:v>
      </x:c>
      <x:c r="E24" s="25" t="s">
        <x:v>64</x:v>
      </x:c>
      <x:c r="F24" s="26" t="s">
        <x:v>65</x:v>
      </x:c>
      <x:c r="G24" s="26"/>
      <x:c r="H24" s="26"/>
      <x:c r="I24" s="26"/>
      <x:c r="J24" s="26"/>
      <x:c r="K24" s="26"/>
    </x:row>
    <x:row r="25" ht="21.75" hidden="0" customHeight="1">
      <x:c r="B25" s="17" t="s">
        <x:v>66</x:v>
      </x:c>
      <x:c r="C25" s="21"/>
      <x:c r="D25" s="40" t="s">
        <x:v>67</x:v>
      </x:c>
      <x:c r="E25" s="40"/>
      <x:c r="F25" s="40"/>
      <x:c r="G25" s="40"/>
      <x:c r="H25" s="40"/>
      <x:c r="I25" s="40"/>
      <x:c r="J25" s="40"/>
      <x:c r="K25" s="40"/>
    </x:row>
    <x:row r="26" ht="25.5" hidden="0" customHeight="1">
      <x:c r="B26" s="10" t="s">
        <x:v>36</x:v>
      </x:c>
      <x:c r="C26" s="41"/>
      <x:c r="D26" s="42"/>
      <x:c r="E26" s="43" t="str">
        <x:v>From Phase 2 security selection — weighted average beta of all holdings</x:v>
      </x:c>
      <x:c r="F26" s="44" t="s">
        <x:v>68</x:v>
      </x:c>
      <x:c r="G26" s="44"/>
      <x:c r="H26" s="44"/>
      <x:c r="I26" s="44"/>
      <x:c r="J26" s="44"/>
      <x:c r="K26" s="44"/>
    </x:row>
    <x:row r="27" ht="25.5" hidden="0" customHeight="1">
      <x:c r="B27" s="12" t="s">
        <x:v>69</x:v>
      </x:c>
      <x:c r="C27" s="21"/>
      <x:c r="D27" s="21"/>
      <x:c r="E27" s="43" t="str">
        <x:v>From Phase 2 CME Matrix — portfolio σ from Solver output</x:v>
      </x:c>
      <x:c r="F27" s="44" t="s">
        <x:v>70</x:v>
      </x:c>
      <x:c r="G27" s="44"/>
      <x:c r="H27" s="44"/>
      <x:c r="I27" s="44"/>
      <x:c r="J27" s="44"/>
      <x:c r="K27" s="44"/>
    </x:row>
    <x:row r="28" ht="25.5" hidden="0" customHeight="1">
      <x:c r="B28" s="10" t="s">
        <x:v>71</x:v>
      </x:c>
      <x:c r="C28" s="41" t="str">
        <x:f aca="0">IFERROR((E20-$C$25)/C27,"")</x:f>
      </x:c>
      <x:c r="D28" s="41" t="str">
        <x:f aca="0">IFERROR((F20-$C$25)/D27,"")</x:f>
      </x:c>
      <x:c r="E28" s="43" t="s">
        <x:v>72</x:v>
      </x:c>
      <x:c r="F28" s="44" t="s">
        <x:v>73</x:v>
      </x:c>
      <x:c r="G28" s="44"/>
      <x:c r="H28" s="44"/>
      <x:c r="I28" s="44"/>
      <x:c r="J28" s="44"/>
      <x:c r="K28" s="44"/>
    </x:row>
    <x:row r="29" ht="25.5" hidden="0" customHeight="1">
      <x:c r="B29" s="12" t="s">
        <x:v>74</x:v>
      </x:c>
      <x:c r="C29" s="45" t="s">
        <x:v>75</x:v>
      </x:c>
      <x:c r="D29" s="32" t="n">
        <x:f aca="0">IFERROR(F20,"")</x:f>
        <x:v>0</x:v>
      </x:c>
      <x:c r="E29" s="43" t="s">
        <x:v>76</x:v>
      </x:c>
      <x:c r="F29" s="44" t="s">
        <x:v>77</x:v>
      </x:c>
      <x:c r="G29" s="44"/>
      <x:c r="H29" s="44"/>
      <x:c r="I29" s="44"/>
      <x:c r="J29" s="44"/>
      <x:c r="K29" s="44"/>
    </x:row>
    <x:row r="30" ht="25.5" hidden="0" customHeight="1">
      <x:c r="B30" s="10" t="s">
        <x:v>78</x:v>
      </x:c>
      <x:c r="C30" s="42"/>
      <x:c r="D30" s="42"/>
      <x:c r="E30" s="43" t="s">
        <x:v>79</x:v>
      </x:c>
      <x:c r="F30" s="44" t="s">
        <x:v>80</x:v>
      </x:c>
      <x:c r="G30" s="44"/>
      <x:c r="H30" s="44"/>
      <x:c r="I30" s="44"/>
      <x:c r="J30" s="44"/>
      <x:c r="K30" s="44"/>
    </x:row>
    <x:row r="31" ht="7.5" hidden="0" customHeight="1"/>
    <x:row r="32" ht="19.5" hidden="0" customHeight="1">
      <x:c r="A32" s="4" t="s">
        <x:v>81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4"/>
    </x:row>
    <x:row r="33" ht="30" hidden="0" customHeight="1">
      <x:c r="B33" s="25" t="s">
        <x:v>82</x:v>
      </x:c>
      <x:c r="C33" s="25" t="s">
        <x:v>83</x:v>
      </x:c>
      <x:c r="D33" s="25" t="s">
        <x:v>84</x:v>
      </x:c>
      <x:c r="E33" s="25" t="s">
        <x:v>85</x:v>
      </x:c>
      <x:c r="F33" s="26" t="s">
        <x:v>86</x:v>
      </x:c>
      <x:c r="G33" s="26"/>
      <x:c r="H33" s="26"/>
      <x:c r="I33" s="26"/>
      <x:c r="J33" s="26"/>
      <x:c r="K33" s="26"/>
    </x:row>
    <x:row r="34" ht="25.5" hidden="0" customHeight="1">
      <x:c r="B34" s="10" t="s">
        <x:v>87</x:v>
      </x:c>
      <x:c r="C34" s="32" t="n">
        <x:f aca="0">$G$5</x:f>
        <x:v>0</x:v>
      </x:c>
      <x:c r="D34" s="32" t="n">
        <x:f aca="0">IFERROR(F20,"")</x:f>
        <x:v>0</x:v>
      </x:c>
      <x:c r="E34" s="32" t="n">
        <x:f aca="0">IFERROR(D34-C34,"")</x:f>
        <x:v>0</x:v>
      </x:c>
      <x:c r="F34" s="46" t="str">
        <x:f aca="0">IF(D34="","",IF(D34&gt;=C34,"✓ PASS","✗ FAIL — RE-ALLOCATE"))</x:f>
      </x:c>
      <x:c r="G34" s="47" t="str">
        <x:f aca="0">IF(D34="","",IF(D34&gt;=C34,"Portfolio passes IPS mandate. No re-allocation required. Proceed to Section 6 (Final Metrics).","FAIL: Portfolio breaches IPS Tripwire by "&amp;TEXT(ABS(D34-C34),"0.0%")&amp;". Complete Section 5 (Re-allocation) to bring portfolio within mandate before submitting."))</x:f>
      </x:c>
      <x:c r="H34" s="47"/>
      <x:c r="I34" s="47"/>
      <x:c r="J34" s="47"/>
      <x:c r="K34" s="47"/>
    </x:row>
    <x:row r="35" ht="25.5" hidden="0" customHeight="1">
      <x:c r="B35" s="12" t="s">
        <x:v>88</x:v>
      </x:c>
      <x:c r="C35" s="21"/>
      <x:c r="D35" s="32" t="str">
        <x:f aca="0">IF(C27&lt;&gt;"",C27,"")</x:f>
      </x:c>
      <x:c r="E35" s="32" t="n">
        <x:f aca="0">IFERROR(D35-C35,"")</x:f>
        <x:v>0</x:v>
      </x:c>
      <x:c r="F35" s="46" t="str">
        <x:f aca="0">IF(D35="","",IF(D35&lt;=C35,"✓ PASS","✗ EXCEED"))</x:f>
      </x:c>
      <x:c r="G35" s="48" t="s">
        <x:v>89</x:v>
      </x:c>
      <x:c r="H35" s="48"/>
      <x:c r="I35" s="48"/>
      <x:c r="J35" s="48"/>
      <x:c r="K35" s="48"/>
    </x:row>
    <x:row r="36" ht="7.5" hidden="0" customHeight="1"/>
    <x:row r="37" ht="19.5" hidden="0" customHeight="1">
      <x:c r="A37" s="49" t="s">
        <x:v>90</x:v>
      </x:c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</x:row>
    <x:row r="38" ht="31.5" hidden="0" customHeight="1">
      <x:c r="A38" s="50" t="s">
        <x:v>91</x:v>
      </x:c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</x:row>
    <x:row r="39" ht="18" hidden="0" customHeight="1">
      <x:c r="A39" s="51" t="s">
        <x:v>92</x:v>
      </x:c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</x:row>
    <x:row r="40" ht="30" hidden="0" customHeight="1">
      <x:c r="B40" s="25" t="s">
        <x:v>93</x:v>
      </x:c>
      <x:c r="C40" s="25" t="s">
        <x:v>94</x:v>
      </x:c>
      <x:c r="D40" s="25" t="s">
        <x:v>95</x:v>
      </x:c>
      <x:c r="E40" s="25" t="s">
        <x:v>96</x:v>
      </x:c>
      <x:c r="F40" s="25" t="s">
        <x:v>97</x:v>
      </x:c>
      <x:c r="G40" s="26" t="s">
        <x:v>98</x:v>
      </x:c>
      <x:c r="H40" s="26"/>
      <x:c r="I40" s="26"/>
      <x:c r="J40" s="26"/>
      <x:c r="K40" s="26"/>
    </x:row>
    <x:row r="41" ht="21.75" hidden="0" customHeight="1">
      <x:c r="B41" s="18"/>
      <x:c r="C41" s="18"/>
      <x:c r="D41" s="21"/>
      <x:c r="E41" s="21"/>
      <x:c r="F41" s="33" t="str">
        <x:f aca="0">IF(AND(D41&lt;&gt;"",E41&lt;&gt;""),(E41-D41)*500000,"")</x:f>
      </x:c>
      <x:c r="G41" s="28"/>
      <x:c r="H41" s="28"/>
      <x:c r="I41" s="28"/>
      <x:c r="J41" s="28"/>
      <x:c r="K41" s="28"/>
    </x:row>
    <x:row r="42" ht="21.75" hidden="0" customHeight="1">
      <x:c r="B42" s="18"/>
      <x:c r="C42" s="18"/>
      <x:c r="D42" s="21"/>
      <x:c r="E42" s="21"/>
      <x:c r="F42" s="33" t="str">
        <x:f aca="0">IF(AND(D42&lt;&gt;"",E42&lt;&gt;""),(E42-D42)*500000,"")</x:f>
      </x:c>
      <x:c r="G42" s="28"/>
      <x:c r="H42" s="28"/>
      <x:c r="I42" s="28"/>
      <x:c r="J42" s="28"/>
      <x:c r="K42" s="28"/>
    </x:row>
    <x:row r="43" ht="21.75" hidden="0" customHeight="1">
      <x:c r="B43" s="18"/>
      <x:c r="C43" s="18"/>
      <x:c r="D43" s="21"/>
      <x:c r="E43" s="21"/>
      <x:c r="F43" s="33" t="str">
        <x:f aca="0">IF(AND(D43&lt;&gt;"",E43&lt;&gt;""),(E43-D43)*500000,"")</x:f>
      </x:c>
      <x:c r="G43" s="28"/>
      <x:c r="H43" s="28"/>
      <x:c r="I43" s="28"/>
      <x:c r="J43" s="28"/>
      <x:c r="K43" s="28"/>
    </x:row>
    <x:row r="44" ht="21.75" hidden="0" customHeight="1">
      <x:c r="B44" s="18"/>
      <x:c r="C44" s="18"/>
      <x:c r="D44" s="21"/>
      <x:c r="E44" s="21"/>
      <x:c r="F44" s="33" t="str">
        <x:f aca="0">IF(AND(D44&lt;&gt;"",E44&lt;&gt;""),(E44-D44)*500000,"")</x:f>
      </x:c>
      <x:c r="G44" s="28"/>
      <x:c r="H44" s="28"/>
      <x:c r="I44" s="28"/>
      <x:c r="J44" s="28"/>
      <x:c r="K44" s="28"/>
    </x:row>
    <x:row r="45" ht="21.75" hidden="0" customHeight="1">
      <x:c r="B45" s="18"/>
      <x:c r="C45" s="18"/>
      <x:c r="D45" s="21"/>
      <x:c r="E45" s="21"/>
      <x:c r="F45" s="33" t="str">
        <x:f aca="0">IF(AND(D45&lt;&gt;"",E45&lt;&gt;""),(E45-D45)*500000,"")</x:f>
      </x:c>
      <x:c r="G45" s="28"/>
      <x:c r="H45" s="28"/>
      <x:c r="I45" s="28"/>
      <x:c r="J45" s="28"/>
      <x:c r="K45" s="28"/>
    </x:row>
    <x:row r="46" ht="21.75" hidden="0" customHeight="1">
      <x:c r="B46" s="18"/>
      <x:c r="C46" s="18"/>
      <x:c r="D46" s="21"/>
      <x:c r="E46" s="21"/>
      <x:c r="F46" s="33" t="str">
        <x:f aca="0">IF(AND(D46&lt;&gt;"",E46&lt;&gt;""),(E46-D46)*500000,"")</x:f>
      </x:c>
      <x:c r="G46" s="28"/>
      <x:c r="H46" s="28"/>
      <x:c r="I46" s="28"/>
      <x:c r="J46" s="28"/>
      <x:c r="K46" s="28"/>
    </x:row>
    <x:row r="47" ht="21.75" hidden="0" customHeight="1">
      <x:c r="A47" s="52" t="s">
        <x:v>99</x:v>
      </x:c>
      <x:c r="B47" s="52"/>
      <x:c r="C47" s="52"/>
      <x:c r="D47" s="32" t="n">
        <x:f aca="0">IFERROR(SUM(E41:E46),0)</x:f>
        <x:v>0</x:v>
      </x:c>
      <x:c r="E47" s="40" t="s">
        <x:v>100</x:v>
      </x:c>
      <x:c r="F47" s="40"/>
      <x:c r="G47" s="40"/>
      <x:c r="H47" s="40"/>
      <x:c r="I47" s="40"/>
      <x:c r="J47" s="40"/>
      <x:c r="K47" s="40"/>
    </x:row>
    <x:row r="48" ht="7.5" hidden="0" customHeight="1"/>
    <x:row r="49" ht="18" hidden="0" customHeight="1">
      <x:c r="A49" s="51" t="s">
        <x:v>101</x:v>
      </x:c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</x:row>
    <x:row r="50" ht="31.5" hidden="0" customHeight="1">
      <x:c r="A50" s="8" t="s">
        <x:v>102</x:v>
      </x:c>
      <x:c r="B50" s="8"/>
      <x:c r="C50" s="8"/>
      <x:c r="D50" s="8"/>
      <x:c r="E50" s="8"/>
      <x:c r="F50" s="8"/>
      <x:c r="G50" s="8"/>
      <x:c r="H50" s="8"/>
      <x:c r="I50" s="8"/>
      <x:c r="J50" s="8"/>
      <x:c r="K50" s="8"/>
    </x:row>
    <x:row r="51" ht="30" hidden="0" customHeight="1">
      <x:c r="B51" s="25" t="s">
        <x:v>47</x:v>
      </x:c>
      <x:c r="C51" s="25" t="s">
        <x:v>103</x:v>
      </x:c>
      <x:c r="D51" s="25" t="s">
        <x:v>104</x:v>
      </x:c>
      <x:c r="E51" s="25" t="s">
        <x:v>105</x:v>
      </x:c>
      <x:c r="F51" s="25" t="s">
        <x:v>106</x:v>
      </x:c>
      <x:c r="G51" s="26" t="s">
        <x:v>107</x:v>
      </x:c>
      <x:c r="H51" s="26"/>
      <x:c r="I51" s="26"/>
      <x:c r="J51" s="26"/>
      <x:c r="K51" s="26"/>
    </x:row>
    <x:row r="52" ht="21.75" hidden="0" customHeight="1">
      <x:c r="B52" s="27" t="s">
        <x:v>51</x:v>
      </x:c>
      <x:c r="C52" s="21"/>
      <x:c r="D52" s="31" t="str">
        <x:f aca="0">IF(C52&lt;&gt;"",C52*$E$5,"")</x:f>
      </x:c>
      <x:c r="E52" s="32" t="n">
        <x:f aca="0">C10</x:f>
        <x:v>0</x:v>
      </x:c>
      <x:c r="F52" s="32" t="str">
        <x:f aca="0">IF(C52&lt;&gt;"",C52*C10,"")</x:f>
      </x:c>
      <x:c r="G52" s="33" t="str">
        <x:f aca="0">IF(D52&lt;&gt;"",D52*C10,"")</x:f>
      </x:c>
      <x:c r="H52" s="53"/>
      <x:c r="I52" s="53"/>
      <x:c r="J52" s="53"/>
      <x:c r="K52" s="53"/>
    </x:row>
    <x:row r="53" ht="21.75" hidden="0" customHeight="1">
      <x:c r="B53" s="29" t="s">
        <x:v>52</x:v>
      </x:c>
      <x:c r="C53" s="21"/>
      <x:c r="D53" s="31" t="str">
        <x:f aca="0">IF(C53&lt;&gt;"",C53*$E$5,"")</x:f>
      </x:c>
      <x:c r="E53" s="32" t="n">
        <x:f aca="0">C11</x:f>
        <x:v>0</x:v>
      </x:c>
      <x:c r="F53" s="32" t="str">
        <x:f aca="0">IF(C53&lt;&gt;"",C53*C11,"")</x:f>
      </x:c>
      <x:c r="G53" s="33" t="str">
        <x:f aca="0">IF(D53&lt;&gt;"",D53*C11,"")</x:f>
      </x:c>
      <x:c r="H53" s="54"/>
      <x:c r="I53" s="54"/>
      <x:c r="J53" s="54"/>
      <x:c r="K53" s="54"/>
    </x:row>
    <x:row r="54" ht="21.75" hidden="0" customHeight="1">
      <x:c r="B54" s="27" t="s">
        <x:v>53</x:v>
      </x:c>
      <x:c r="C54" s="21"/>
      <x:c r="D54" s="31" t="str">
        <x:f aca="0">IF(C54&lt;&gt;"",C54*$E$5,"")</x:f>
      </x:c>
      <x:c r="E54" s="32" t="n">
        <x:f aca="0">C12</x:f>
        <x:v>0</x:v>
      </x:c>
      <x:c r="F54" s="32" t="str">
        <x:f aca="0">IF(C54&lt;&gt;"",C54*C12,"")</x:f>
      </x:c>
      <x:c r="G54" s="33" t="str">
        <x:f aca="0">IF(D54&lt;&gt;"",D54*C12,"")</x:f>
      </x:c>
      <x:c r="H54" s="53"/>
      <x:c r="I54" s="53"/>
      <x:c r="J54" s="53"/>
      <x:c r="K54" s="53"/>
    </x:row>
    <x:row r="55" ht="24" hidden="0" customHeight="1">
      <x:c r="A55" s="38" t="s">
        <x:v>108</x:v>
      </x:c>
      <x:c r="B55" s="38"/>
      <x:c r="C55" s="32" t="n">
        <x:f aca="0">IFERROR(SUM(C52:C54),0)</x:f>
        <x:v>0</x:v>
      </x:c>
      <x:c r="D55" s="31" t="n">
        <x:f aca="0">IFERROR(SUM(D52:D54),0)</x:f>
        <x:v>0</x:v>
      </x:c>
      <x:c r="E55" s="32"/>
      <x:c r="F55" s="32" t="n">
        <x:f aca="0">IFERROR(SUMPRODUCT(C52:C54,C10:C12),"")</x:f>
        <x:v>0</x:v>
      </x:c>
      <x:c r="G55" s="33" t="n">
        <x:f aca="0">IFERROR(SUM(G52:G54),"")</x:f>
        <x:v>0</x:v>
      </x:c>
    </x:row>
    <x:row r="56" ht="25.5" hidden="0" customHeight="1">
      <x:c r="B56" s="10" t="s">
        <x:v>109</x:v>
      </x:c>
      <x:c r="C56" s="32" t="n">
        <x:f aca="0">$G$5</x:f>
        <x:v>0</x:v>
      </x:c>
      <x:c r="D56" s="32" t="n">
        <x:f aca="0">IFERROR(F55,"")</x:f>
        <x:v>0</x:v>
      </x:c>
      <x:c r="E56" s="32" t="n">
        <x:f aca="0">IFERROR(D56-C56,"")</x:f>
        <x:v>0</x:v>
      </x:c>
      <x:c r="F56" s="46" t="str">
        <x:f aca="0">IF(D56="","",IF(D56&gt;=$G$5,"✓ REVISED PASS","✗ STILL FAILING — ADJUST FURTHER"))</x:f>
      </x:c>
      <x:c r="G56" s="48" t="s">
        <x:v>110</x:v>
      </x:c>
      <x:c r="H56" s="48"/>
      <x:c r="I56" s="48"/>
      <x:c r="J56" s="48"/>
      <x:c r="K56" s="48"/>
    </x:row>
    <x:row r="57" ht="7.5" hidden="0" customHeight="1"/>
    <x:row r="58" ht="19.5" hidden="0" customHeight="1">
      <x:c r="A58" s="4" t="s">
        <x:v>111</x:v>
      </x:c>
      <x:c r="B58" s="4"/>
      <x:c r="C58" s="4"/>
      <x:c r="D58" s="4"/>
      <x:c r="E58" s="4"/>
      <x:c r="F58" s="4"/>
      <x:c r="G58" s="4"/>
      <x:c r="H58" s="4"/>
      <x:c r="I58" s="4"/>
      <x:c r="J58" s="4"/>
      <x:c r="K58" s="4"/>
    </x:row>
    <x:row r="59" ht="31.5" hidden="0" customHeight="1">
      <x:c r="A59" s="8" t="str">
        <x:v>These are the final numbers your team submits. If you re-allocated in Section 5, use the revised portfolio metrics here. If the original portfolio passed, carry forward the verified Phase 2 metrics.</x:v>
      </x:c>
      <x:c r="B59" s="8"/>
      <x:c r="C59" s="8"/>
      <x:c r="D59" s="8"/>
      <x:c r="E59" s="8"/>
      <x:c r="F59" s="8"/>
      <x:c r="G59" s="8"/>
      <x:c r="H59" s="8"/>
      <x:c r="I59" s="8"/>
      <x:c r="J59" s="8"/>
      <x:c r="K59" s="8"/>
    </x:row>
    <x:row r="60" ht="30" hidden="0" customHeight="1">
      <x:c r="B60" s="25" t="s">
        <x:v>28</x:v>
      </x:c>
      <x:c r="C60" s="25" t="s">
        <x:v>112</x:v>
      </x:c>
      <x:c r="D60" s="25" t="s">
        <x:v>113</x:v>
      </x:c>
      <x:c r="E60" s="26" t="s">
        <x:v>114</x:v>
      </x:c>
      <x:c r="F60" s="26"/>
      <x:c r="G60" s="26"/>
      <x:c r="H60" s="26"/>
      <x:c r="I60" s="26"/>
      <x:c r="J60" s="26"/>
      <x:c r="K60" s="26"/>
    </x:row>
    <x:row r="61" ht="24" hidden="0" customHeight="1">
      <x:c r="B61" s="10" t="s">
        <x:v>36</x:v>
      </x:c>
      <x:c r="C61" s="42"/>
      <x:c r="D61" s="55" t="s">
        <x:v>115</x:v>
      </x:c>
      <x:c r="E61" s="44" t="str">
        <x:v>Weighted average β from the Phase 2 security-selection record</x:v>
      </x:c>
      <x:c r="F61" s="44"/>
      <x:c r="G61" s="44"/>
      <x:c r="H61" s="44"/>
      <x:c r="I61" s="44"/>
      <x:c r="J61" s="44"/>
      <x:c r="K61" s="44"/>
    </x:row>
    <x:row r="62" ht="24" hidden="0" customHeight="1">
      <x:c r="B62" s="12" t="s">
        <x:v>69</x:v>
      </x:c>
      <x:c r="C62" s="21"/>
      <x:c r="D62" s="55" t="str">
        <x:v>Must be ≤ IPS Max σ from Phase 1</x:v>
      </x:c>
      <x:c r="E62" s="44" t="str">
        <x:v>From the Phase 2 CME Matrix (Solver output)</x:v>
      </x:c>
      <x:c r="F62" s="44"/>
      <x:c r="G62" s="44"/>
      <x:c r="H62" s="44"/>
      <x:c r="I62" s="44"/>
      <x:c r="J62" s="44"/>
      <x:c r="K62" s="44"/>
    </x:row>
    <x:row r="63" ht="24" hidden="0" customHeight="1">
      <x:c r="B63" s="10" t="s">
        <x:v>116</x:v>
      </x:c>
      <x:c r="C63" s="42"/>
      <x:c r="D63" s="55" t="s">
        <x:v>117</x:v>
      </x:c>
      <x:c r="E63" s="44" t="s">
        <x:v>118</x:v>
      </x:c>
      <x:c r="F63" s="44"/>
      <x:c r="G63" s="44"/>
      <x:c r="H63" s="44"/>
      <x:c r="I63" s="44"/>
      <x:c r="J63" s="44"/>
      <x:c r="K63" s="44"/>
    </x:row>
    <x:row r="64" ht="24" hidden="0" customHeight="1">
      <x:c r="B64" s="12" t="s">
        <x:v>33</x:v>
      </x:c>
      <x:c r="C64" s="21"/>
      <x:c r="D64" s="55" t="s">
        <x:v>119</x:v>
      </x:c>
      <x:c r="E64" s="44" t="s">
        <x:v>120</x:v>
      </x:c>
      <x:c r="F64" s="44"/>
      <x:c r="G64" s="44"/>
      <x:c r="H64" s="44"/>
      <x:c r="I64" s="44"/>
      <x:c r="J64" s="44"/>
      <x:c r="K64" s="44"/>
    </x:row>
    <x:row r="65" ht="24" hidden="0" customHeight="1">
      <x:c r="B65" s="10" t="s">
        <x:v>121</x:v>
      </x:c>
      <x:c r="C65" s="56"/>
      <x:c r="D65" s="55" t="s">
        <x:v>122</x:v>
      </x:c>
      <x:c r="E65" s="44" t="s">
        <x:v>120</x:v>
      </x:c>
      <x:c r="F65" s="44"/>
      <x:c r="G65" s="44"/>
      <x:c r="H65" s="44"/>
      <x:c r="I65" s="44"/>
      <x:c r="J65" s="44"/>
      <x:c r="K65" s="44"/>
    </x:row>
    <x:row r="66" ht="24" hidden="0" customHeight="1">
      <x:c r="B66" s="12" t="s">
        <x:v>123</x:v>
      </x:c>
      <x:c r="C66" s="57"/>
      <x:c r="D66" s="55" t="s">
        <x:v>124</x:v>
      </x:c>
      <x:c r="E66" s="44" t="s">
        <x:v>125</x:v>
      </x:c>
      <x:c r="F66" s="44"/>
      <x:c r="G66" s="44"/>
      <x:c r="H66" s="44"/>
      <x:c r="I66" s="44"/>
      <x:c r="J66" s="44"/>
      <x:c r="K66" s="44"/>
    </x:row>
    <x:row r="68" ht="7.5" hidden="0" customHeight="1"/>
    <x:row r="69" ht="19.5" hidden="0" customHeight="1">
      <x:c r="A69" s="4" t="s">
        <x:v>126</x:v>
      </x:c>
      <x:c r="B69" s="4"/>
      <x:c r="C69" s="4"/>
      <x:c r="D69" s="4"/>
      <x:c r="E69" s="4"/>
      <x:c r="F69" s="4"/>
      <x:c r="G69" s="4"/>
      <x:c r="H69" s="4"/>
      <x:c r="I69" s="4"/>
      <x:c r="J69" s="4"/>
      <x:c r="K69" s="4"/>
    </x:row>
    <x:row r="70" ht="18" hidden="0" customHeight="1">
      <x:c r="B70" s="58" t="s">
        <x:v>127</x:v>
      </x:c>
      <x:c r="C70" s="7" t="s">
        <x:v>128</x:v>
      </x:c>
      <x:c r="D70" s="7"/>
      <x:c r="E70" s="7"/>
      <x:c r="F70" s="7"/>
      <x:c r="G70" s="7"/>
      <x:c r="H70" s="7"/>
      <x:c r="I70" s="7"/>
      <x:c r="J70" s="7"/>
      <x:c r="K70" s="7"/>
    </x:row>
    <x:row r="71" ht="18" hidden="0" customHeight="1">
      <x:c r="B71" s="59" t="s">
        <x:v>127</x:v>
      </x:c>
      <x:c r="C71" s="7" t="s">
        <x:v>129</x:v>
      </x:c>
      <x:c r="D71" s="7"/>
      <x:c r="E71" s="7"/>
      <x:c r="F71" s="7"/>
      <x:c r="G71" s="7"/>
      <x:c r="H71" s="7"/>
      <x:c r="I71" s="7"/>
      <x:c r="J71" s="7"/>
      <x:c r="K71" s="7"/>
    </x:row>
    <x:row r="72" ht="18" hidden="0" customHeight="1">
      <x:c r="B72" s="60" t="s">
        <x:v>127</x:v>
      </x:c>
      <x:c r="C72" s="7" t="s">
        <x:v>130</x:v>
      </x:c>
      <x:c r="D72" s="7"/>
      <x:c r="E72" s="7"/>
      <x:c r="F72" s="7"/>
      <x:c r="G72" s="7"/>
      <x:c r="H72" s="7"/>
      <x:c r="I72" s="7"/>
      <x:c r="J72" s="7"/>
      <x:c r="K72" s="7"/>
    </x:row>
    <x:row r="73" ht="18" hidden="0" customHeight="1">
      <x:c r="B73" s="61" t="s">
        <x:v>127</x:v>
      </x:c>
      <x:c r="C73" s="7" t="s">
        <x:v>131</x:v>
      </x:c>
      <x:c r="D73" s="7"/>
      <x:c r="E73" s="7"/>
      <x:c r="F73" s="7"/>
      <x:c r="G73" s="7"/>
      <x:c r="H73" s="7"/>
      <x:c r="I73" s="7"/>
      <x:c r="J73" s="7"/>
      <x:c r="K73" s="7"/>
    </x:row>
    <x:row r="74" ht="18" hidden="0" customHeight="1">
      <x:c r="B74" s="62" t="s">
        <x:v>127</x:v>
      </x:c>
      <x:c r="C74" s="7" t="s">
        <x:v>132</x:v>
      </x:c>
      <x:c r="D74" s="7"/>
      <x:c r="E74" s="7"/>
      <x:c r="F74" s="7"/>
      <x:c r="G74" s="7"/>
      <x:c r="H74" s="7"/>
      <x:c r="I74" s="7"/>
      <x:c r="J74" s="7"/>
      <x:c r="K74" s="7"/>
    </x:row>
    <x:row r="75" ht="18" hidden="0" customHeight="1">
      <x:c r="B75" s="63" t="s">
        <x:v>127</x:v>
      </x:c>
      <x:c r="C75" s="7" t="s">
        <x:v>133</x:v>
      </x:c>
      <x:c r="D75" s="7"/>
      <x:c r="E75" s="7"/>
      <x:c r="F75" s="7"/>
      <x:c r="G75" s="7"/>
      <x:c r="H75" s="7"/>
      <x:c r="I75" s="7"/>
      <x:c r="J75" s="7"/>
      <x:c r="K75" s="7"/>
    </x:row>
  </x:sheetData>
  <x:mergeCells>
    <x:mergeCell ref="A2:K2"/>
    <x:mergeCell ref="A3:K3"/>
    <x:mergeCell ref="A7:K7"/>
    <x:mergeCell ref="A8:K8"/>
    <x:mergeCell ref="E9:K9"/>
    <x:mergeCell ref="E10:K10"/>
    <x:mergeCell ref="E11:K11"/>
    <x:mergeCell ref="E12:K12"/>
    <x:mergeCell ref="A14:K14"/>
    <x:mergeCell ref="A15:K15"/>
    <x:mergeCell ref="I16:K16"/>
    <x:mergeCell ref="I17:K17"/>
    <x:mergeCell ref="I18:K18"/>
    <x:mergeCell ref="I19:K19"/>
    <x:mergeCell ref="A20:B20"/>
    <x:mergeCell ref="H20:K20"/>
    <x:mergeCell ref="A22:K22"/>
    <x:mergeCell ref="A23:K23"/>
    <x:mergeCell ref="F24:K24"/>
    <x:mergeCell ref="D25:K25"/>
    <x:mergeCell ref="F26:K26"/>
    <x:mergeCell ref="F27:K27"/>
    <x:mergeCell ref="F28:K28"/>
    <x:mergeCell ref="F29:K29"/>
    <x:mergeCell ref="F30:K30"/>
    <x:mergeCell ref="A32:K32"/>
    <x:mergeCell ref="F33:K33"/>
    <x:mergeCell ref="G34:K34"/>
    <x:mergeCell ref="G35:K35"/>
    <x:mergeCell ref="A37:K37"/>
    <x:mergeCell ref="A38:K38"/>
    <x:mergeCell ref="A39:K39"/>
    <x:mergeCell ref="G40:K40"/>
    <x:mergeCell ref="G41:K41"/>
    <x:mergeCell ref="G42:K42"/>
    <x:mergeCell ref="G43:K43"/>
    <x:mergeCell ref="G44:K44"/>
    <x:mergeCell ref="G45:K45"/>
    <x:mergeCell ref="G46:K46"/>
    <x:mergeCell ref="A47:C47"/>
    <x:mergeCell ref="E47:K47"/>
    <x:mergeCell ref="A49:K49"/>
    <x:mergeCell ref="A50:K50"/>
    <x:mergeCell ref="G51:K51"/>
    <x:mergeCell ref="H52:K52"/>
    <x:mergeCell ref="H53:K53"/>
    <x:mergeCell ref="H54:K54"/>
    <x:mergeCell ref="A55:B55"/>
    <x:mergeCell ref="G56:K56"/>
    <x:mergeCell ref="A58:K58"/>
    <x:mergeCell ref="A59:K59"/>
    <x:mergeCell ref="E60:K60"/>
    <x:mergeCell ref="E61:K61"/>
    <x:mergeCell ref="E62:K62"/>
    <x:mergeCell ref="E63:K63"/>
    <x:mergeCell ref="E64:K64"/>
    <x:mergeCell ref="E65:K65"/>
    <x:mergeCell ref="E66:K66"/>
    <x:mergeCell ref="A69:K69"/>
    <x:mergeCell ref="C70:K70"/>
    <x:mergeCell ref="C71:K71"/>
    <x:mergeCell ref="C72:K72"/>
    <x:mergeCell ref="C73:K73"/>
    <x:mergeCell ref="C74:K74"/>
    <x:mergeCell ref="C75:K75"/>
  </x:mergeCells>
  <x:conditionalFormatting sqref="C20:C20">
    <x:cfRule type="cellIs" dxfId="0" priority="2" aboveAverage="0" percent="0" bottom="0" operator="equal" rank="0" equalAverage="0">
      <x:formula>1</x:formula>
    </x:cfRule>
    <x:cfRule type="cellIs" dxfId="1" priority="3" aboveAverage="0" percent="0" bottom="0" operator="notEqual" rank="0" equalAverage="0">
      <x:formula>1</x:formula>
    </x:cfRule>
  </x:conditionalFormatting>
  <x:conditionalFormatting sqref="F34:F34">
    <x:cfRule type="expression" dxfId="4" priority="4" aboveAverage="0" percent="0" bottom="0" rank="0" equalAverage="0">
      <x:formula>D34&gt;=C34</x:formula>
    </x:cfRule>
    <x:cfRule type="expression" dxfId="5" priority="5" aboveAverage="0" percent="0" bottom="0" rank="0" equalAverage="0">
      <x:formula>AND(D34&lt;&gt;"",D34&lt;C34)</x:formula>
    </x:cfRule>
  </x:conditionalFormatting>
  <x:conditionalFormatting sqref="F35:F35">
    <x:cfRule type="expression" dxfId="4" priority="6" aboveAverage="0" percent="0" bottom="0" rank="0" equalAverage="0">
      <x:formula>AND(D35&lt;&gt;"",D35&lt;=C35)</x:formula>
    </x:cfRule>
    <x:cfRule type="expression" dxfId="6" priority="7" aboveAverage="0" percent="0" bottom="0" rank="0" equalAverage="0">
      <x:formula>AND(D35&lt;&gt;"",D35&gt;C35)</x:formula>
    </x:cfRule>
  </x:conditionalFormatting>
  <x:conditionalFormatting sqref="D47:D47">
    <x:cfRule type="cellIs" dxfId="0" priority="8" aboveAverage="0" percent="0" bottom="0" operator="equal" rank="0" equalAverage="0">
      <x:formula>1</x:formula>
    </x:cfRule>
    <x:cfRule type="cellIs" dxfId="1" priority="9" aboveAverage="0" percent="0" bottom="0" operator="notEqual" rank="0" equalAverage="0">
      <x:formula>1</x:formula>
    </x:cfRule>
  </x:conditionalFormatting>
  <x:conditionalFormatting sqref="F56:F56">
    <x:cfRule type="expression" dxfId="4" priority="10" aboveAverage="0" percent="0" bottom="0" rank="0" equalAverage="0">
      <x:formula>D56&gt;=$G$5</x:formula>
    </x:cfRule>
    <x:cfRule type="expression" dxfId="5" priority="11" aboveAverage="0" percent="0" bottom="0" rank="0" equalAverage="0">
      <x:formula>AND(D56&lt;&gt;"",D56&lt;$G$5)</x:formula>
    </x:cfRule>
  </x:conditionalFormatting>
  <x:dataValidations count="1">
    <x:dataValidation type="list" errorStyle="stop" operator="between" allowBlank="1" showDropDown="0" showInputMessage="0" showErrorMessage="0" sqref="B41:B46">
      <x:formula1>"BUY,SELL,HOLD"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651bae8ab1d84fda"/>
</x:worksheet>
</file>

<file path=xl/worksheets/sheet5.xml><?xml version="1.0" encoding="utf-8"?>
<x:worksheet xmlns:x="http://schemas.openxmlformats.org/spreadsheetml/2006/main">
  <x:sheetPr>
    <x:tabColor rgb="FF1A3A8B"/>
  </x:sheetPr>
  <x:sheetViews>
    <x:sheetView showGridLines="0" workbookViewId="0"/>
  </x:sheetViews>
  <x:sheetFormatPr defaultColWidth="8.6796875" defaultRowHeight="15"/>
  <x:cols>
    <x:col min="1" max="1" width="2" style="1" hidden="0" customWidth="1"/>
    <x:col min="2" max="2" width="30" style="1" hidden="0" customWidth="1"/>
    <x:col min="3" max="3" width="13" style="1" hidden="0" customWidth="1"/>
    <x:col min="4" max="7" width="16" style="1" hidden="0" customWidth="1"/>
    <x:col min="8" max="8" width="28" style="1" hidden="0" customWidth="1"/>
    <x:col min="9" max="10" width="14" style="1" hidden="0" customWidth="1"/>
    <x:col min="11" max="11" width="2" style="1" hidden="0" customWidth="1"/>
  </x:cols>
  <x:sheetData>
    <x:row r="1" ht="6" hidden="0" customHeight="1"/>
    <x:row r="2" ht="37.5" hidden="0" customHeight="1">
      <x:c r="A2" s="2" t="str">
        <x:v>Phase 2 Workstream C — Portfolio Stress Test &amp; Quantitative Audit  |  Client 3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18" hidden="0" customHeight="1">
      <x:c r="A3" s="3" t="str">
        <x:v>BUS 331 Investments  |  Endicott College  |  Apply the approved Phase 1 Bear Case to the Phase 2 Portfolio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6" hidden="0" customHeight="1"/>
    <x:row r="5" ht="21.75" hidden="0" customHeight="1">
      <x:c r="B5" s="17" t="s">
        <x:v>40</x:v>
      </x:c>
      <x:c r="C5" s="18"/>
      <x:c r="D5" s="17" t="s">
        <x:v>41</x:v>
      </x:c>
      <x:c r="E5" s="19" t="n">
        <x:v>500000</x:v>
      </x:c>
      <x:c r="F5" s="20" t="s">
        <x:v>42</x:v>
      </x:c>
      <x:c r="G5" s="21"/>
      <x:c r="H5" s="17" t="s">
        <x:v>43</x:v>
      </x:c>
      <x:c r="I5" s="22" t="str">
        <x:v>(from Phase 1)</x:v>
      </x:c>
      <x:c r="J5" s="23" t="s">
        <x:v>44</x:v>
      </x:c>
    </x:row>
    <x:row r="6" ht="6" hidden="0" customHeight="1"/>
    <x:row r="7" ht="19.5" hidden="0" customHeight="1">
      <x:c r="A7" s="4" t="s">
        <x:v>45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1.5" hidden="0" customHeight="1">
      <x:c r="A8" s="24" t="s">
        <x:v>46</x:v>
      </x:c>
      <x:c r="B8" s="24"/>
      <x:c r="C8" s="24"/>
      <x:c r="D8" s="24"/>
      <x:c r="E8" s="24"/>
      <x:c r="F8" s="24"/>
      <x:c r="G8" s="24"/>
      <x:c r="H8" s="24"/>
      <x:c r="I8" s="24"/>
      <x:c r="J8" s="24"/>
      <x:c r="K8" s="24"/>
    </x:row>
    <x:row r="9" ht="30" hidden="0" customHeight="1">
      <x:c r="B9" s="25" t="s">
        <x:v>47</x:v>
      </x:c>
      <x:c r="C9" s="25" t="s">
        <x:v>48</x:v>
      </x:c>
      <x:c r="D9" s="25" t="s">
        <x:v>49</x:v>
      </x:c>
      <x:c r="E9" s="26" t="s">
        <x:v>50</x:v>
      </x:c>
      <x:c r="F9" s="26"/>
      <x:c r="G9" s="26"/>
      <x:c r="H9" s="26"/>
      <x:c r="I9" s="26"/>
      <x:c r="J9" s="26"/>
      <x:c r="K9" s="26"/>
    </x:row>
    <x:row r="10" ht="21.75" hidden="0" customHeight="1">
      <x:c r="B10" s="27" t="s">
        <x:v>51</x:v>
      </x:c>
      <x:c r="C10" s="21"/>
      <x:c r="D10" s="21"/>
      <x:c r="E10" s="28"/>
      <x:c r="F10" s="28"/>
      <x:c r="G10" s="28"/>
      <x:c r="H10" s="28"/>
      <x:c r="I10" s="28"/>
      <x:c r="J10" s="28"/>
      <x:c r="K10" s="28"/>
    </x:row>
    <x:row r="11" ht="21.75" hidden="0" customHeight="1">
      <x:c r="B11" s="29" t="s">
        <x:v>52</x:v>
      </x:c>
      <x:c r="C11" s="21"/>
      <x:c r="D11" s="21"/>
      <x:c r="E11" s="28"/>
      <x:c r="F11" s="28"/>
      <x:c r="G11" s="28"/>
      <x:c r="H11" s="28"/>
      <x:c r="I11" s="28"/>
      <x:c r="J11" s="28"/>
      <x:c r="K11" s="28"/>
    </x:row>
    <x:row r="12" ht="21.75" hidden="0" customHeight="1">
      <x:c r="B12" s="27" t="s">
        <x:v>53</x:v>
      </x:c>
      <x:c r="C12" s="21"/>
      <x:c r="D12" s="21"/>
      <x:c r="E12" s="28"/>
      <x:c r="F12" s="28"/>
      <x:c r="G12" s="28"/>
      <x:c r="H12" s="28"/>
      <x:c r="I12" s="28"/>
      <x:c r="J12" s="28"/>
      <x:c r="K12" s="28"/>
    </x:row>
    <x:row r="13" ht="7.5" hidden="0" customHeight="1"/>
    <x:row r="14" ht="19.5" hidden="0" customHeight="1">
      <x:c r="A14" s="4" t="str">
        <x:v>  SECTION 2 — BASE CASE PORTFOLIO  (enter Phase 2 Workstream A weights)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 ht="31.5" hidden="0" customHeight="1">
      <x:c r="A15" s="8" t="str">
        <x:v>Enter the Solver-supported weights from Phase 2 Workstream A for this client. Weights must sum to 100%. The Base Case return and risk metrics auto-calculate.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 ht="33.75" hidden="0" customHeight="1">
      <x:c r="B16" s="25" t="s">
        <x:v>47</x:v>
      </x:c>
      <x:c r="C16" s="25" t="str">
        <x:v>Weight
(Workstream A)</x:v>
      </x:c>
      <x:c r="D16" s="25" t="s">
        <x:v>54</x:v>
      </x:c>
      <x:c r="E16" s="25" t="s">
        <x:v>55</x:v>
      </x:c>
      <x:c r="F16" s="25" t="s">
        <x:v>56</x:v>
      </x:c>
      <x:c r="G16" s="25" t="s">
        <x:v>57</x:v>
      </x:c>
      <x:c r="H16" s="25" t="s">
        <x:v>58</x:v>
      </x:c>
      <x:c r="I16" s="30" t="s">
        <x:v>59</x:v>
      </x:c>
      <x:c r="J16" s="30"/>
      <x:c r="K16" s="30"/>
    </x:row>
    <x:row r="17" ht="21.75" hidden="0" customHeight="1">
      <x:c r="B17" s="27" t="s">
        <x:v>51</x:v>
      </x:c>
      <x:c r="C17" s="21"/>
      <x:c r="D17" s="31" t="str">
        <x:f aca="0">IF(C17&lt;&gt;"",C17*$E$5,"")</x:f>
      </x:c>
      <x:c r="E17" s="21"/>
      <x:c r="F17" s="32" t="str">
        <x:f aca="0">IF(C17&lt;&gt;"",C17*C10,"")</x:f>
      </x:c>
      <x:c r="G17" s="33" t="str">
        <x:f aca="0">IF(D17&lt;&gt;"",D17*C10,"")</x:f>
      </x:c>
      <x:c r="H17" s="34"/>
      <x:c r="I17" s="35"/>
      <x:c r="J17" s="35"/>
      <x:c r="K17" s="35"/>
    </x:row>
    <x:row r="18" ht="21.75" hidden="0" customHeight="1">
      <x:c r="B18" s="29" t="s">
        <x:v>52</x:v>
      </x:c>
      <x:c r="C18" s="21"/>
      <x:c r="D18" s="31" t="str">
        <x:f aca="0">IF(C18&lt;&gt;"",C18*$E$5,"")</x:f>
      </x:c>
      <x:c r="E18" s="21"/>
      <x:c r="F18" s="32" t="str">
        <x:f aca="0">IF(C18&lt;&gt;"",C18*C11,"")</x:f>
      </x:c>
      <x:c r="G18" s="33" t="str">
        <x:f aca="0">IF(D18&lt;&gt;"",D18*C11,"")</x:f>
      </x:c>
      <x:c r="H18" s="36"/>
      <x:c r="I18" s="37"/>
      <x:c r="J18" s="37"/>
      <x:c r="K18" s="37"/>
    </x:row>
    <x:row r="19" ht="21.75" hidden="0" customHeight="1">
      <x:c r="B19" s="27" t="s">
        <x:v>53</x:v>
      </x:c>
      <x:c r="C19" s="21"/>
      <x:c r="D19" s="31" t="str">
        <x:f aca="0">IF(C19&lt;&gt;"",C19*$E$5,"")</x:f>
      </x:c>
      <x:c r="E19" s="21"/>
      <x:c r="F19" s="32" t="str">
        <x:f aca="0">IF(C19&lt;&gt;"",C19*C12,"")</x:f>
      </x:c>
      <x:c r="G19" s="33" t="str">
        <x:f aca="0">IF(D19&lt;&gt;"",D19*C12,"")</x:f>
      </x:c>
      <x:c r="H19" s="34"/>
      <x:c r="I19" s="35"/>
      <x:c r="J19" s="35"/>
      <x:c r="K19" s="35"/>
    </x:row>
    <x:row r="20" ht="24" hidden="0" customHeight="1">
      <x:c r="A20" s="38" t="s">
        <x:v>60</x:v>
      </x:c>
      <x:c r="B20" s="38"/>
      <x:c r="C20" s="39" t="n">
        <x:f aca="0">IFERROR(SUM(C17:C19),0)</x:f>
        <x:v>0</x:v>
      </x:c>
      <x:c r="D20" s="31" t="n">
        <x:f aca="0">IFERROR(SUM(D17:D19),0)</x:f>
        <x:v>0</x:v>
      </x:c>
      <x:c r="E20" s="32" t="n">
        <x:f aca="0">IFERROR(SUMPRODUCT(C17:C19,E17:E19),"")</x:f>
        <x:v>0</x:v>
      </x:c>
      <x:c r="F20" s="32" t="n">
        <x:f aca="0">IFERROR(SUMPRODUCT(C17:C19,C10:C12),"")</x:f>
        <x:v>0</x:v>
      </x:c>
      <x:c r="G20" s="33" t="n">
        <x:f aca="0">IFERROR(SUM(G17:G19),"")</x:f>
        <x:v>0</x:v>
      </x:c>
      <x:c r="H20" s="40" t="s">
        <x:v>61</x:v>
      </x:c>
      <x:c r="I20" s="40"/>
      <x:c r="J20" s="40"/>
      <x:c r="K20" s="40"/>
    </x:row>
    <x:row r="21" ht="7.5" hidden="0" customHeight="1"/>
    <x:row r="22" ht="19.5" hidden="0" customHeight="1">
      <x:c r="A22" s="4" t="s">
        <x:v>62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</x:row>
    <x:row r="23" ht="31.5" hidden="0" customHeight="1">
      <x:c r="A23" s="8" t="str">
        <x:v>Enter portfolio risk metrics for BOTH the Base Case and Bear Case. Beta and σ come from the Phase 2 allocation and selected holdings. Sharpe Ratio is calculated automatically using the formula below.</x:v>
      </x:c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 ht="30" hidden="0" customHeight="1">
      <x:c r="B24" s="25" t="s">
        <x:v>28</x:v>
      </x:c>
      <x:c r="C24" s="25" t="str">
        <x:v>Base Case
(Phase 2)</x:v>
      </x:c>
      <x:c r="D24" s="25" t="s">
        <x:v>63</x:v>
      </x:c>
      <x:c r="E24" s="25" t="s">
        <x:v>64</x:v>
      </x:c>
      <x:c r="F24" s="26" t="s">
        <x:v>65</x:v>
      </x:c>
      <x:c r="G24" s="26"/>
      <x:c r="H24" s="26"/>
      <x:c r="I24" s="26"/>
      <x:c r="J24" s="26"/>
      <x:c r="K24" s="26"/>
    </x:row>
    <x:row r="25" ht="21.75" hidden="0" customHeight="1">
      <x:c r="B25" s="17" t="s">
        <x:v>66</x:v>
      </x:c>
      <x:c r="C25" s="21"/>
      <x:c r="D25" s="40" t="s">
        <x:v>67</x:v>
      </x:c>
      <x:c r="E25" s="40"/>
      <x:c r="F25" s="40"/>
      <x:c r="G25" s="40"/>
      <x:c r="H25" s="40"/>
      <x:c r="I25" s="40"/>
      <x:c r="J25" s="40"/>
      <x:c r="K25" s="40"/>
    </x:row>
    <x:row r="26" ht="25.5" hidden="0" customHeight="1">
      <x:c r="B26" s="10" t="s">
        <x:v>36</x:v>
      </x:c>
      <x:c r="C26" s="41"/>
      <x:c r="D26" s="42"/>
      <x:c r="E26" s="43" t="str">
        <x:v>From Phase 2 security selection — weighted average beta of all holdings</x:v>
      </x:c>
      <x:c r="F26" s="44" t="s">
        <x:v>68</x:v>
      </x:c>
      <x:c r="G26" s="44"/>
      <x:c r="H26" s="44"/>
      <x:c r="I26" s="44"/>
      <x:c r="J26" s="44"/>
      <x:c r="K26" s="44"/>
    </x:row>
    <x:row r="27" ht="25.5" hidden="0" customHeight="1">
      <x:c r="B27" s="12" t="s">
        <x:v>69</x:v>
      </x:c>
      <x:c r="C27" s="21"/>
      <x:c r="D27" s="21"/>
      <x:c r="E27" s="43" t="str">
        <x:v>From Phase 2 CME Matrix — portfolio σ from Solver output</x:v>
      </x:c>
      <x:c r="F27" s="44" t="s">
        <x:v>70</x:v>
      </x:c>
      <x:c r="G27" s="44"/>
      <x:c r="H27" s="44"/>
      <x:c r="I27" s="44"/>
      <x:c r="J27" s="44"/>
      <x:c r="K27" s="44"/>
    </x:row>
    <x:row r="28" ht="25.5" hidden="0" customHeight="1">
      <x:c r="B28" s="10" t="s">
        <x:v>71</x:v>
      </x:c>
      <x:c r="C28" s="41" t="str">
        <x:f aca="0">IFERROR((E20-$C$25)/C27,"")</x:f>
      </x:c>
      <x:c r="D28" s="41" t="str">
        <x:f aca="0">IFERROR((F20-$C$25)/D27,"")</x:f>
      </x:c>
      <x:c r="E28" s="43" t="s">
        <x:v>72</x:v>
      </x:c>
      <x:c r="F28" s="44" t="s">
        <x:v>73</x:v>
      </x:c>
      <x:c r="G28" s="44"/>
      <x:c r="H28" s="44"/>
      <x:c r="I28" s="44"/>
      <x:c r="J28" s="44"/>
      <x:c r="K28" s="44"/>
    </x:row>
    <x:row r="29" ht="25.5" hidden="0" customHeight="1">
      <x:c r="B29" s="12" t="s">
        <x:v>74</x:v>
      </x:c>
      <x:c r="C29" s="45" t="s">
        <x:v>75</x:v>
      </x:c>
      <x:c r="D29" s="32" t="n">
        <x:f aca="0">IFERROR(F20,"")</x:f>
        <x:v>0</x:v>
      </x:c>
      <x:c r="E29" s="43" t="s">
        <x:v>76</x:v>
      </x:c>
      <x:c r="F29" s="44" t="s">
        <x:v>77</x:v>
      </x:c>
      <x:c r="G29" s="44"/>
      <x:c r="H29" s="44"/>
      <x:c r="I29" s="44"/>
      <x:c r="J29" s="44"/>
      <x:c r="K29" s="44"/>
    </x:row>
    <x:row r="30" ht="25.5" hidden="0" customHeight="1">
      <x:c r="B30" s="10" t="s">
        <x:v>78</x:v>
      </x:c>
      <x:c r="C30" s="42"/>
      <x:c r="D30" s="42"/>
      <x:c r="E30" s="43" t="s">
        <x:v>79</x:v>
      </x:c>
      <x:c r="F30" s="44" t="s">
        <x:v>80</x:v>
      </x:c>
      <x:c r="G30" s="44"/>
      <x:c r="H30" s="44"/>
      <x:c r="I30" s="44"/>
      <x:c r="J30" s="44"/>
      <x:c r="K30" s="44"/>
    </x:row>
    <x:row r="31" ht="7.5" hidden="0" customHeight="1"/>
    <x:row r="32" ht="19.5" hidden="0" customHeight="1">
      <x:c r="A32" s="4" t="s">
        <x:v>81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4"/>
    </x:row>
    <x:row r="33" ht="30" hidden="0" customHeight="1">
      <x:c r="B33" s="25" t="s">
        <x:v>82</x:v>
      </x:c>
      <x:c r="C33" s="25" t="s">
        <x:v>83</x:v>
      </x:c>
      <x:c r="D33" s="25" t="s">
        <x:v>84</x:v>
      </x:c>
      <x:c r="E33" s="25" t="s">
        <x:v>85</x:v>
      </x:c>
      <x:c r="F33" s="26" t="s">
        <x:v>86</x:v>
      </x:c>
      <x:c r="G33" s="26"/>
      <x:c r="H33" s="26"/>
      <x:c r="I33" s="26"/>
      <x:c r="J33" s="26"/>
      <x:c r="K33" s="26"/>
    </x:row>
    <x:row r="34" ht="25.5" hidden="0" customHeight="1">
      <x:c r="B34" s="10" t="s">
        <x:v>87</x:v>
      </x:c>
      <x:c r="C34" s="32" t="n">
        <x:f aca="0">$G$5</x:f>
        <x:v>0</x:v>
      </x:c>
      <x:c r="D34" s="32" t="n">
        <x:f aca="0">IFERROR(F20,"")</x:f>
        <x:v>0</x:v>
      </x:c>
      <x:c r="E34" s="32" t="n">
        <x:f aca="0">IFERROR(D34-C34,"")</x:f>
        <x:v>0</x:v>
      </x:c>
      <x:c r="F34" s="46" t="str">
        <x:f aca="0">IF(D34="","",IF(D34&gt;=C34,"✓ PASS","✗ FAIL — RE-ALLOCATE"))</x:f>
      </x:c>
      <x:c r="G34" s="47" t="str">
        <x:f aca="0">IF(D34="","",IF(D34&gt;=C34,"Portfolio passes IPS mandate. No re-allocation required. Proceed to Section 6 (Final Metrics).","FAIL: Portfolio breaches IPS Tripwire by "&amp;TEXT(ABS(D34-C34),"0.0%")&amp;". Complete Section 5 (Re-allocation) to bring portfolio within mandate before submitting."))</x:f>
      </x:c>
      <x:c r="H34" s="47"/>
      <x:c r="I34" s="47"/>
      <x:c r="J34" s="47"/>
      <x:c r="K34" s="47"/>
    </x:row>
    <x:row r="35" ht="25.5" hidden="0" customHeight="1">
      <x:c r="B35" s="12" t="s">
        <x:v>88</x:v>
      </x:c>
      <x:c r="C35" s="21"/>
      <x:c r="D35" s="32" t="str">
        <x:f aca="0">IF(C27&lt;&gt;"",C27,"")</x:f>
      </x:c>
      <x:c r="E35" s="32" t="n">
        <x:f aca="0">IFERROR(D35-C35,"")</x:f>
        <x:v>0</x:v>
      </x:c>
      <x:c r="F35" s="46" t="str">
        <x:f aca="0">IF(D35="","",IF(D35&lt;=C35,"✓ PASS","✗ EXCEED"))</x:f>
      </x:c>
      <x:c r="G35" s="48" t="s">
        <x:v>89</x:v>
      </x:c>
      <x:c r="H35" s="48"/>
      <x:c r="I35" s="48"/>
      <x:c r="J35" s="48"/>
      <x:c r="K35" s="48"/>
    </x:row>
    <x:row r="36" ht="7.5" hidden="0" customHeight="1"/>
    <x:row r="37" ht="19.5" hidden="0" customHeight="1">
      <x:c r="A37" s="49" t="s">
        <x:v>90</x:v>
      </x:c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</x:row>
    <x:row r="38" ht="31.5" hidden="0" customHeight="1">
      <x:c r="A38" s="50" t="s">
        <x:v>91</x:v>
      </x:c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</x:row>
    <x:row r="39" ht="18" hidden="0" customHeight="1">
      <x:c r="A39" s="51" t="s">
        <x:v>92</x:v>
      </x:c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</x:row>
    <x:row r="40" ht="30" hidden="0" customHeight="1">
      <x:c r="B40" s="25" t="s">
        <x:v>93</x:v>
      </x:c>
      <x:c r="C40" s="25" t="s">
        <x:v>94</x:v>
      </x:c>
      <x:c r="D40" s="25" t="s">
        <x:v>95</x:v>
      </x:c>
      <x:c r="E40" s="25" t="s">
        <x:v>96</x:v>
      </x:c>
      <x:c r="F40" s="25" t="s">
        <x:v>97</x:v>
      </x:c>
      <x:c r="G40" s="26" t="s">
        <x:v>98</x:v>
      </x:c>
      <x:c r="H40" s="26"/>
      <x:c r="I40" s="26"/>
      <x:c r="J40" s="26"/>
      <x:c r="K40" s="26"/>
    </x:row>
    <x:row r="41" ht="21.75" hidden="0" customHeight="1">
      <x:c r="B41" s="18"/>
      <x:c r="C41" s="18"/>
      <x:c r="D41" s="21"/>
      <x:c r="E41" s="21"/>
      <x:c r="F41" s="33" t="str">
        <x:f aca="0">IF(AND(D41&lt;&gt;"",E41&lt;&gt;""),(E41-D41)*500000,"")</x:f>
      </x:c>
      <x:c r="G41" s="28"/>
      <x:c r="H41" s="28"/>
      <x:c r="I41" s="28"/>
      <x:c r="J41" s="28"/>
      <x:c r="K41" s="28"/>
    </x:row>
    <x:row r="42" ht="21.75" hidden="0" customHeight="1">
      <x:c r="B42" s="18"/>
      <x:c r="C42" s="18"/>
      <x:c r="D42" s="21"/>
      <x:c r="E42" s="21"/>
      <x:c r="F42" s="33" t="str">
        <x:f aca="0">IF(AND(D42&lt;&gt;"",E42&lt;&gt;""),(E42-D42)*500000,"")</x:f>
      </x:c>
      <x:c r="G42" s="28"/>
      <x:c r="H42" s="28"/>
      <x:c r="I42" s="28"/>
      <x:c r="J42" s="28"/>
      <x:c r="K42" s="28"/>
    </x:row>
    <x:row r="43" ht="21.75" hidden="0" customHeight="1">
      <x:c r="B43" s="18"/>
      <x:c r="C43" s="18"/>
      <x:c r="D43" s="21"/>
      <x:c r="E43" s="21"/>
      <x:c r="F43" s="33" t="str">
        <x:f aca="0">IF(AND(D43&lt;&gt;"",E43&lt;&gt;""),(E43-D43)*500000,"")</x:f>
      </x:c>
      <x:c r="G43" s="28"/>
      <x:c r="H43" s="28"/>
      <x:c r="I43" s="28"/>
      <x:c r="J43" s="28"/>
      <x:c r="K43" s="28"/>
    </x:row>
    <x:row r="44" ht="21.75" hidden="0" customHeight="1">
      <x:c r="B44" s="18"/>
      <x:c r="C44" s="18"/>
      <x:c r="D44" s="21"/>
      <x:c r="E44" s="21"/>
      <x:c r="F44" s="33" t="str">
        <x:f aca="0">IF(AND(D44&lt;&gt;"",E44&lt;&gt;""),(E44-D44)*500000,"")</x:f>
      </x:c>
      <x:c r="G44" s="28"/>
      <x:c r="H44" s="28"/>
      <x:c r="I44" s="28"/>
      <x:c r="J44" s="28"/>
      <x:c r="K44" s="28"/>
    </x:row>
    <x:row r="45" ht="21.75" hidden="0" customHeight="1">
      <x:c r="B45" s="18"/>
      <x:c r="C45" s="18"/>
      <x:c r="D45" s="21"/>
      <x:c r="E45" s="21"/>
      <x:c r="F45" s="33" t="str">
        <x:f aca="0">IF(AND(D45&lt;&gt;"",E45&lt;&gt;""),(E45-D45)*500000,"")</x:f>
      </x:c>
      <x:c r="G45" s="28"/>
      <x:c r="H45" s="28"/>
      <x:c r="I45" s="28"/>
      <x:c r="J45" s="28"/>
      <x:c r="K45" s="28"/>
    </x:row>
    <x:row r="46" ht="21.75" hidden="0" customHeight="1">
      <x:c r="B46" s="18"/>
      <x:c r="C46" s="18"/>
      <x:c r="D46" s="21"/>
      <x:c r="E46" s="21"/>
      <x:c r="F46" s="33" t="str">
        <x:f aca="0">IF(AND(D46&lt;&gt;"",E46&lt;&gt;""),(E46-D46)*500000,"")</x:f>
      </x:c>
      <x:c r="G46" s="28"/>
      <x:c r="H46" s="28"/>
      <x:c r="I46" s="28"/>
      <x:c r="J46" s="28"/>
      <x:c r="K46" s="28"/>
    </x:row>
    <x:row r="47" ht="21.75" hidden="0" customHeight="1">
      <x:c r="A47" s="52" t="s">
        <x:v>99</x:v>
      </x:c>
      <x:c r="B47" s="52"/>
      <x:c r="C47" s="52"/>
      <x:c r="D47" s="32" t="n">
        <x:f aca="0">IFERROR(SUM(E41:E46),0)</x:f>
        <x:v>0</x:v>
      </x:c>
      <x:c r="E47" s="40" t="s">
        <x:v>100</x:v>
      </x:c>
      <x:c r="F47" s="40"/>
      <x:c r="G47" s="40"/>
      <x:c r="H47" s="40"/>
      <x:c r="I47" s="40"/>
      <x:c r="J47" s="40"/>
      <x:c r="K47" s="40"/>
    </x:row>
    <x:row r="48" ht="7.5" hidden="0" customHeight="1"/>
    <x:row r="49" ht="18" hidden="0" customHeight="1">
      <x:c r="A49" s="51" t="s">
        <x:v>101</x:v>
      </x:c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</x:row>
    <x:row r="50" ht="31.5" hidden="0" customHeight="1">
      <x:c r="A50" s="8" t="s">
        <x:v>102</x:v>
      </x:c>
      <x:c r="B50" s="8"/>
      <x:c r="C50" s="8"/>
      <x:c r="D50" s="8"/>
      <x:c r="E50" s="8"/>
      <x:c r="F50" s="8"/>
      <x:c r="G50" s="8"/>
      <x:c r="H50" s="8"/>
      <x:c r="I50" s="8"/>
      <x:c r="J50" s="8"/>
      <x:c r="K50" s="8"/>
    </x:row>
    <x:row r="51" ht="30" hidden="0" customHeight="1">
      <x:c r="B51" s="25" t="s">
        <x:v>47</x:v>
      </x:c>
      <x:c r="C51" s="25" t="s">
        <x:v>103</x:v>
      </x:c>
      <x:c r="D51" s="25" t="s">
        <x:v>104</x:v>
      </x:c>
      <x:c r="E51" s="25" t="s">
        <x:v>105</x:v>
      </x:c>
      <x:c r="F51" s="25" t="s">
        <x:v>106</x:v>
      </x:c>
      <x:c r="G51" s="26" t="s">
        <x:v>107</x:v>
      </x:c>
      <x:c r="H51" s="26"/>
      <x:c r="I51" s="26"/>
      <x:c r="J51" s="26"/>
      <x:c r="K51" s="26"/>
    </x:row>
    <x:row r="52" ht="21.75" hidden="0" customHeight="1">
      <x:c r="B52" s="27" t="s">
        <x:v>51</x:v>
      </x:c>
      <x:c r="C52" s="21"/>
      <x:c r="D52" s="31" t="str">
        <x:f aca="0">IF(C52&lt;&gt;"",C52*$E$5,"")</x:f>
      </x:c>
      <x:c r="E52" s="32" t="n">
        <x:f aca="0">C10</x:f>
        <x:v>0</x:v>
      </x:c>
      <x:c r="F52" s="32" t="str">
        <x:f aca="0">IF(C52&lt;&gt;"",C52*C10,"")</x:f>
      </x:c>
      <x:c r="G52" s="33" t="str">
        <x:f aca="0">IF(D52&lt;&gt;"",D52*C10,"")</x:f>
      </x:c>
      <x:c r="H52" s="53"/>
      <x:c r="I52" s="53"/>
      <x:c r="J52" s="53"/>
      <x:c r="K52" s="53"/>
    </x:row>
    <x:row r="53" ht="21.75" hidden="0" customHeight="1">
      <x:c r="B53" s="29" t="s">
        <x:v>52</x:v>
      </x:c>
      <x:c r="C53" s="21"/>
      <x:c r="D53" s="31" t="str">
        <x:f aca="0">IF(C53&lt;&gt;"",C53*$E$5,"")</x:f>
      </x:c>
      <x:c r="E53" s="32" t="n">
        <x:f aca="0">C11</x:f>
        <x:v>0</x:v>
      </x:c>
      <x:c r="F53" s="32" t="str">
        <x:f aca="0">IF(C53&lt;&gt;"",C53*C11,"")</x:f>
      </x:c>
      <x:c r="G53" s="33" t="str">
        <x:f aca="0">IF(D53&lt;&gt;"",D53*C11,"")</x:f>
      </x:c>
      <x:c r="H53" s="54"/>
      <x:c r="I53" s="54"/>
      <x:c r="J53" s="54"/>
      <x:c r="K53" s="54"/>
    </x:row>
    <x:row r="54" ht="21.75" hidden="0" customHeight="1">
      <x:c r="B54" s="27" t="s">
        <x:v>53</x:v>
      </x:c>
      <x:c r="C54" s="21"/>
      <x:c r="D54" s="31" t="str">
        <x:f aca="0">IF(C54&lt;&gt;"",C54*$E$5,"")</x:f>
      </x:c>
      <x:c r="E54" s="32" t="n">
        <x:f aca="0">C12</x:f>
        <x:v>0</x:v>
      </x:c>
      <x:c r="F54" s="32" t="str">
        <x:f aca="0">IF(C54&lt;&gt;"",C54*C12,"")</x:f>
      </x:c>
      <x:c r="G54" s="33" t="str">
        <x:f aca="0">IF(D54&lt;&gt;"",D54*C12,"")</x:f>
      </x:c>
      <x:c r="H54" s="53"/>
      <x:c r="I54" s="53"/>
      <x:c r="J54" s="53"/>
      <x:c r="K54" s="53"/>
    </x:row>
    <x:row r="55" ht="24" hidden="0" customHeight="1">
      <x:c r="A55" s="38" t="s">
        <x:v>108</x:v>
      </x:c>
      <x:c r="B55" s="38"/>
      <x:c r="C55" s="32" t="n">
        <x:f aca="0">IFERROR(SUM(C52:C54),0)</x:f>
        <x:v>0</x:v>
      </x:c>
      <x:c r="D55" s="31" t="n">
        <x:f aca="0">IFERROR(SUM(D52:D54),0)</x:f>
        <x:v>0</x:v>
      </x:c>
      <x:c r="E55" s="32"/>
      <x:c r="F55" s="32" t="n">
        <x:f aca="0">IFERROR(SUMPRODUCT(C52:C54,C10:C12),"")</x:f>
        <x:v>0</x:v>
      </x:c>
      <x:c r="G55" s="33" t="n">
        <x:f aca="0">IFERROR(SUM(G52:G54),"")</x:f>
        <x:v>0</x:v>
      </x:c>
    </x:row>
    <x:row r="56" ht="25.5" hidden="0" customHeight="1">
      <x:c r="B56" s="10" t="s">
        <x:v>109</x:v>
      </x:c>
      <x:c r="C56" s="32" t="n">
        <x:f aca="0">$G$5</x:f>
        <x:v>0</x:v>
      </x:c>
      <x:c r="D56" s="32" t="n">
        <x:f aca="0">IFERROR(F55,"")</x:f>
        <x:v>0</x:v>
      </x:c>
      <x:c r="E56" s="32" t="n">
        <x:f aca="0">IFERROR(D56-C56,"")</x:f>
        <x:v>0</x:v>
      </x:c>
      <x:c r="F56" s="46" t="str">
        <x:f aca="0">IF(D56="","",IF(D56&gt;=$G$5,"✓ REVISED PASS","✗ STILL FAILING — ADJUST FURTHER"))</x:f>
      </x:c>
      <x:c r="G56" s="48" t="s">
        <x:v>110</x:v>
      </x:c>
      <x:c r="H56" s="48"/>
      <x:c r="I56" s="48"/>
      <x:c r="J56" s="48"/>
      <x:c r="K56" s="48"/>
    </x:row>
    <x:row r="57" ht="7.5" hidden="0" customHeight="1"/>
    <x:row r="58" ht="19.5" hidden="0" customHeight="1">
      <x:c r="A58" s="4" t="s">
        <x:v>111</x:v>
      </x:c>
      <x:c r="B58" s="4"/>
      <x:c r="C58" s="4"/>
      <x:c r="D58" s="4"/>
      <x:c r="E58" s="4"/>
      <x:c r="F58" s="4"/>
      <x:c r="G58" s="4"/>
      <x:c r="H58" s="4"/>
      <x:c r="I58" s="4"/>
      <x:c r="J58" s="4"/>
      <x:c r="K58" s="4"/>
    </x:row>
    <x:row r="59" ht="31.5" hidden="0" customHeight="1">
      <x:c r="A59" s="8" t="str">
        <x:v>These are the final numbers your team submits. If you re-allocated in Section 5, use the revised portfolio metrics here. If the original portfolio passed, carry forward the verified Phase 2 metrics.</x:v>
      </x:c>
      <x:c r="B59" s="8"/>
      <x:c r="C59" s="8"/>
      <x:c r="D59" s="8"/>
      <x:c r="E59" s="8"/>
      <x:c r="F59" s="8"/>
      <x:c r="G59" s="8"/>
      <x:c r="H59" s="8"/>
      <x:c r="I59" s="8"/>
      <x:c r="J59" s="8"/>
      <x:c r="K59" s="8"/>
    </x:row>
    <x:row r="60" ht="30" hidden="0" customHeight="1">
      <x:c r="B60" s="25" t="s">
        <x:v>28</x:v>
      </x:c>
      <x:c r="C60" s="25" t="s">
        <x:v>112</x:v>
      </x:c>
      <x:c r="D60" s="25" t="s">
        <x:v>113</x:v>
      </x:c>
      <x:c r="E60" s="26" t="s">
        <x:v>114</x:v>
      </x:c>
      <x:c r="F60" s="26"/>
      <x:c r="G60" s="26"/>
      <x:c r="H60" s="26"/>
      <x:c r="I60" s="26"/>
      <x:c r="J60" s="26"/>
      <x:c r="K60" s="26"/>
    </x:row>
    <x:row r="61" ht="24" hidden="0" customHeight="1">
      <x:c r="B61" s="10" t="s">
        <x:v>36</x:v>
      </x:c>
      <x:c r="C61" s="42"/>
      <x:c r="D61" s="55" t="s">
        <x:v>115</x:v>
      </x:c>
      <x:c r="E61" s="44" t="str">
        <x:v>Weighted average β from the Phase 2 security-selection record</x:v>
      </x:c>
      <x:c r="F61" s="44"/>
      <x:c r="G61" s="44"/>
      <x:c r="H61" s="44"/>
      <x:c r="I61" s="44"/>
      <x:c r="J61" s="44"/>
      <x:c r="K61" s="44"/>
    </x:row>
    <x:row r="62" ht="24" hidden="0" customHeight="1">
      <x:c r="B62" s="12" t="s">
        <x:v>69</x:v>
      </x:c>
      <x:c r="C62" s="21"/>
      <x:c r="D62" s="55" t="str">
        <x:v>Must be ≤ IPS Max σ from Phase 1</x:v>
      </x:c>
      <x:c r="E62" s="44" t="str">
        <x:v>From the Phase 2 CME Matrix (Solver output)</x:v>
      </x:c>
      <x:c r="F62" s="44"/>
      <x:c r="G62" s="44"/>
      <x:c r="H62" s="44"/>
      <x:c r="I62" s="44"/>
      <x:c r="J62" s="44"/>
      <x:c r="K62" s="44"/>
    </x:row>
    <x:row r="63" ht="24" hidden="0" customHeight="1">
      <x:c r="B63" s="10" t="s">
        <x:v>116</x:v>
      </x:c>
      <x:c r="C63" s="42"/>
      <x:c r="D63" s="55" t="s">
        <x:v>117</x:v>
      </x:c>
      <x:c r="E63" s="44" t="s">
        <x:v>118</x:v>
      </x:c>
      <x:c r="F63" s="44"/>
      <x:c r="G63" s="44"/>
      <x:c r="H63" s="44"/>
      <x:c r="I63" s="44"/>
      <x:c r="J63" s="44"/>
      <x:c r="K63" s="44"/>
    </x:row>
    <x:row r="64" ht="24" hidden="0" customHeight="1">
      <x:c r="B64" s="12" t="s">
        <x:v>33</x:v>
      </x:c>
      <x:c r="C64" s="21"/>
      <x:c r="D64" s="55" t="s">
        <x:v>119</x:v>
      </x:c>
      <x:c r="E64" s="44" t="s">
        <x:v>120</x:v>
      </x:c>
      <x:c r="F64" s="44"/>
      <x:c r="G64" s="44"/>
      <x:c r="H64" s="44"/>
      <x:c r="I64" s="44"/>
      <x:c r="J64" s="44"/>
      <x:c r="K64" s="44"/>
    </x:row>
    <x:row r="65" ht="24" hidden="0" customHeight="1">
      <x:c r="B65" s="10" t="s">
        <x:v>121</x:v>
      </x:c>
      <x:c r="C65" s="56"/>
      <x:c r="D65" s="55" t="s">
        <x:v>122</x:v>
      </x:c>
      <x:c r="E65" s="44" t="s">
        <x:v>120</x:v>
      </x:c>
      <x:c r="F65" s="44"/>
      <x:c r="G65" s="44"/>
      <x:c r="H65" s="44"/>
      <x:c r="I65" s="44"/>
      <x:c r="J65" s="44"/>
      <x:c r="K65" s="44"/>
    </x:row>
    <x:row r="66" ht="24" hidden="0" customHeight="1">
      <x:c r="B66" s="12" t="s">
        <x:v>123</x:v>
      </x:c>
      <x:c r="C66" s="57"/>
      <x:c r="D66" s="55" t="s">
        <x:v>124</x:v>
      </x:c>
      <x:c r="E66" s="44" t="s">
        <x:v>125</x:v>
      </x:c>
      <x:c r="F66" s="44"/>
      <x:c r="G66" s="44"/>
      <x:c r="H66" s="44"/>
      <x:c r="I66" s="44"/>
      <x:c r="J66" s="44"/>
      <x:c r="K66" s="44"/>
    </x:row>
    <x:row r="68" ht="7.5" hidden="0" customHeight="1"/>
    <x:row r="69" ht="19.5" hidden="0" customHeight="1">
      <x:c r="A69" s="4" t="s">
        <x:v>126</x:v>
      </x:c>
      <x:c r="B69" s="4"/>
      <x:c r="C69" s="4"/>
      <x:c r="D69" s="4"/>
      <x:c r="E69" s="4"/>
      <x:c r="F69" s="4"/>
      <x:c r="G69" s="4"/>
      <x:c r="H69" s="4"/>
      <x:c r="I69" s="4"/>
      <x:c r="J69" s="4"/>
      <x:c r="K69" s="4"/>
    </x:row>
    <x:row r="70" ht="18" hidden="0" customHeight="1">
      <x:c r="B70" s="58" t="s">
        <x:v>127</x:v>
      </x:c>
      <x:c r="C70" s="7" t="s">
        <x:v>128</x:v>
      </x:c>
      <x:c r="D70" s="7"/>
      <x:c r="E70" s="7"/>
      <x:c r="F70" s="7"/>
      <x:c r="G70" s="7"/>
      <x:c r="H70" s="7"/>
      <x:c r="I70" s="7"/>
      <x:c r="J70" s="7"/>
      <x:c r="K70" s="7"/>
    </x:row>
    <x:row r="71" ht="18" hidden="0" customHeight="1">
      <x:c r="B71" s="59" t="s">
        <x:v>127</x:v>
      </x:c>
      <x:c r="C71" s="7" t="s">
        <x:v>129</x:v>
      </x:c>
      <x:c r="D71" s="7"/>
      <x:c r="E71" s="7"/>
      <x:c r="F71" s="7"/>
      <x:c r="G71" s="7"/>
      <x:c r="H71" s="7"/>
      <x:c r="I71" s="7"/>
      <x:c r="J71" s="7"/>
      <x:c r="K71" s="7"/>
    </x:row>
    <x:row r="72" ht="18" hidden="0" customHeight="1">
      <x:c r="B72" s="60" t="s">
        <x:v>127</x:v>
      </x:c>
      <x:c r="C72" s="7" t="s">
        <x:v>130</x:v>
      </x:c>
      <x:c r="D72" s="7"/>
      <x:c r="E72" s="7"/>
      <x:c r="F72" s="7"/>
      <x:c r="G72" s="7"/>
      <x:c r="H72" s="7"/>
      <x:c r="I72" s="7"/>
      <x:c r="J72" s="7"/>
      <x:c r="K72" s="7"/>
    </x:row>
    <x:row r="73" ht="18" hidden="0" customHeight="1">
      <x:c r="B73" s="61" t="s">
        <x:v>127</x:v>
      </x:c>
      <x:c r="C73" s="7" t="s">
        <x:v>131</x:v>
      </x:c>
      <x:c r="D73" s="7"/>
      <x:c r="E73" s="7"/>
      <x:c r="F73" s="7"/>
      <x:c r="G73" s="7"/>
      <x:c r="H73" s="7"/>
      <x:c r="I73" s="7"/>
      <x:c r="J73" s="7"/>
      <x:c r="K73" s="7"/>
    </x:row>
    <x:row r="74" ht="18" hidden="0" customHeight="1">
      <x:c r="B74" s="62" t="s">
        <x:v>127</x:v>
      </x:c>
      <x:c r="C74" s="7" t="s">
        <x:v>132</x:v>
      </x:c>
      <x:c r="D74" s="7"/>
      <x:c r="E74" s="7"/>
      <x:c r="F74" s="7"/>
      <x:c r="G74" s="7"/>
      <x:c r="H74" s="7"/>
      <x:c r="I74" s="7"/>
      <x:c r="J74" s="7"/>
      <x:c r="K74" s="7"/>
    </x:row>
    <x:row r="75" ht="18" hidden="0" customHeight="1">
      <x:c r="B75" s="63" t="s">
        <x:v>127</x:v>
      </x:c>
      <x:c r="C75" s="7" t="s">
        <x:v>133</x:v>
      </x:c>
      <x:c r="D75" s="7"/>
      <x:c r="E75" s="7"/>
      <x:c r="F75" s="7"/>
      <x:c r="G75" s="7"/>
      <x:c r="H75" s="7"/>
      <x:c r="I75" s="7"/>
      <x:c r="J75" s="7"/>
      <x:c r="K75" s="7"/>
    </x:row>
  </x:sheetData>
  <x:mergeCells>
    <x:mergeCell ref="A2:K2"/>
    <x:mergeCell ref="A3:K3"/>
    <x:mergeCell ref="A7:K7"/>
    <x:mergeCell ref="A8:K8"/>
    <x:mergeCell ref="E9:K9"/>
    <x:mergeCell ref="E10:K10"/>
    <x:mergeCell ref="E11:K11"/>
    <x:mergeCell ref="E12:K12"/>
    <x:mergeCell ref="A14:K14"/>
    <x:mergeCell ref="A15:K15"/>
    <x:mergeCell ref="I16:K16"/>
    <x:mergeCell ref="I17:K17"/>
    <x:mergeCell ref="I18:K18"/>
    <x:mergeCell ref="I19:K19"/>
    <x:mergeCell ref="A20:B20"/>
    <x:mergeCell ref="H20:K20"/>
    <x:mergeCell ref="A22:K22"/>
    <x:mergeCell ref="A23:K23"/>
    <x:mergeCell ref="F24:K24"/>
    <x:mergeCell ref="D25:K25"/>
    <x:mergeCell ref="F26:K26"/>
    <x:mergeCell ref="F27:K27"/>
    <x:mergeCell ref="F28:K28"/>
    <x:mergeCell ref="F29:K29"/>
    <x:mergeCell ref="F30:K30"/>
    <x:mergeCell ref="A32:K32"/>
    <x:mergeCell ref="F33:K33"/>
    <x:mergeCell ref="G34:K34"/>
    <x:mergeCell ref="G35:K35"/>
    <x:mergeCell ref="A37:K37"/>
    <x:mergeCell ref="A38:K38"/>
    <x:mergeCell ref="A39:K39"/>
    <x:mergeCell ref="G40:K40"/>
    <x:mergeCell ref="G41:K41"/>
    <x:mergeCell ref="G42:K42"/>
    <x:mergeCell ref="G43:K43"/>
    <x:mergeCell ref="G44:K44"/>
    <x:mergeCell ref="G45:K45"/>
    <x:mergeCell ref="G46:K46"/>
    <x:mergeCell ref="A47:C47"/>
    <x:mergeCell ref="E47:K47"/>
    <x:mergeCell ref="A49:K49"/>
    <x:mergeCell ref="A50:K50"/>
    <x:mergeCell ref="G51:K51"/>
    <x:mergeCell ref="H52:K52"/>
    <x:mergeCell ref="H53:K53"/>
    <x:mergeCell ref="H54:K54"/>
    <x:mergeCell ref="A55:B55"/>
    <x:mergeCell ref="G56:K56"/>
    <x:mergeCell ref="A58:K58"/>
    <x:mergeCell ref="A59:K59"/>
    <x:mergeCell ref="E60:K60"/>
    <x:mergeCell ref="E61:K61"/>
    <x:mergeCell ref="E62:K62"/>
    <x:mergeCell ref="E63:K63"/>
    <x:mergeCell ref="E64:K64"/>
    <x:mergeCell ref="E65:K65"/>
    <x:mergeCell ref="E66:K66"/>
    <x:mergeCell ref="A69:K69"/>
    <x:mergeCell ref="C70:K70"/>
    <x:mergeCell ref="C71:K71"/>
    <x:mergeCell ref="C72:K72"/>
    <x:mergeCell ref="C73:K73"/>
    <x:mergeCell ref="C74:K74"/>
    <x:mergeCell ref="C75:K75"/>
  </x:mergeCells>
  <x:conditionalFormatting sqref="C20:C20">
    <x:cfRule type="cellIs" dxfId="0" priority="2" aboveAverage="0" percent="0" bottom="0" operator="equal" rank="0" equalAverage="0">
      <x:formula>1</x:formula>
    </x:cfRule>
    <x:cfRule type="cellIs" dxfId="1" priority="3" aboveAverage="0" percent="0" bottom="0" operator="notEqual" rank="0" equalAverage="0">
      <x:formula>1</x:formula>
    </x:cfRule>
  </x:conditionalFormatting>
  <x:conditionalFormatting sqref="F34:F34">
    <x:cfRule type="expression" dxfId="4" priority="4" aboveAverage="0" percent="0" bottom="0" rank="0" equalAverage="0">
      <x:formula>D34&gt;=C34</x:formula>
    </x:cfRule>
    <x:cfRule type="expression" dxfId="5" priority="5" aboveAverage="0" percent="0" bottom="0" rank="0" equalAverage="0">
      <x:formula>AND(D34&lt;&gt;"",D34&lt;C34)</x:formula>
    </x:cfRule>
  </x:conditionalFormatting>
  <x:conditionalFormatting sqref="F35:F35">
    <x:cfRule type="expression" dxfId="4" priority="6" aboveAverage="0" percent="0" bottom="0" rank="0" equalAverage="0">
      <x:formula>AND(D35&lt;&gt;"",D35&lt;=C35)</x:formula>
    </x:cfRule>
    <x:cfRule type="expression" dxfId="6" priority="7" aboveAverage="0" percent="0" bottom="0" rank="0" equalAverage="0">
      <x:formula>AND(D35&lt;&gt;"",D35&gt;C35)</x:formula>
    </x:cfRule>
  </x:conditionalFormatting>
  <x:conditionalFormatting sqref="D47:D47">
    <x:cfRule type="cellIs" dxfId="0" priority="8" aboveAverage="0" percent="0" bottom="0" operator="equal" rank="0" equalAverage="0">
      <x:formula>1</x:formula>
    </x:cfRule>
    <x:cfRule type="cellIs" dxfId="1" priority="9" aboveAverage="0" percent="0" bottom="0" operator="notEqual" rank="0" equalAverage="0">
      <x:formula>1</x:formula>
    </x:cfRule>
  </x:conditionalFormatting>
  <x:conditionalFormatting sqref="F56:F56">
    <x:cfRule type="expression" dxfId="4" priority="10" aboveAverage="0" percent="0" bottom="0" rank="0" equalAverage="0">
      <x:formula>D56&gt;=$G$5</x:formula>
    </x:cfRule>
    <x:cfRule type="expression" dxfId="5" priority="11" aboveAverage="0" percent="0" bottom="0" rank="0" equalAverage="0">
      <x:formula>AND(D56&lt;&gt;"",D56&lt;$G$5)</x:formula>
    </x:cfRule>
  </x:conditionalFormatting>
  <x:dataValidations count="1">
    <x:dataValidation type="list" errorStyle="stop" operator="between" allowBlank="1" showDropDown="0" showInputMessage="0" showErrorMessage="0" sqref="B41:B46">
      <x:formula1>"BUY,SELL,HOLD"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a4eee8eb9e7744d2"/>
</x:worksheet>
</file>