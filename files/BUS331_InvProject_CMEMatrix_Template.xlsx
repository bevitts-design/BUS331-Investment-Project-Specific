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31-Investments/BME- Spring 2026 T-TH BUS331-02 Investments/Investment Project and Presentation Information/Project Files/Phase 2 - 6 Sections/"/>
    </mc:Choice>
  </mc:AlternateContent>
  <xr:revisionPtr revIDLastSave="3" documentId="11_1212E2A2326106E1570DF09BE7FA80FED8318BAC" xr6:coauthVersionLast="47" xr6:coauthVersionMax="47" xr10:uidLastSave="{1FDEF13D-301D-47B7-BE8C-59544CA2F9DA}"/>
  <bookViews>
    <workbookView xWindow="-120" yWindow="-120" windowWidth="29040" windowHeight="15720" tabRatio="500" activeTab="1" xr2:uid="{00000000-000D-0000-FFFF-FFFF00000000}"/>
  </bookViews>
  <sheets>
    <sheet name="START HERE" sheetId="1" r:id="rId1"/>
    <sheet name="BASE CASE" sheetId="2" r:id="rId2"/>
    <sheet name="BEAR CA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G26" i="3"/>
  <c r="F26" i="3"/>
  <c r="H25" i="3"/>
  <c r="G25" i="3"/>
  <c r="F25" i="3"/>
  <c r="H24" i="3"/>
  <c r="G24" i="3"/>
  <c r="F24" i="3"/>
  <c r="D18" i="3"/>
  <c r="C18" i="3"/>
  <c r="C17" i="3"/>
  <c r="H26" i="2"/>
  <c r="G26" i="2"/>
  <c r="F26" i="2"/>
  <c r="H25" i="2"/>
  <c r="G25" i="2"/>
  <c r="F25" i="2"/>
  <c r="H24" i="2"/>
  <c r="G24" i="2"/>
  <c r="F24" i="2"/>
  <c r="D18" i="2"/>
  <c r="C18" i="2"/>
  <c r="C17" i="2"/>
  <c r="D39" i="2" l="1"/>
  <c r="F39" i="2" s="1"/>
  <c r="D37" i="2"/>
  <c r="F37" i="2" s="1"/>
  <c r="I25" i="2"/>
  <c r="I26" i="3"/>
  <c r="D38" i="2"/>
  <c r="F38" i="2" s="1"/>
  <c r="D37" i="3"/>
  <c r="F37" i="3" s="1"/>
  <c r="D38" i="3"/>
  <c r="F38" i="3" s="1"/>
  <c r="I24" i="3"/>
  <c r="I25" i="3"/>
  <c r="D39" i="3"/>
  <c r="F39" i="3" s="1"/>
  <c r="I26" i="2"/>
  <c r="I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8" authorId="0" shapeId="0" xr:uid="{00000000-0006-0000-0100-00000B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9" authorId="0" shapeId="0" xr:uid="{00000000-0006-0000-0100-000002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9" authorId="0" shapeId="0" xr:uid="{00000000-0006-0000-0100-00000C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10" authorId="0" shapeId="0" xr:uid="{00000000-0006-0000-0100-000003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10" authorId="0" shapeId="0" xr:uid="{00000000-0006-0000-0100-00000D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D16" authorId="0" shapeId="0" xr:uid="{00000000-0006-0000-0100-00000E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6" authorId="0" shapeId="0" xr:uid="{00000000-0006-0000-0100-000012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7" authorId="0" shapeId="0" xr:uid="{00000000-0006-0000-0100-000013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C24" authorId="0" shapeId="0" xr:uid="{00000000-0006-0000-0100-00000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4" authorId="0" shapeId="0" xr:uid="{00000000-0006-0000-0100-00000F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4" authorId="0" shapeId="0" xr:uid="{00000000-0006-0000-0100-00001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5" authorId="0" shapeId="0" xr:uid="{00000000-0006-0000-0100-00000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5" authorId="0" shapeId="0" xr:uid="{00000000-0006-0000-0100-000010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5" authorId="0" shapeId="0" xr:uid="{00000000-0006-0000-0100-00001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6" authorId="0" shapeId="0" xr:uid="{00000000-0006-0000-0100-00000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6" authorId="0" shapeId="0" xr:uid="{00000000-0006-0000-0100-000011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6" authorId="0" shapeId="0" xr:uid="{00000000-0006-0000-0100-00001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31" authorId="0" shapeId="0" xr:uid="{00000000-0006-0000-0100-000007000000}">
      <text>
        <r>
          <rPr>
            <sz val="10"/>
            <rFont val="Arial"/>
            <family val="2"/>
          </rPr>
          <t>Enter current 3-Month T-Bill yield. Source: FRED series TB3MS or FactSet @YIELD.</t>
        </r>
      </text>
    </comment>
    <comment ref="C37" authorId="0" shapeId="0" xr:uid="{00000000-0006-0000-0100-000008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7" authorId="0" shapeId="0" xr:uid="{00000000-0006-0000-0100-000017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8" authorId="0" shapeId="0" xr:uid="{00000000-0006-0000-0100-000009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8" authorId="0" shapeId="0" xr:uid="{00000000-0006-0000-0100-000018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9" authorId="0" shapeId="0" xr:uid="{00000000-0006-0000-0100-00000A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9" authorId="0" shapeId="0" xr:uid="{00000000-0006-0000-0100-000019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200-000001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8" authorId="0" shapeId="0" xr:uid="{00000000-0006-0000-0200-00000B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9" authorId="0" shapeId="0" xr:uid="{00000000-0006-0000-0200-000002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9" authorId="0" shapeId="0" xr:uid="{00000000-0006-0000-0200-00000C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C10" authorId="0" shapeId="0" xr:uid="{00000000-0006-0000-0200-000003000000}">
      <text>
        <r>
          <rPr>
            <sz val="10"/>
            <rFont val="Arial"/>
            <family val="2"/>
          </rPr>
          <t>Enter expected annual return. Source from Phase 1 thesis / FactSet @ECO consensus.</t>
        </r>
      </text>
    </comment>
    <comment ref="D10" authorId="0" shapeId="0" xr:uid="{00000000-0006-0000-0200-00000D000000}">
      <text>
        <r>
          <rPr>
            <sz val="10"/>
            <rFont val="Arial"/>
            <family val="2"/>
          </rPr>
          <t>Enter annualized standard deviation. Source from historical data in FactSet or FRED.</t>
        </r>
      </text>
    </comment>
    <comment ref="D16" authorId="0" shapeId="0" xr:uid="{00000000-0006-0000-0200-00000E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6" authorId="0" shapeId="0" xr:uid="{00000000-0006-0000-0200-000012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E17" authorId="0" shapeId="0" xr:uid="{00000000-0006-0000-0200-000013000000}">
      <text>
        <r>
          <rPr>
            <sz val="10"/>
            <rFont val="Arial"/>
            <family val="2"/>
          </rPr>
          <t>Enter correlation between these two asset classes. Range: –1.0 to 1.0.</t>
        </r>
      </text>
    </comment>
    <comment ref="C24" authorId="0" shapeId="0" xr:uid="{00000000-0006-0000-0200-00000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4" authorId="0" shapeId="0" xr:uid="{00000000-0006-0000-0200-00000F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4" authorId="0" shapeId="0" xr:uid="{00000000-0006-0000-0200-000014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5" authorId="0" shapeId="0" xr:uid="{00000000-0006-0000-0200-00000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5" authorId="0" shapeId="0" xr:uid="{00000000-0006-0000-0200-000010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5" authorId="0" shapeId="0" xr:uid="{00000000-0006-0000-0200-000015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26" authorId="0" shapeId="0" xr:uid="{00000000-0006-0000-0200-00000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D26" authorId="0" shapeId="0" xr:uid="{00000000-0006-0000-0200-000011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E26" authorId="0" shapeId="0" xr:uid="{00000000-0006-0000-0200-000016000000}">
      <text>
        <r>
          <rPr>
            <sz val="10"/>
            <rFont val="Arial"/>
            <family val="2"/>
          </rPr>
          <t>Enter weight from Excel Solver output. Source: Solver optimization (Phase 3).</t>
        </r>
      </text>
    </comment>
    <comment ref="C31" authorId="0" shapeId="0" xr:uid="{00000000-0006-0000-0200-000007000000}">
      <text>
        <r>
          <rPr>
            <sz val="10"/>
            <rFont val="Arial"/>
            <family val="2"/>
          </rPr>
          <t>Enter current 3-Month T-Bill yield. Source: FRED series TB3MS or FactSet @YIELD.</t>
        </r>
      </text>
    </comment>
    <comment ref="C37" authorId="0" shapeId="0" xr:uid="{00000000-0006-0000-0200-000008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7" authorId="0" shapeId="0" xr:uid="{00000000-0006-0000-0200-000017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8" authorId="0" shapeId="0" xr:uid="{00000000-0006-0000-0200-000009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8" authorId="0" shapeId="0" xr:uid="{00000000-0006-0000-0200-000018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  <comment ref="C39" authorId="0" shapeId="0" xr:uid="{00000000-0006-0000-0200-00000A000000}">
      <text>
        <r>
          <rPr>
            <sz val="10"/>
            <rFont val="Arial"/>
            <family val="2"/>
          </rPr>
          <t>Enter the maximum σ constraint from this client's IPS (Phase 2).</t>
        </r>
      </text>
    </comment>
    <comment ref="E39" authorId="0" shapeId="0" xr:uid="{00000000-0006-0000-0200-000019000000}">
      <text>
        <r>
          <rPr>
            <sz val="10"/>
            <rFont val="Arial"/>
            <family val="2"/>
          </rPr>
          <t>Enter the maximum drawdown (Tripwire) from this client's IPS (Phase 2). E.g., -10% enter as -0.10.</t>
        </r>
      </text>
    </comment>
  </commentList>
</comments>
</file>

<file path=xl/sharedStrings.xml><?xml version="1.0" encoding="utf-8"?>
<sst xmlns="http://schemas.openxmlformats.org/spreadsheetml/2006/main" count="151" uniqueCount="79">
  <si>
    <t>BUS 331 — CME Matrix Template
Phase 2 — Workstream A: Capital Market Expectations</t>
  </si>
  <si>
    <t>Capital Market Expectations Matrix  |  Endicott College</t>
  </si>
  <si>
    <t>Step 1 — Complete Phase 1 First</t>
  </si>
  <si>
    <t>Your macro thesis (GDP forecast, CPI outlook, yield curve view) must be finalized before entering any numbers here. Every input in this workbook flows from Phase 1.</t>
  </si>
  <si>
    <t>Step 2 — Fill in BASE CASE tab</t>
  </si>
  <si>
    <t>Enter expected returns, standard deviations, and correlations under your Base Case (50–60% probability). Source each input from FactSet or FRED.</t>
  </si>
  <si>
    <t>Step 3 — Fill in BEAR CASE tab</t>
  </si>
  <si>
    <t>Repeat for your Bear Case. Key change: push asset class correlations upward (toward 0.85–0.95). Equity returns drop; bond returns may also fall if inflation is the Bear driver.</t>
  </si>
  <si>
    <t>Step 4 — Enter IPS constraints</t>
  </si>
  <si>
    <t>Use the Phase 1 IPS constraints. In Section 5 of each tab, enter each client's maximum σ limit and maximum drawdown (Tripwire). The Status column will flag any constraint violations.</t>
  </si>
  <si>
    <t>Step 5 — Run Excel Solver</t>
  </si>
  <si>
    <t>Use Solver to maximize the Sharpe Ratio for each client (objective = Sharpe Ratio cell). Changing cells = the three weight cells. Constraints: weights sum to 100%; each weight ≥ 0%; portfolio σ ≤ IPS limit.</t>
  </si>
  <si>
    <t>Step 6 — Paste Solver results</t>
  </si>
  <si>
    <t>After Solver converges, paste the optimal weights into Section 3. The portfolio E(R), σ, and Sharpe Ratio will calculate automatically.</t>
  </si>
  <si>
    <t>Step 7 — AI Audit Log</t>
  </si>
  <si>
    <t>If you used any AI tool to suggest inputs (e.g., expected returns, correlations), document the prompt and your verification source in your team's AI Audit Log before submitting.</t>
  </si>
  <si>
    <t>EXCEL SOLVER SETUP — QUICK REFERENCE</t>
  </si>
  <si>
    <t>Set Objective:      Sharpe Ratio cell (column I, client row)  →  MAX</t>
  </si>
  <si>
    <t>By Changing Cells:  w₁, w₂, w₃ (columns C, D, E for that client row)</t>
  </si>
  <si>
    <t>Subject to:         C+D+E = 1  (weights sum to 100%)</t>
  </si>
  <si>
    <t xml:space="preserve">                    C, D, E ≥ 0  (no short-selling)</t>
  </si>
  <si>
    <t xml:space="preserve">                    Portfolio σ ≤ IPS max σ  (Section 5 constraint)</t>
  </si>
  <si>
    <t>Solving Method:     GRG Nonlinear</t>
  </si>
  <si>
    <t>Capital Market Expectations Matrix  —  Base Case</t>
  </si>
  <si>
    <t>BUS 331 Investments  |  Endicott College  |  Phase 2 — Workstream A: Capital Market Expectations</t>
  </si>
  <si>
    <t>⚠  All expected return and standard deviation inputs must be sourced from your Phase 1 macro thesis and verified against FactSet / FRED.</t>
  </si>
  <si>
    <t>SECTION 1 — INDIVIDUAL ASSET CLASS ASSUMPTIONS</t>
  </si>
  <si>
    <t>Asset Class</t>
  </si>
  <si>
    <t>Expected Return
E(R)</t>
  </si>
  <si>
    <t>Standard Deviation
(σ)</t>
  </si>
  <si>
    <t>Macro Justification
(cite Phase 1 source)</t>
  </si>
  <si>
    <t>U.S. Equities</t>
  </si>
  <si>
    <t>Fixed Income</t>
  </si>
  <si>
    <t>Cash / Cash Equivalents</t>
  </si>
  <si>
    <t>SECTION 2 — CORRELATION MATRIX</t>
  </si>
  <si>
    <t>Enter pairwise correlations (–1.0 to 1.0). Diagonal = 1.00 (asset with itself).</t>
  </si>
  <si>
    <t>Correlation (ρ)</t>
  </si>
  <si>
    <t>Cash</t>
  </si>
  <si>
    <t>SECTION 3 — PORTFOLIO WEIGHTS &amp; EXPECTED PORTFOLIO STATISTICS</t>
  </si>
  <si>
    <t>Enter portfolio weights for each client below. Weights must sum to 100%. After running Excel Solver, paste final optimized weights here.</t>
  </si>
  <si>
    <t>U.S. Equities
Weight (w₁)</t>
  </si>
  <si>
    <t>Fixed Income
Weight (w₂)</t>
  </si>
  <si>
    <t>Cash
Weight (w₃)</t>
  </si>
  <si>
    <t>∑ Weights
(must = 100%)</t>
  </si>
  <si>
    <t>Portfolio E(R)</t>
  </si>
  <si>
    <t>Portfolio σ</t>
  </si>
  <si>
    <t>Sharpe Ratio</t>
  </si>
  <si>
    <t>Client 1</t>
  </si>
  <si>
    <t>Client 2</t>
  </si>
  <si>
    <t>Client 3</t>
  </si>
  <si>
    <t>SECTION 4 — RISK-FREE RATE ASSUMPTION</t>
  </si>
  <si>
    <t>Risk-Free Rate (Rf)  — source: current 3-Month T-Bill yield from FRED</t>
  </si>
  <si>
    <t>Rf Value:</t>
  </si>
  <si>
    <t>SECTION 5 — IPS CONSTRAINT CHECK</t>
  </si>
  <si>
    <t>Use the Phase 1 IPS constraints. After entering weights, verify each client's portfolio σ does not exceed the approved standard deviation limit. Enter the IPS limits below for reference.</t>
  </si>
  <si>
    <t>IPS Max σ
(Phase 1 IPS)</t>
  </si>
  <si>
    <t>Portfolio σ
(computed above)</t>
  </si>
  <si>
    <t>IPS Max Drawdown
(Tripwire)</t>
  </si>
  <si>
    <t>Status</t>
  </si>
  <si>
    <t>DATA SOURCES &amp; AI AUDIT LOG REMINDER</t>
  </si>
  <si>
    <t>Expected Returns (E(R))</t>
  </si>
  <si>
    <t>FactSet @ECO (GDP / CPI consensus), Bloomberg, or team Phase 1 macro thesis</t>
  </si>
  <si>
    <t>Standard Deviations (σ)</t>
  </si>
  <si>
    <t>FRED, FactSet historical volatility data, or BKM textbook historical averages</t>
  </si>
  <si>
    <t>Correlations (ρ)</t>
  </si>
  <si>
    <t>FactSet @CORR screen, FRED, or BKM Exhibit 7.4 (historical correlations)</t>
  </si>
  <si>
    <t>Risk-Free Rate (Rf)</t>
  </si>
  <si>
    <t>FRED series TB3MS (3-Month T-Bill Secondary Market Rate)</t>
  </si>
  <si>
    <t>AI Audit Log</t>
  </si>
  <si>
    <t>Document any AI tool used to suggest inputs in your team's AI Audit Log. Verify every number.</t>
  </si>
  <si>
    <t>LEGEND</t>
  </si>
  <si>
    <t>Sample</t>
  </si>
  <si>
    <t>Student Input (Blue text = enter your value)</t>
  </si>
  <si>
    <t>Calculated Formula (do not edit)</t>
  </si>
  <si>
    <t>Fixed Value (diagonal of correlation matrix = 1.00)</t>
  </si>
  <si>
    <t>Label / Reference</t>
  </si>
  <si>
    <t>Capital Market Expectations Matrix  —  Bear Case</t>
  </si>
  <si>
    <t>⚠  BEAR CASE: Apply recessionary / stagflation assumptions. Increase correlations — asset class correlations converge toward 1.0 during a market panic. Adjust all returns downward per your Phase 1 Bear Case.</t>
  </si>
  <si>
    <t>Enter pairwise correlations (–1.0 to 1.0). Diagonal = 1.00 (asset with itself).  ▲ BEAR CASE: Push equity correlations toward 0.85–0.95 (flight-to-quality collapse).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</si>
</sst>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5A6A7E"/>
      <name val="Arial"/>
      <family val="2"/>
    </font>
    <font>
      <b/>
      <sz val="10"/>
      <color rgb="FFFFFFFF"/>
      <name val="Arial"/>
      <family val="2"/>
    </font>
    <font>
      <sz val="9"/>
      <color rgb="FF333333"/>
      <name val="Arial"/>
      <family val="2"/>
    </font>
    <font>
      <b/>
      <sz val="15"/>
      <color rgb="FFFFFFFF"/>
      <name val="Arial"/>
      <family val="2"/>
    </font>
    <font>
      <i/>
      <sz val="9"/>
      <color rgb="FF5A6A7E"/>
      <name val="Arial"/>
      <family val="2"/>
    </font>
    <font>
      <sz val="9"/>
      <color rgb="FF856404"/>
      <name val="Arial"/>
      <family val="2"/>
    </font>
    <font>
      <b/>
      <sz val="9"/>
      <color rgb="FFFFFFFF"/>
      <name val="Arial"/>
      <family val="2"/>
    </font>
    <font>
      <b/>
      <sz val="10"/>
      <color rgb="FF0A1628"/>
      <name val="Arial"/>
      <family val="2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A162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  <font>
      <sz val="9"/>
      <color rgb="FF0A1628"/>
      <name val="Arial"/>
      <family val="2"/>
    </font>
    <font>
      <sz val="9"/>
      <color rgb="FF721C2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FFF"/>
        <bgColor rgb="FFFFFDE7"/>
      </patternFill>
    </fill>
    <fill>
      <patternFill patternType="solid">
        <fgColor rgb="FFEBF3FA"/>
        <bgColor rgb="FFFFFFFF"/>
      </patternFill>
    </fill>
    <fill>
      <patternFill patternType="solid">
        <fgColor rgb="FFFFFDE7"/>
        <bgColor rgb="FFFFFFFF"/>
      </patternFill>
    </fill>
    <fill>
      <patternFill patternType="solid">
        <fgColor rgb="FFFFF3CD"/>
        <bgColor rgb="FFFFFDE7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4EDDA"/>
      </patternFill>
    </fill>
    <fill>
      <patternFill patternType="solid">
        <fgColor rgb="FFF8D7DA"/>
        <bgColor rgb="FFFFF3CD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medium">
        <color rgb="FFC9A84C"/>
      </left>
      <right/>
      <top/>
      <bottom/>
      <diagonal/>
    </border>
    <border>
      <left style="thin">
        <color rgb="FFCBD8E8"/>
      </left>
      <right/>
      <top style="thin">
        <color rgb="FFCBD8E8"/>
      </top>
      <bottom style="thin">
        <color rgb="FFCBD8E8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/>
      <right/>
      <top style="medium">
        <color rgb="FFC9A84C"/>
      </top>
      <bottom style="medium">
        <color rgb="FFC9A84C"/>
      </bottom>
      <diagonal/>
    </border>
    <border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>
      <left style="thin">
        <color rgb="FF0A1628"/>
      </left>
      <right/>
      <top style="thin">
        <color rgb="FF0A1628"/>
      </top>
      <bottom style="thin">
        <color rgb="FF0A1628"/>
      </bottom>
      <diagonal/>
    </border>
    <border>
      <left style="thin">
        <color rgb="FFCBD8E8"/>
      </left>
      <right style="thin">
        <color rgb="FFCBD8E8"/>
      </right>
      <top style="thin">
        <color rgb="FFCBD8E8"/>
      </top>
      <bottom style="thin">
        <color rgb="FFCBD8E8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/>
      <right/>
      <top style="medium">
        <color rgb="FFC0392B"/>
      </top>
      <bottom style="medium">
        <color rgb="FFC0392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9" fillId="9" borderId="10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/>
    </xf>
    <xf numFmtId="164" fontId="11" fillId="7" borderId="9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2" fontId="14" fillId="8" borderId="8" xfId="0" applyNumberFormat="1" applyFont="1" applyFill="1" applyBorder="1" applyAlignment="1">
      <alignment horizontal="center" vertical="center"/>
    </xf>
    <xf numFmtId="2" fontId="11" fillId="7" borderId="9" xfId="0" applyNumberFormat="1" applyFont="1" applyFill="1" applyBorder="1" applyAlignment="1">
      <alignment horizontal="center" vertical="center"/>
    </xf>
    <xf numFmtId="2" fontId="15" fillId="5" borderId="8" xfId="0" applyNumberFormat="1" applyFont="1" applyFill="1" applyBorder="1" applyAlignment="1">
      <alignment horizontal="center" vertical="center"/>
    </xf>
    <xf numFmtId="164" fontId="15" fillId="5" borderId="9" xfId="0" applyNumberFormat="1" applyFont="1" applyFill="1" applyBorder="1" applyAlignment="1">
      <alignment horizontal="center" vertical="center"/>
    </xf>
    <xf numFmtId="2" fontId="15" fillId="5" borderId="9" xfId="0" applyNumberFormat="1" applyFont="1" applyFill="1" applyBorder="1" applyAlignment="1">
      <alignment horizontal="center" vertical="center"/>
    </xf>
    <xf numFmtId="164" fontId="16" fillId="5" borderId="8" xfId="0" applyNumberFormat="1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1F6B3A"/>
      <rgbColor rgb="FFC0C0C0"/>
      <rgbColor rgb="FF808080"/>
      <rgbColor rgb="FF9999FF"/>
      <rgbColor rgb="FFC0392B"/>
      <rgbColor rgb="FFFFFDE7"/>
      <rgbColor rgb="FFEBF3FA"/>
      <rgbColor rgb="FF660066"/>
      <rgbColor rgb="FFFF8080"/>
      <rgbColor rgb="FF0066CC"/>
      <rgbColor rgb="FFCB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6A7E"/>
      <rgbColor rgb="FFC9A84C"/>
      <rgbColor rgb="FF003366"/>
      <rgbColor rgb="FF339966"/>
      <rgbColor rgb="FF0A1628"/>
      <rgbColor rgb="FF155724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628"/>
  </sheetPr>
  <dimension ref="A1:C33"/>
  <sheetViews>
    <sheetView showGridLines="0" topLeftCell="A10" zoomScaleNormal="100" workbookViewId="0">
      <selection activeCell="B19" sqref="B19:C19"/>
    </sheetView>
  </sheetViews>
  <sheetFormatPr defaultColWidth="8.7109375" defaultRowHeight="15" x14ac:dyDescent="0.25"/>
  <cols>
    <col min="1" max="1" width="2" customWidth="1"/>
    <col min="2" max="2" width="60" customWidth="1"/>
    <col min="3" max="3" width="30" customWidth="1"/>
  </cols>
  <sheetData>
    <row r="1" spans="1:3" ht="6" customHeight="1" x14ac:dyDescent="0.25"/>
    <row r="2" spans="1:3" ht="48" customHeight="1" x14ac:dyDescent="0.25">
      <c r="A2" s="14" t="s">
        <v>0</v>
      </c>
      <c r="B2" s="14"/>
      <c r="C2" s="14"/>
    </row>
    <row r="3" spans="1:3" ht="21.75" customHeight="1" x14ac:dyDescent="0.25">
      <c r="A3" s="13" t="s">
        <v>1</v>
      </c>
      <c r="B3" s="13"/>
      <c r="C3" s="13"/>
    </row>
    <row r="5" spans="1:3" ht="36" customHeight="1" x14ac:dyDescent="0.25">
      <c r="B5" s="12" t="inlineStr">
        <is>
          <t>This workbook sets the strategic allocation inputs that support the Phase 2 client portfolios and stress testing.</t>
        </is>
      </c>
      <c r="C5" s="12"/>
    </row>
    <row r="6" spans="1:3" ht="19.5" customHeight="1" x14ac:dyDescent="0.25">
      <c r="B6" s="15" t="inlineStr">
        <is>
          <t>Step 1 — Macro view</t>
        </is>
      </c>
    </row>
    <row r="7" spans="1:9" ht="34" customHeight="1" x14ac:dyDescent="0.25">
      <c r="B7" s="12" t="inlineStr">
        <is>
          <t>Finalize the Phase 1 economic story: growth, inflation, rates, and the key downside risk. These judgments anchor every assumption that follows.</t>
        </is>
      </c>
      <c r="C7" s="12"/>
    </row>
    <row r="8" spans="1:3" ht="13.5" customHeight="1" x14ac:dyDescent="0.25"/>
    <row r="9" spans="1:3" ht="19.5" customHeight="1" x14ac:dyDescent="0.25">
      <c r="B9" s="15" t="inlineStr">
        <is>
          <t>Step 2 — Build expectations</t>
        </is>
      </c>
    </row>
    <row r="10" spans="1:9" ht="34" customHeight="1" x14ac:dyDescent="0.25">
      <c r="B10" s="12" t="inlineStr">
        <is>
          <t>On BASE CASE, enter expected return, volatility, one source with its as-of date, a one-sentence macro rationale, and the specific Bear Case change you expect for each asset class.</t>
        </is>
      </c>
      <c r="C10" s="12"/>
    </row>
    <row r="11" spans="1:3" ht="13.5" customHeight="1" x14ac:dyDescent="0.25"/>
    <row r="12" spans="1:3" ht="19.5" customHeight="1" x14ac:dyDescent="0.25">
      <c r="B12" s="15" t="inlineStr">
        <is>
          <t>Step 3 — Build Base and Bear scenarios</t>
        </is>
      </c>
    </row>
    <row r="13" spans="1:9" ht="34" customHeight="1" x14ac:dyDescent="0.25">
      <c r="B13" s="12" t="inlineStr">
        <is>
          <t>Complete both scenarios. Change only returns, volatility, or correlations supported by the downside story; do not mechanically lower every return or push every correlation upward.</t>
        </is>
      </c>
      <c r="C13" s="12"/>
    </row>
    <row r="14" spans="1:3" ht="13.5" customHeight="1" x14ac:dyDescent="0.25"/>
    <row r="15" spans="1:3" ht="19.5" customHeight="1" x14ac:dyDescent="0.25">
      <c r="B15" s="15" t="inlineStr">
        <is>
          <t>Step 4 — Apply client constraints</t>
        </is>
      </c>
    </row>
    <row r="16" spans="1:9" ht="34" customHeight="1" x14ac:dyDescent="0.25">
      <c r="B16" s="12" t="inlineStr">
        <is>
          <t>Use the Phase 1 IPS constraints. Enter each client's maximum portfolio σ and drawdown tripwire in Section 5 of both scenario sheets.</t>
        </is>
      </c>
      <c r="C16" s="12"/>
    </row>
    <row r="17" spans="2:3" ht="13.5" customHeight="1" x14ac:dyDescent="0.25"/>
    <row r="18" spans="2:3" ht="19.5" customHeight="1" x14ac:dyDescent="0.25">
      <c r="B18" s="15" t="inlineStr">
        <is>
          <t>Step 5 — Run Solver-supported allocation</t>
        </is>
      </c>
    </row>
    <row r="19" spans="1:9" ht="34" customHeight="1" x14ac:dyDescent="0.25">
      <c r="B19" s="12" t="inlineStr">
        <is>
          <t>Run Solver one client at a time using the numbered checklist on that scenario sheet. Solver supports the allocation decision; it does not replace judgment.</t>
        </is>
      </c>
      <c r="C19" s="12"/>
    </row>
    <row r="20" spans="2:3" ht="13.5" customHeight="1" x14ac:dyDescent="0.25"/>
    <row r="21" spans="2:3" ht="19.5" customHeight="1" x14ac:dyDescent="0.25">
      <c r="B21" s="15" t="inlineStr">
        <is>
          <t>Step 6 — Stress test and compare</t>
        </is>
      </c>
    </row>
    <row r="22" spans="1:9" ht="34" customHeight="1" x14ac:dyDescent="0.25">
      <c r="B22" s="12" t="inlineStr">
        <is>
          <t>Compare Base and Bear results, constraint status, concentration, and trade-offs. Use the Bear Case to test resilience—not to manufacture a uniformly worse forecast.</t>
        </is>
      </c>
      <c r="C22" s="12"/>
    </row>
    <row r="23" spans="2:3" ht="13.5" customHeight="1" x14ac:dyDescent="0.25"/>
    <row r="24" spans="2:3" ht="19.5" customHeight="1" x14ac:dyDescent="0.25">
      <c r="B24" s="15" t="inlineStr">
        <is>
          <t>Step 7 — Recommend and document</t>
        </is>
      </c>
    </row>
    <row r="25" spans="1:9" ht="34" customHeight="1" x14ac:dyDescent="0.25">
      <c r="B25" s="12" t="inlineStr">
        <is>
          <t>Complete each client's Read the Result prompts, choose a defensible recommendation, and record any AI-assisted inputs in the team's AI Audit Log with independent verification.</t>
        </is>
      </c>
      <c r="C25" s="12"/>
    </row>
    <row r="27" spans="2:3" x14ac:dyDescent="0.25">
      <c r="B27" s="11" t="inlineStr">
        <is>
          <t>WORKFLOW AT A GLANCE</t>
        </is>
      </c>
      <c r="C27" s="11"/>
    </row>
    <row r="28" spans="1:9" ht="26" customHeight="1" x14ac:dyDescent="0.25">
      <c r="B28" s="10" t="inlineStr">
        <is>
          <t>Macro view → expectations → Base/Bear scenarios → client constraints</t>
        </is>
      </c>
      <c r="C28" s="10"/>
    </row>
    <row r="29" spans="1:9" ht="26" customHeight="1" x14ac:dyDescent="0.25">
      <c r="B29" s="10" t="inlineStr">
        <is>
          <t>Solver-supported allocation → stress test → recommendation</t>
        </is>
      </c>
      <c r="C29" s="10"/>
    </row>
    <row r="30" spans="1:9" ht="26" customHeight="1" x14ac:dyDescent="0.25">
      <c r="B30" s="10" t="inlineStr">
        <is>
          <t>Use the full Solver checklist and Read the Result prompts on each scenario sheet.</t>
        </is>
      </c>
      <c r="C30" s="10"/>
    </row>
    <row r="31" spans="1:9" ht="26" customHeight="1" x14ac:dyDescent="0.25">
      <c r="B31" s="10" t="inlineStr">
        <is>
          <t>Keep assumptions sourced, dated, and tied to the team's economic story.</t>
        </is>
      </c>
      <c r="C31" s="10"/>
    </row>
    <row r="32" spans="1:9" ht="26" customHeight="1" x14ac:dyDescent="0.25">
      <c r="B32" s="10" t="inlineStr">
        <is>
          <t>A mathematically optimal result is not automatically a suitable client recommendation.</t>
        </is>
      </c>
      <c r="C32" s="10"/>
    </row>
    <row r="33" spans="1:9" ht="26" customHeight="1" x14ac:dyDescent="0.25">
      <c r="B33" s="10" t="inlineStr">
        <is>
          <t>Document consequential judgment and any AI-assisted input in the project audit trail.</t>
        </is>
      </c>
      <c r="C33" s="10"/>
    </row>
  </sheetData>
  <mergeCells count="16">
    <mergeCell ref="B33:C33"/>
    <mergeCell ref="B28:C28"/>
    <mergeCell ref="B29:C29"/>
    <mergeCell ref="B30:C30"/>
    <mergeCell ref="B31:C31"/>
    <mergeCell ref="B32:C32"/>
    <mergeCell ref="B16:C16"/>
    <mergeCell ref="B19:C19"/>
    <mergeCell ref="B22:C22"/>
    <mergeCell ref="B25:C25"/>
    <mergeCell ref="B27:C27"/>
    <mergeCell ref="A2:C2"/>
    <mergeCell ref="A3:C3"/>
    <mergeCell ref="B7:C7"/>
    <mergeCell ref="B10:C10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3A"/>
  </sheetPr>
  <dimension ref="A1:I74"/>
  <sheetViews>
    <sheetView showGridLines="0" tabSelected="1" zoomScaleNormal="100" workbookViewId="0">
      <selection activeCell="I24" sqref="I24"/>
    </sheetView>
  </sheetViews>
  <sheetFormatPr defaultColWidth="8.7109375" defaultRowHeight="15" x14ac:dyDescent="0.25"/>
  <cols>
    <col min="1" max="1" width="2" customWidth="1"/>
    <col min="2" max="2" width="22" customWidth="1"/>
    <col min="3" max="4" width="14" customWidth="1"/>
    <col min="5" max="5" width="18" customWidth="1"/>
    <col min="6" max="6" width="13" customWidth="1"/>
    <col min="7" max="8" width="18" customWidth="1"/>
    <col min="9" max="9" width="27" customWidth="1"/>
  </cols>
  <sheetData>
    <row r="1" spans="1:9" ht="6" customHeight="1" x14ac:dyDescent="0.25"/>
    <row r="2" spans="1:9" ht="39.75" customHeight="1" x14ac:dyDescent="0.25">
      <c r="A2" s="9" t="s">
        <v>23</v>
      </c>
      <c r="B2" s="9"/>
      <c r="C2" s="9"/>
      <c r="D2" s="9"/>
      <c r="E2" s="9"/>
      <c r="F2" s="9"/>
      <c r="G2" s="9"/>
      <c r="H2" s="9"/>
      <c r="I2" s="9"/>
    </row>
    <row r="3" spans="1:9" ht="21.7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</row>
    <row r="4" spans="1:9" ht="38" customHeight="1" x14ac:dyDescent="0.25">
      <c r="A4" s="7" t="inlineStr">
        <is>
          <t>⚠  Build each expectation from the Phase 1 macro view, one dated source, and a concise economic rationale. Plan the specific Bear Case change before optimizing.</t>
        </is>
      </c>
      <c r="B4" s="7"/>
      <c r="C4" s="7"/>
      <c r="D4" s="7"/>
      <c r="E4" s="7"/>
      <c r="F4" s="7"/>
      <c r="G4" s="7"/>
      <c r="H4" s="7"/>
      <c r="I4" s="7"/>
    </row>
    <row r="5" spans="1:9" ht="18" customHeight="1" x14ac:dyDescent="0.25"/>
    <row r="6" spans="1:9" ht="31.5" customHeight="1" x14ac:dyDescent="0.25">
      <c r="A6" s="6" t="inlineStr">
        <is>
          <t>SECTION 1 — EXPECTATION BUILDER</t>
        </is>
      </c>
      <c r="B6" s="6"/>
      <c r="C6" s="6"/>
      <c r="D6" s="6"/>
      <c r="E6" s="6"/>
      <c r="F6" s="6"/>
      <c r="G6" s="6"/>
      <c r="H6" s="6"/>
      <c r="I6" s="6"/>
    </row>
    <row r="7" spans="1:9" ht="42" customHeight="1" x14ac:dyDescent="0.25">
      <c r="B7" s="16" t="inlineStr">
        <is>
          <t>Asset Class</t>
        </is>
      </c>
      <c r="C7" s="16" t="inlineStr">
        <is>
          <t>Expected Return
E(R)</t>
        </is>
      </c>
      <c r="D7" s="16" t="inlineStr">
        <is>
          <t>Volatility
(σ)</t>
        </is>
      </c>
      <c r="E7" s="5" t="inlineStr">
        <is>
          <t>Source + as-of date</t>
        </is>
      </c>
      <c r="F7" s="5"/>
      <c r="G7" s="5" t="inlineStr">
        <is>
          <t>One-sentence macro rationale</t>
        </is>
      </c>
      <c r="H7" s="5"/>
      <c r="I7" t="inlineStr" s="16">
        <is>
          <t>Bear-case change &amp; why</t>
        </is>
      </c>
    </row>
    <row r="8" spans="1:9" ht="50" customHeight="1" x14ac:dyDescent="0.25">
      <c r="B8" s="17" t="s">
        <v>31</v>
      </c>
      <c r="C8" s="18"/>
      <c r="D8" s="18"/>
      <c r="E8" s="4"/>
      <c r="F8" s="4"/>
      <c r="G8" s="4"/>
      <c r="H8" s="4"/>
      <c r="I8" s="4"/>
    </row>
    <row r="9" spans="1:9" ht="50" customHeight="1" x14ac:dyDescent="0.25">
      <c r="B9" s="17" t="s">
        <v>32</v>
      </c>
      <c r="C9" s="18"/>
      <c r="D9" s="18"/>
      <c r="E9" s="4"/>
      <c r="F9" s="4"/>
      <c r="G9" s="4"/>
      <c r="H9" s="4"/>
      <c r="I9" s="4"/>
    </row>
    <row r="10" spans="1:9" ht="50" customHeight="1" x14ac:dyDescent="0.25">
      <c r="B10" s="17" t="s">
        <v>33</v>
      </c>
      <c r="C10" s="18"/>
      <c r="D10" s="18"/>
      <c r="E10" s="4"/>
      <c r="F10" s="4"/>
      <c r="G10" s="4"/>
      <c r="H10" s="4"/>
      <c r="I10" s="4"/>
    </row>
    <row r="11" spans="1:9" ht="18" customHeight="1" x14ac:dyDescent="0.25"/>
    <row r="12" spans="1:9" ht="30" customHeight="1" x14ac:dyDescent="0.25"/>
    <row r="13" spans="1:9" ht="18" customHeight="1" x14ac:dyDescent="0.25">
      <c r="A13" s="11" t="s">
        <v>34</v>
      </c>
      <c r="B13" s="11"/>
      <c r="C13" s="11"/>
      <c r="D13" s="11"/>
      <c r="E13" s="11"/>
      <c r="F13" s="11"/>
      <c r="G13" s="11"/>
      <c r="H13" s="11"/>
      <c r="I13" s="11"/>
    </row>
    <row r="14" spans="1:9" ht="32" customHeight="1" x14ac:dyDescent="0.25">
      <c r="A14" s="12" t="inlineStr">
        <is>
          <t>Enter pairwise correlations (–1.0 to 1.0). Diagonal = 1.00. Keep them consistent with the same Base Case story.</t>
        </is>
      </c>
      <c r="B14" s="12"/>
      <c r="C14" s="12"/>
      <c r="D14" s="12"/>
      <c r="E14" s="12"/>
      <c r="F14" s="12"/>
      <c r="G14" s="12"/>
      <c r="H14" s="12"/>
      <c r="I14" s="12"/>
    </row>
    <row r="15" spans="1:9" ht="27.75" customHeight="1" x14ac:dyDescent="0.25">
      <c r="B15" s="19" t="s">
        <v>36</v>
      </c>
      <c r="C15" s="16" t="s">
        <v>31</v>
      </c>
      <c r="D15" s="16" t="s">
        <v>32</v>
      </c>
      <c r="E15" s="16" t="s">
        <v>37</v>
      </c>
    </row>
    <row r="16" spans="1:9" ht="18" customHeight="1" x14ac:dyDescent="0.25">
      <c r="B16" s="20" t="s">
        <v>31</v>
      </c>
      <c r="C16" s="21">
        <v>1</v>
      </c>
      <c r="D16" s="22"/>
      <c r="E16" s="22"/>
    </row>
    <row r="17" spans="1:9" ht="18" customHeight="1" x14ac:dyDescent="0.25">
      <c r="B17" s="20" t="s">
        <v>32</v>
      </c>
      <c r="C17" s="23">
        <f>D16</f>
        <v>0</v>
      </c>
      <c r="D17" s="21">
        <v>1</v>
      </c>
      <c r="E17" s="22"/>
    </row>
    <row r="18" spans="1:9" ht="18" customHeight="1" x14ac:dyDescent="0.25">
      <c r="B18" s="20" t="s">
        <v>37</v>
      </c>
      <c r="C18" s="23">
        <f>E16</f>
        <v>0</v>
      </c>
      <c r="D18" s="23">
        <f>E17</f>
        <v>0</v>
      </c>
      <c r="E18" s="21">
        <v>1</v>
      </c>
    </row>
    <row r="19" spans="1:9" ht="18" customHeight="1" x14ac:dyDescent="0.25"/>
    <row r="20" spans="1:9" ht="9.75" customHeight="1" x14ac:dyDescent="0.25"/>
    <row r="21" spans="1:9" ht="18" customHeight="1" x14ac:dyDescent="0.25">
      <c r="A21" s="11" t="s">
        <v>38</v>
      </c>
      <c r="B21" s="11"/>
      <c r="C21" s="11"/>
      <c r="D21" s="11"/>
      <c r="E21" s="11"/>
      <c r="F21" s="11"/>
      <c r="G21" s="11"/>
      <c r="H21" s="11"/>
      <c r="I21" s="11"/>
    </row>
    <row r="22" spans="1:9" ht="30" customHeight="1" x14ac:dyDescent="0.25">
      <c r="A22" s="12" t="inlineStr">
        <is>
          <t>Enter each client's starting weights, then run Solver one client at a time. Keep the Solver-supported weights only after completing the Section 6 usability checks.</t>
        </is>
      </c>
      <c r="B22" s="12"/>
      <c r="C22" s="12"/>
      <c r="D22" s="12"/>
      <c r="E22" s="12"/>
      <c r="F22" s="12"/>
      <c r="G22" s="12"/>
      <c r="H22" s="12"/>
      <c r="I22" s="12"/>
    </row>
    <row r="23" spans="1:9" ht="39.75" customHeight="1" x14ac:dyDescent="0.25">
      <c r="B23" s="19"/>
      <c r="C23" s="16" t="s">
        <v>40</v>
      </c>
      <c r="D23" s="16" t="s">
        <v>41</v>
      </c>
      <c r="E23" s="16" t="s">
        <v>42</v>
      </c>
      <c r="F23" s="16" t="s">
        <v>43</v>
      </c>
      <c r="G23" s="16" t="s">
        <v>44</v>
      </c>
      <c r="H23" s="16" t="s">
        <v>45</v>
      </c>
      <c r="I23" s="16" t="s">
        <v>46</v>
      </c>
    </row>
    <row r="24" spans="1:9" ht="21.75" customHeight="1" x14ac:dyDescent="0.25">
      <c r="B24" s="17" t="s">
        <v>47</v>
      </c>
      <c r="C24" s="18"/>
      <c r="D24" s="18"/>
      <c r="E24" s="18"/>
      <c r="F24" s="24">
        <f>C24+D24+E24</f>
        <v>0</v>
      </c>
      <c r="G24" s="24">
        <f>C24*C8+D24*C9+E24*C10</f>
        <v>0</v>
      </c>
      <c r="H24" s="24">
        <f>SQRT(C24^2*D8^2 + D24^2*D9^2 + E24^2*D10^2 + 2*C24*D24*D16*D8*D9 + 2*C24*E24*E16*D8*D10 + 2*D24*E24*E17*D9*D10)</f>
        <v>0</v>
      </c>
      <c r="I24" s="25" t="str">
        <f>IF(H24&gt;0,(G24-$C$31)/H24,"—")</f>
        <v>—</v>
      </c>
    </row>
    <row r="25" spans="1:9" ht="21.75" customHeight="1" x14ac:dyDescent="0.25">
      <c r="B25" s="17" t="s">
        <v>48</v>
      </c>
      <c r="C25" s="18"/>
      <c r="D25" s="18"/>
      <c r="E25" s="18"/>
      <c r="F25" s="24">
        <f>C25+D25+E25</f>
        <v>0</v>
      </c>
      <c r="G25" s="24">
        <f>C25*C8+D25*C9+E25*C10</f>
        <v>0</v>
      </c>
      <c r="H25" s="24">
        <f>SQRT(C25^2*D8^2 + D25^2*D9^2 + E25^2*D10^2 + 2*C25*D25*D16*D8*D9 + 2*C25*E25*E16*D8*D10 + 2*D25*E25*E17*D9*D10)</f>
        <v>0</v>
      </c>
      <c r="I25" s="25" t="str">
        <f>IF(H25&gt;0,(G25-$C$31)/H25,"—")</f>
        <v>—</v>
      </c>
    </row>
    <row r="26" spans="1:9" ht="21.75" customHeight="1" x14ac:dyDescent="0.25">
      <c r="B26" s="17" t="s">
        <v>49</v>
      </c>
      <c r="C26" s="18"/>
      <c r="D26" s="18"/>
      <c r="E26" s="18"/>
      <c r="F26" s="24">
        <f>C26+D26+E26</f>
        <v>0</v>
      </c>
      <c r="G26" s="24">
        <f>C26*C8+D26*C9+E26*C10</f>
        <v>0</v>
      </c>
      <c r="H26" s="24">
        <f>SQRT(C26^2*D8^2 + D26^2*D9^2 + E26^2*D10^2 + 2*C26*D26*D16*D8*D9 + 2*C26*E26*E16*D8*D10 + 2*D26*E26*E17*D9*D10)</f>
        <v>0</v>
      </c>
      <c r="I26" s="25" t="str">
        <f>IF(H26&gt;0,(G26-$C$31)/H26,"—")</f>
        <v>—</v>
      </c>
    </row>
    <row r="27" spans="1:9" ht="18" customHeight="1" x14ac:dyDescent="0.25"/>
    <row r="28" spans="1:9" ht="27.75" customHeight="1" x14ac:dyDescent="0.25"/>
    <row r="29" spans="1:9" ht="18" customHeight="1" x14ac:dyDescent="0.25">
      <c r="A29" s="11" t="s">
        <v>50</v>
      </c>
      <c r="B29" s="11"/>
      <c r="C29" s="11"/>
      <c r="D29" s="11"/>
      <c r="E29" s="11"/>
      <c r="F29" s="11"/>
      <c r="G29" s="11"/>
      <c r="H29" s="11"/>
      <c r="I29" s="11"/>
    </row>
    <row r="30" spans="1:9" ht="27.75" customHeight="1" x14ac:dyDescent="0.25">
      <c r="B30" s="12" t="s">
        <v>51</v>
      </c>
      <c r="C30" s="12"/>
      <c r="D30" s="12"/>
    </row>
    <row r="31" spans="1:9" ht="18" customHeight="1" x14ac:dyDescent="0.25">
      <c r="B31" s="17" t="s">
        <v>52</v>
      </c>
      <c r="C31" s="18"/>
    </row>
    <row r="32" spans="1:9" ht="18" customHeight="1" x14ac:dyDescent="0.25"/>
    <row r="33" spans="1:9" ht="9.75" customHeight="1" x14ac:dyDescent="0.25"/>
    <row r="34" spans="1:9" ht="18" customHeight="1" x14ac:dyDescent="0.25">
      <c r="A34" s="11" t="s">
        <v>53</v>
      </c>
      <c r="B34" s="11"/>
      <c r="C34" s="11"/>
      <c r="D34" s="11"/>
      <c r="E34" s="11"/>
      <c r="F34" s="11"/>
      <c r="G34" s="11"/>
      <c r="H34" s="11"/>
      <c r="I34" s="11"/>
    </row>
    <row r="35" spans="1:9" ht="30" customHeight="1" x14ac:dyDescent="0.25">
      <c r="A35" s="12" t="inlineStr">
        <is>
          <t>Use the Phase 1 IPS constraints. Portfolio σ is the active Solver risk limit; the drawdown tripwire remains a separate stress-test and recommendation check.</t>
        </is>
      </c>
      <c r="B35" s="12"/>
      <c r="C35" s="12"/>
      <c r="D35" s="12"/>
      <c r="E35" s="12"/>
      <c r="F35" s="12"/>
      <c r="G35" s="12"/>
      <c r="H35" s="12"/>
      <c r="I35" s="12"/>
    </row>
    <row r="36" spans="1:9" ht="36" customHeight="1" x14ac:dyDescent="0.25">
      <c r="B36" s="16"/>
      <c r="C36" s="16" t="s">
        <v>55</v>
      </c>
      <c r="D36" s="16" t="s">
        <v>56</v>
      </c>
      <c r="E36" s="16" t="s">
        <v>57</v>
      </c>
      <c r="F36" s="16" t="s">
        <v>58</v>
      </c>
    </row>
    <row r="37" spans="1:9" ht="21.75" customHeight="1" x14ac:dyDescent="0.25">
      <c r="B37" s="17" t="s">
        <v>47</v>
      </c>
      <c r="C37" s="18"/>
      <c r="D37" s="26">
        <f>H24</f>
        <v>0</v>
      </c>
      <c r="E37" s="18"/>
      <c r="F37" s="27" t="str">
        <f>IF(D37&lt;=C37,"✓ PASS","⚠ CHECK")</f>
        <v>✓ PASS</v>
      </c>
    </row>
    <row r="38" spans="1:9" ht="21.75" customHeight="1" x14ac:dyDescent="0.25">
      <c r="B38" s="17" t="s">
        <v>48</v>
      </c>
      <c r="C38" s="18"/>
      <c r="D38" s="26">
        <f>H25</f>
        <v>0</v>
      </c>
      <c r="E38" s="18"/>
      <c r="F38" s="27" t="str">
        <f>IF(D38&lt;=C38,"✓ PASS","⚠ CHECK")</f>
        <v>✓ PASS</v>
      </c>
    </row>
    <row r="39" spans="1:9" ht="21.75" customHeight="1" x14ac:dyDescent="0.25">
      <c r="B39" s="17" t="s">
        <v>49</v>
      </c>
      <c r="C39" s="18"/>
      <c r="D39" s="26">
        <f>H26</f>
        <v>0</v>
      </c>
      <c r="E39" s="18"/>
      <c r="F39" s="27" t="str">
        <f>IF(D39&lt;=C39,"✓ PASS","⚠ CHECK")</f>
        <v>✓ PASS</v>
      </c>
    </row>
    <row r="40" spans="1:9" ht="18" customHeight="1" x14ac:dyDescent="0.25"/>
    <row r="41" spans="1:9" ht="9.75" customHeight="1" x14ac:dyDescent="0.25"/>
    <row r="42" spans="1:9" ht="18" customHeight="1" x14ac:dyDescent="0.25">
      <c r="A42" s="11" t="s">
        <v>59</v>
      </c>
      <c r="B42" s="11"/>
      <c r="C42" s="11"/>
      <c r="D42" s="11"/>
      <c r="E42" s="11"/>
      <c r="F42" s="11"/>
      <c r="G42" s="11"/>
      <c r="H42" s="11"/>
      <c r="I42" s="11"/>
    </row>
    <row r="43" spans="1:9" ht="19.5" customHeight="1" x14ac:dyDescent="0.25">
      <c r="B43" s="20" t="s">
        <v>60</v>
      </c>
      <c r="C43" s="3" t="s">
        <v>61</v>
      </c>
      <c r="D43" s="3"/>
      <c r="E43" s="3"/>
      <c r="F43" s="3"/>
      <c r="G43" s="3"/>
      <c r="H43" s="3"/>
    </row>
    <row r="44" spans="1:9" ht="19.5" customHeight="1" x14ac:dyDescent="0.25">
      <c r="B44" s="20" t="s">
        <v>62</v>
      </c>
      <c r="C44" s="3" t="s">
        <v>63</v>
      </c>
      <c r="D44" s="3"/>
      <c r="E44" s="3"/>
      <c r="F44" s="3"/>
      <c r="G44" s="3"/>
      <c r="H44" s="3"/>
    </row>
    <row r="45" spans="1:9" ht="19.5" customHeight="1" x14ac:dyDescent="0.25">
      <c r="B45" s="20" t="s">
        <v>64</v>
      </c>
      <c r="C45" s="3" t="s">
        <v>65</v>
      </c>
      <c r="D45" s="3"/>
      <c r="E45" s="3"/>
      <c r="F45" s="3"/>
      <c r="G45" s="3"/>
      <c r="H45" s="3"/>
    </row>
    <row r="46" spans="1:9" ht="19.5" customHeight="1" x14ac:dyDescent="0.25">
      <c r="B46" s="20" t="s">
        <v>66</v>
      </c>
      <c r="C46" s="3" t="s">
        <v>67</v>
      </c>
      <c r="D46" s="3"/>
      <c r="E46" s="3"/>
      <c r="F46" s="3"/>
      <c r="G46" s="3"/>
      <c r="H46" s="3"/>
    </row>
    <row r="47" spans="1:9" ht="19.5" customHeight="1" x14ac:dyDescent="0.25">
      <c r="B47" s="20" t="s">
        <v>68</v>
      </c>
      <c r="C47" s="3" t="s">
        <v>69</v>
      </c>
      <c r="D47" s="3"/>
      <c r="E47" s="3"/>
      <c r="F47" s="3"/>
      <c r="G47" s="3"/>
      <c r="H47" s="3"/>
    </row>
    <row r="48" spans="1:9" ht="18" customHeight="1" x14ac:dyDescent="0.25"/>
    <row r="49" spans="1:9" ht="9.75" customHeight="1" x14ac:dyDescent="0.25"/>
    <row r="50" spans="1:9" ht="18" customHeight="1" x14ac:dyDescent="0.25">
      <c r="A50" s="2" t="s">
        <v>70</v>
      </c>
      <c r="B50" s="2"/>
      <c r="C50" s="2"/>
      <c r="D50" s="2"/>
      <c r="E50" s="2"/>
      <c r="F50" s="2"/>
      <c r="G50" s="2"/>
      <c r="H50" s="2"/>
      <c r="I50" s="2"/>
    </row>
    <row r="51" spans="1:9" ht="18" customHeight="1" x14ac:dyDescent="0.25">
      <c r="B51" s="28" t="s">
        <v>71</v>
      </c>
      <c r="C51" s="3" t="s">
        <v>72</v>
      </c>
      <c r="D51" s="3"/>
      <c r="E51" s="3"/>
      <c r="F51" s="3"/>
      <c r="G51" s="3"/>
      <c r="H51" s="3"/>
    </row>
    <row r="52" spans="1:9" ht="18" customHeight="1" x14ac:dyDescent="0.25">
      <c r="B52" s="29" t="s">
        <v>71</v>
      </c>
      <c r="C52" s="3" t="s">
        <v>73</v>
      </c>
      <c r="D52" s="3"/>
      <c r="E52" s="3"/>
      <c r="F52" s="3"/>
      <c r="G52" s="3"/>
      <c r="H52" s="3"/>
    </row>
    <row r="53" spans="1:9" ht="18" customHeight="1" x14ac:dyDescent="0.25">
      <c r="B53" s="30" t="s">
        <v>71</v>
      </c>
      <c r="C53" s="3" t="s">
        <v>74</v>
      </c>
      <c r="D53" s="3"/>
      <c r="E53" s="3"/>
      <c r="F53" s="3"/>
      <c r="G53" s="3"/>
      <c r="H53" s="3"/>
    </row>
    <row r="54" spans="1:9" ht="18" customHeight="1" x14ac:dyDescent="0.25">
      <c r="B54" s="31" t="s">
        <v>71</v>
      </c>
      <c r="C54" s="3" t="s">
        <v>75</v>
      </c>
      <c r="D54" s="3"/>
      <c r="E54" s="3"/>
      <c r="F54" s="3"/>
      <c r="G54" s="3"/>
      <c r="H54" s="3"/>
    </row>
    <row r="55" spans="1:9" ht="18" customHeight="1" x14ac:dyDescent="0.25"/>
    <row r="56" spans="1:9" ht="24" customHeight="1" x14ac:dyDescent="0.25">
      <c r="A56" t="inlineStr" s="11">
        <is>
          <t>SECTION 6 — SOLVER SETUP — RUN ONE CLIENT AT A TIME</t>
        </is>
      </c>
      <c r="B56" s="11"/>
      <c r="C56" s="11"/>
      <c r="D56" s="11"/>
      <c r="E56" s="11"/>
      <c r="F56" s="11"/>
      <c r="G56" s="11"/>
      <c r="H56" s="11"/>
      <c r="I56" s="11"/>
    </row>
    <row r="57" spans="1:9" ht="30" customHeight="1" x14ac:dyDescent="0.25">
      <c r="A57" t="inlineStr" s="12">
        <is>
          <t>Use this checklist on the Base Case sheet. Solver supports the recommendation; it does not decide whether the result fits the client.</t>
        </is>
      </c>
      <c r="B57" s="12"/>
      <c r="C57" s="12"/>
      <c r="D57" s="12"/>
      <c r="E57" s="12"/>
      <c r="F57" s="12"/>
      <c r="G57" s="12"/>
      <c r="H57" s="12"/>
      <c r="I57" s="12"/>
    </row>
    <row r="58" spans="1:9" ht="34" customHeight="1" x14ac:dyDescent="0.25">
      <c r="B58" t="inlineStr" s="12">
        <is>
          <t>1. Understand the task — Solver searches the three asset-class weights for one client and scenario to maximize that row's Sharpe Ratio while respecting the listed constraints.</t>
        </is>
      </c>
      <c r="C58" s="12"/>
      <c r="D58" s="12"/>
      <c r="E58" s="12"/>
      <c r="F58" s="12"/>
      <c r="G58" s="12"/>
      <c r="H58" s="12"/>
      <c r="I58" s="12"/>
    </row>
    <row r="59" spans="1:9" ht="34" customHeight="1" x14ac:dyDescent="0.25">
      <c r="B59" t="inlineStr" s="12">
        <is>
          <t>2. Select the objective — Set I24, I25, or I26 to Max for Client 1, 2, or 3. Work on one client row at a time.</t>
        </is>
      </c>
      <c r="C59" s="12"/>
      <c r="D59" s="12"/>
      <c r="E59" s="12"/>
      <c r="F59" s="12"/>
      <c r="G59" s="12"/>
      <c r="H59" s="12"/>
      <c r="I59" s="12"/>
    </row>
    <row r="60" spans="1:9" ht="34" customHeight="1" x14ac:dyDescent="0.25">
      <c r="B60" t="inlineStr" s="12">
        <is>
          <t>3. Select changing cells — Use C24:E24, C25:E25, or C26:E26 for the same client row. These are the U.S. equity, fixed-income, and cash weights.</t>
        </is>
      </c>
      <c r="C60" s="12"/>
      <c r="D60" s="12"/>
      <c r="E60" s="12"/>
      <c r="F60" s="12"/>
      <c r="G60" s="12"/>
      <c r="H60" s="12"/>
      <c r="I60" s="12"/>
    </row>
    <row r="61" spans="1:9" ht="42" customHeight="1" x14ac:dyDescent="0.25">
      <c r="B61" t="inlineStr" s="32">
        <is>
          <t>4. Add the actual constraints — Matching row F = 1; matching row C:E ≥ 0; and H24 ≤ C37, H25 ≤ C38, or H26 ≤ C39. Drawdown in E37:E39 is not calculated by this model and is not a Solver constraint.</t>
        </is>
      </c>
      <c r="C61" s="32"/>
      <c r="D61" s="32"/>
      <c r="E61" s="32"/>
      <c r="F61" s="32"/>
      <c r="G61" s="32"/>
      <c r="H61" s="32"/>
      <c r="I61" s="32"/>
    </row>
    <row r="62" spans="1:9" ht="34" customHeight="1" x14ac:dyDescent="0.25">
      <c r="B62" t="inlineStr" s="12">
        <is>
          <t>5. Run Solver — Choose GRG Nonlinear, click Solve, and keep the Solver solution only if Solver reports a solution and the next checks pass.</t>
        </is>
      </c>
      <c r="C62" s="12"/>
      <c r="D62" s="12"/>
      <c r="E62" s="12"/>
      <c r="F62" s="12"/>
      <c r="G62" s="12"/>
      <c r="H62" s="12"/>
      <c r="I62" s="12"/>
    </row>
    <row r="63" spans="1:9" ht="42" customHeight="1" x14ac:dyDescent="0.25">
      <c r="B63" t="inlineStr" s="12">
        <is>
          <t>6. Confirm it is usable — Weights are nonnegative and total 100%; portfolio σ is within the matching Phase 1 limit; Status shows PASS; inputs use consistent percentage units; and the allocation is economically plausible for the client.</t>
        </is>
      </c>
      <c r="C63" s="12"/>
      <c r="D63" s="12"/>
      <c r="E63" s="12"/>
      <c r="F63" s="12"/>
      <c r="G63" s="12"/>
      <c r="H63" s="12"/>
      <c r="I63" s="12"/>
    </row>
    <row r="64" spans="1:9" ht="42" customHeight="1" x14ac:dyDescent="0.25">
      <c r="B64" t="inlineStr" s="32">
        <is>
          <t>7. If Solver is infeasible — Check the objective/changing/constraint cells all use the same client row, correlations are between –1 and 1, percentages were entered as percentages, and the IPS σ limit is entered. Do not relax an approved IPS limit to force a solution.</t>
        </is>
      </c>
      <c r="C64" s="32"/>
      <c r="D64" s="32"/>
      <c r="E64" s="32"/>
      <c r="F64" s="32"/>
      <c r="G64" s="32"/>
      <c r="H64" s="32"/>
      <c r="I64" s="32"/>
    </row>
    <row r="65" ht="42" customHeight="1" x14ac:dyDescent="0.25" spans="1:9">
      <c r="B65" t="inlineStr" s="32">
        <is>
          <t>8. If the allocation looks implausible — Recheck return, volatility, correlation, source/date, and starting weights. The Sharpe objective can concentrate a portfolio; use the stress test and client mandate before recommending it.</t>
        </is>
      </c>
      <c r="C65" s="32"/>
      <c r="D65" s="32"/>
      <c r="E65" s="32"/>
      <c r="F65" s="32"/>
      <c r="G65" s="32"/>
      <c r="H65" s="32"/>
      <c r="I65" s="32"/>
    </row>
    <row r="66" ht="18" customHeight="1" x14ac:dyDescent="0.25"/>
    <row r="67" ht="18" customHeight="1" x14ac:dyDescent="0.25"/>
    <row r="68" ht="24" customHeight="1" x14ac:dyDescent="0.25" spans="1:9">
      <c r="A68" t="inlineStr" s="11">
        <is>
          <t>SECTION 7 — READ THE RESULT</t>
        </is>
      </c>
      <c r="B68" s="11"/>
      <c r="C68" s="11"/>
      <c r="D68" s="11"/>
      <c r="E68" s="11"/>
      <c r="F68" s="11"/>
      <c r="G68" s="11"/>
      <c r="H68" s="11"/>
      <c r="I68" s="11"/>
    </row>
    <row r="69" ht="30" customHeight="1" x14ac:dyDescent="0.25" spans="1:9">
      <c r="A69" t="inlineStr" s="12">
        <is>
          <t>After Solver, interpret each client's result against the starting allocation. Keep answers concise and decision-focused.</t>
        </is>
      </c>
      <c r="B69" s="12"/>
      <c r="C69" s="12"/>
      <c r="D69" s="12"/>
      <c r="E69" s="12"/>
      <c r="F69" s="12"/>
      <c r="G69" s="12"/>
      <c r="H69" s="12"/>
      <c r="I69" s="12"/>
    </row>
    <row r="70" spans="1:9" ht="38" customHeight="1">
      <c r="B70" t="inlineStr" s="16">
        <is>
          <t>Client</t>
        </is>
      </c>
      <c r="C70" t="inlineStr" s="16">
        <is>
          <t>Change from starting allocation</t>
        </is>
      </c>
      <c r="D70" s="16"/>
      <c r="E70" t="inlineStr" s="16">
        <is>
          <t>Assumption or constraint driving it</t>
        </is>
      </c>
      <c r="F70" s="16"/>
      <c r="G70" t="inlineStr" s="16">
        <is>
          <t>Main trade-off</t>
        </is>
      </c>
      <c r="H70" s="16"/>
      <c r="I70" t="inlineStr" s="16">
        <is>
          <t>Revisit trigger</t>
        </is>
      </c>
    </row>
    <row r="71" spans="1:9" ht="52" customHeight="1">
      <c r="B71" t="inlineStr" s="17">
        <is>
          <t>Client 1</t>
        </is>
      </c>
      <c r="C71" s="4"/>
      <c r="D71" s="4"/>
      <c r="E71" s="4"/>
      <c r="F71" s="4"/>
      <c r="G71" s="4"/>
      <c r="H71" s="4"/>
      <c r="I71" s="4"/>
    </row>
    <row r="72" spans="1:9" ht="52" customHeight="1">
      <c r="B72" t="inlineStr" s="17">
        <is>
          <t>Client 2</t>
        </is>
      </c>
      <c r="C72" s="4"/>
      <c r="D72" s="4"/>
      <c r="E72" s="4"/>
      <c r="F72" s="4"/>
      <c r="G72" s="4"/>
      <c r="H72" s="4"/>
      <c r="I72" s="4"/>
    </row>
    <row r="73" spans="1:9" ht="52" customHeight="1">
      <c r="B73" t="inlineStr" s="17">
        <is>
          <t>Client 3</t>
        </is>
      </c>
      <c r="C73" s="4"/>
      <c r="D73" s="4"/>
      <c r="E73" s="4"/>
      <c r="F73" s="4"/>
      <c r="G73" s="4"/>
      <c r="H73" s="4"/>
      <c r="I73" s="4"/>
    </row>
    <row r="74" spans="1:9" ht="30" customHeight="1">
      <c r="A74" t="inlineStr" s="32">
        <is>
          <t>Decision rule: use Solver output as evidence, then recommend only after checking client fit, scenario resilience, concentration, and the Phase 1 mandate.</t>
        </is>
      </c>
      <c r="B74" s="32"/>
      <c r="C74" s="32"/>
      <c r="D74" s="32"/>
      <c r="E74" s="32"/>
      <c r="F74" s="32"/>
      <c r="G74" s="32"/>
      <c r="H74" s="32"/>
      <c r="I74" s="32"/>
    </row>
  </sheetData>
  <mergeCells count="56">
    <mergeCell ref="C53:H53"/>
    <mergeCell ref="C54:H54"/>
    <mergeCell ref="C46:H46"/>
    <mergeCell ref="C47:H47"/>
    <mergeCell ref="A50:I50"/>
    <mergeCell ref="C51:H51"/>
    <mergeCell ref="C52:H52"/>
    <mergeCell ref="A35:I35"/>
    <mergeCell ref="A42:I42"/>
    <mergeCell ref="C43:H43"/>
    <mergeCell ref="C44:H44"/>
    <mergeCell ref="C45:H45"/>
    <mergeCell ref="A21:I21"/>
    <mergeCell ref="A22:I22"/>
    <mergeCell ref="A29:I29"/>
    <mergeCell ref="B30:D30"/>
    <mergeCell ref="A34:I34"/>
    <mergeCell ref="A13:I13"/>
    <mergeCell ref="A14:I14"/>
    <mergeCell ref="A2:I2"/>
    <mergeCell ref="A3:I3"/>
    <mergeCell ref="A4:I4"/>
    <mergeCell ref="A6:I6"/>
    <mergeCell ref="E7:F7"/>
    <mergeCell ref="G7:H7"/>
    <mergeCell ref="E8:F8"/>
    <mergeCell ref="G8:H8"/>
    <mergeCell ref="E9:F9"/>
    <mergeCell ref="G9:H9"/>
    <mergeCell ref="E10:F10"/>
    <mergeCell ref="G10:H10"/>
    <mergeCell ref="A56:I56"/>
    <mergeCell ref="A57:I57"/>
    <mergeCell ref="B58:I58"/>
    <mergeCell ref="B59:I59"/>
    <mergeCell ref="B60:I60"/>
    <mergeCell ref="B61:I61"/>
    <mergeCell ref="B62:I62"/>
    <mergeCell ref="B63:I63"/>
    <mergeCell ref="B64:I64"/>
    <mergeCell ref="B65:I65"/>
    <mergeCell ref="A68:I68"/>
    <mergeCell ref="A69:I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A74:I74"/>
  </mergeCells>
  <conditionalFormatting sqref="F24:F26">
    <cfRule type="cellIs" dxfId="7" priority="2" operator="equal">
      <formula>1</formula>
    </cfRule>
    <cfRule type="cellIs" dxfId="6" priority="3" operator="notEqual">
      <formula>1</formula>
    </cfRule>
  </conditionalFormatting>
  <conditionalFormatting sqref="F37:F39">
    <cfRule type="expression" dxfId="5" priority="8">
      <formula>D37&lt;=C37</formula>
    </cfRule>
    <cfRule type="expression" dxfId="4" priority="9">
      <formula>D37&gt;C37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1A1A"/>
  </sheetPr>
  <dimension ref="A1:I7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4" width="14" customWidth="1"/>
    <col min="5" max="5" width="18" customWidth="1"/>
    <col min="6" max="6" width="13" customWidth="1"/>
    <col min="7" max="8" width="18" customWidth="1"/>
    <col min="9" max="9" width="27" customWidth="1"/>
  </cols>
  <sheetData>
    <row r="1" spans="1:9" ht="6" customHeight="1" x14ac:dyDescent="0.25"/>
    <row r="2" spans="1:9" ht="39.75" customHeight="1" x14ac:dyDescent="0.25">
      <c r="A2" s="9" t="s">
        <v>76</v>
      </c>
      <c r="B2" s="9"/>
      <c r="C2" s="9"/>
      <c r="D2" s="9"/>
      <c r="E2" s="9"/>
      <c r="F2" s="9"/>
      <c r="G2" s="9"/>
      <c r="H2" s="9"/>
      <c r="I2" s="9"/>
    </row>
    <row r="3" spans="1:9" ht="21.75" customHeight="1" x14ac:dyDescent="0.25">
      <c r="A3" s="8" t="s">
        <v>24</v>
      </c>
      <c r="B3" s="8"/>
      <c r="C3" s="8"/>
      <c r="D3" s="8"/>
      <c r="E3" s="8"/>
      <c r="F3" s="8"/>
      <c r="G3" s="8"/>
      <c r="H3" s="8"/>
      <c r="I3" s="8"/>
    </row>
    <row r="4" spans="1:9" ht="38" customHeight="1" x14ac:dyDescent="0.25">
      <c r="A4" s="1" t="inlineStr">
        <is>
          <t>⚠  BEAR CASE: Change only the returns, volatilities, or correlations justified by your downside economic story. Do not mechanically lower every return.</t>
        </is>
      </c>
      <c r="B4" s="1"/>
      <c r="C4" s="1"/>
      <c r="D4" s="1"/>
      <c r="E4" s="1"/>
      <c r="F4" s="1"/>
      <c r="G4" s="1"/>
      <c r="H4" s="1"/>
      <c r="I4" s="1"/>
    </row>
    <row r="5" spans="1:9" ht="18" customHeight="1" x14ac:dyDescent="0.25"/>
    <row r="6" spans="1:9" ht="31.5" customHeight="1" x14ac:dyDescent="0.25">
      <c r="A6" s="6" t="inlineStr">
        <is>
          <t>SECTION 1 — EXPECTATION BUILDER</t>
        </is>
      </c>
      <c r="B6" s="6"/>
      <c r="C6" s="6"/>
      <c r="D6" s="6"/>
      <c r="E6" s="6"/>
      <c r="F6" s="6"/>
      <c r="G6" s="6"/>
      <c r="H6" s="6"/>
      <c r="I6" s="6"/>
    </row>
    <row r="7" spans="1:9" ht="42" customHeight="1" x14ac:dyDescent="0.25">
      <c r="B7" s="16" t="inlineStr">
        <is>
          <t>Asset Class</t>
        </is>
      </c>
      <c r="C7" s="16" t="inlineStr">
        <is>
          <t>Expected Return
E(R)</t>
        </is>
      </c>
      <c r="D7" s="16" t="inlineStr">
        <is>
          <t>Volatility
(σ)</t>
        </is>
      </c>
      <c r="E7" s="5" t="inlineStr">
        <is>
          <t>Source + as-of date</t>
        </is>
      </c>
      <c r="F7" s="5"/>
      <c r="G7" s="5" t="inlineStr">
        <is>
          <t>Downside rationale</t>
        </is>
      </c>
      <c r="H7" s="5"/>
      <c r="I7" t="inlineStr" s="16">
        <is>
          <t>What changed from Base &amp; why</t>
        </is>
      </c>
    </row>
    <row r="8" spans="1:9" ht="50" customHeight="1" x14ac:dyDescent="0.25">
      <c r="B8" s="17" t="s">
        <v>31</v>
      </c>
      <c r="C8" s="18"/>
      <c r="D8" s="18"/>
      <c r="E8" s="4"/>
      <c r="F8" s="4"/>
      <c r="G8" s="4"/>
      <c r="H8" s="4"/>
      <c r="I8" s="4"/>
    </row>
    <row r="9" spans="1:9" ht="50" customHeight="1" x14ac:dyDescent="0.25">
      <c r="B9" s="17" t="s">
        <v>32</v>
      </c>
      <c r="C9" s="18"/>
      <c r="D9" s="18"/>
      <c r="E9" s="4"/>
      <c r="F9" s="4"/>
      <c r="G9" s="4"/>
      <c r="H9" s="4"/>
      <c r="I9" s="4"/>
    </row>
    <row r="10" spans="1:9" ht="50" customHeight="1" x14ac:dyDescent="0.25">
      <c r="B10" s="17" t="s">
        <v>33</v>
      </c>
      <c r="C10" s="18"/>
      <c r="D10" s="18"/>
      <c r="E10" s="4"/>
      <c r="F10" s="4"/>
      <c r="G10" s="4"/>
      <c r="H10" s="4"/>
      <c r="I10" s="4"/>
    </row>
    <row r="11" spans="1:9" ht="18" customHeight="1" x14ac:dyDescent="0.25"/>
    <row r="12" spans="1:9" ht="9.75" customHeight="1" x14ac:dyDescent="0.25"/>
    <row r="13" spans="1:9" ht="18" customHeight="1" x14ac:dyDescent="0.25">
      <c r="A13" s="11" t="s">
        <v>34</v>
      </c>
      <c r="B13" s="11"/>
      <c r="C13" s="11"/>
      <c r="D13" s="11"/>
      <c r="E13" s="11"/>
      <c r="F13" s="11"/>
      <c r="G13" s="11"/>
      <c r="H13" s="11"/>
      <c r="I13" s="11"/>
    </row>
    <row r="14" spans="1:9" ht="32" customHeight="1" x14ac:dyDescent="0.25">
      <c r="A14" s="12" t="inlineStr">
        <is>
          <t>Change only correlations supported by the downside story and explain why. Do not force every correlation toward 1.0. Diagonal = 1.00.</t>
        </is>
      </c>
      <c r="B14" s="12"/>
      <c r="C14" s="12"/>
      <c r="D14" s="12"/>
      <c r="E14" s="12"/>
      <c r="F14" s="12"/>
      <c r="G14" s="12"/>
      <c r="H14" s="12"/>
      <c r="I14" s="12"/>
    </row>
    <row r="15" spans="1:9" ht="27.75" customHeight="1" x14ac:dyDescent="0.25">
      <c r="B15" s="19" t="s">
        <v>36</v>
      </c>
      <c r="C15" s="16" t="s">
        <v>31</v>
      </c>
      <c r="D15" s="16" t="s">
        <v>32</v>
      </c>
      <c r="E15" s="16" t="s">
        <v>37</v>
      </c>
    </row>
    <row r="16" spans="1:9" ht="18" customHeight="1" x14ac:dyDescent="0.25">
      <c r="B16" s="20" t="s">
        <v>31</v>
      </c>
      <c r="C16" s="21">
        <v>1</v>
      </c>
      <c r="D16" s="22"/>
      <c r="E16" s="22"/>
    </row>
    <row r="17" spans="1:9" ht="18" customHeight="1" x14ac:dyDescent="0.25">
      <c r="B17" s="20" t="s">
        <v>32</v>
      </c>
      <c r="C17" s="23">
        <f>D16</f>
        <v>0</v>
      </c>
      <c r="D17" s="21">
        <v>1</v>
      </c>
      <c r="E17" s="22"/>
    </row>
    <row r="18" spans="1:9" ht="18" customHeight="1" x14ac:dyDescent="0.25">
      <c r="B18" s="20" t="s">
        <v>37</v>
      </c>
      <c r="C18" s="23">
        <f>E16</f>
        <v>0</v>
      </c>
      <c r="D18" s="23">
        <f>E17</f>
        <v>0</v>
      </c>
      <c r="E18" s="21">
        <v>1</v>
      </c>
    </row>
    <row r="19" spans="1:9" ht="18" customHeight="1" x14ac:dyDescent="0.25"/>
    <row r="20" spans="1:9" ht="9.75" customHeight="1" x14ac:dyDescent="0.25"/>
    <row r="21" spans="1:9" ht="18" customHeight="1" x14ac:dyDescent="0.25">
      <c r="A21" s="11" t="s">
        <v>38</v>
      </c>
      <c r="B21" s="11"/>
      <c r="C21" s="11"/>
      <c r="D21" s="11"/>
      <c r="E21" s="11"/>
      <c r="F21" s="11"/>
      <c r="G21" s="11"/>
      <c r="H21" s="11"/>
      <c r="I21" s="11"/>
    </row>
    <row r="22" spans="1:9" ht="30" customHeight="1" x14ac:dyDescent="0.25">
      <c r="A22" s="12" t="inlineStr">
        <is>
          <t>Enter each client's starting weights, then run Solver one client at a time. Keep the Solver-supported weights only after completing the Section 6 usability checks.</t>
        </is>
      </c>
      <c r="B22" s="12"/>
      <c r="C22" s="12"/>
      <c r="D22" s="12"/>
      <c r="E22" s="12"/>
      <c r="F22" s="12"/>
      <c r="G22" s="12"/>
      <c r="H22" s="12"/>
      <c r="I22" s="12"/>
    </row>
    <row r="23" spans="1:9" ht="39.75" customHeight="1" x14ac:dyDescent="0.25">
      <c r="B23" s="19"/>
      <c r="C23" s="16" t="s">
        <v>40</v>
      </c>
      <c r="D23" s="16" t="s">
        <v>41</v>
      </c>
      <c r="E23" s="16" t="s">
        <v>42</v>
      </c>
      <c r="F23" s="16" t="s">
        <v>43</v>
      </c>
      <c r="G23" s="16" t="s">
        <v>44</v>
      </c>
      <c r="H23" s="16" t="s">
        <v>45</v>
      </c>
      <c r="I23" s="16" t="s">
        <v>46</v>
      </c>
    </row>
    <row r="24" spans="1:9" ht="21.75" customHeight="1" x14ac:dyDescent="0.25">
      <c r="B24" s="17" t="s">
        <v>47</v>
      </c>
      <c r="C24" s="18"/>
      <c r="D24" s="18"/>
      <c r="E24" s="18"/>
      <c r="F24" s="24">
        <f>C24+D24+E24</f>
        <v>0</v>
      </c>
      <c r="G24" s="24">
        <f>C24*C8+D24*C9+E24*C10</f>
        <v>0</v>
      </c>
      <c r="H24" s="24">
        <f>SQRT(C24^2*D8^2 + D24^2*D9^2 + E24^2*D10^2 + 2*C24*D24*D16*D8*D9 + 2*C24*E24*E16*D8*D10 + 2*D24*E24*E17*D9*D10)</f>
        <v>0</v>
      </c>
      <c r="I24" s="25" t="str">
        <f>IF(H24&gt;0,(G24-$C$31)/H24,"—")</f>
        <v>—</v>
      </c>
    </row>
    <row r="25" spans="1:9" ht="21.75" customHeight="1" x14ac:dyDescent="0.25">
      <c r="B25" s="17" t="s">
        <v>48</v>
      </c>
      <c r="C25" s="18"/>
      <c r="D25" s="18"/>
      <c r="E25" s="18"/>
      <c r="F25" s="24">
        <f>C25+D25+E25</f>
        <v>0</v>
      </c>
      <c r="G25" s="24">
        <f>C25*C8+D25*C9+E25*C10</f>
        <v>0</v>
      </c>
      <c r="H25" s="24">
        <f>SQRT(C25^2*D8^2 + D25^2*D9^2 + E25^2*D10^2 + 2*C25*D25*D16*D8*D9 + 2*C25*E25*E16*D8*D10 + 2*D25*E25*E17*D9*D10)</f>
        <v>0</v>
      </c>
      <c r="I25" s="25" t="str">
        <f>IF(H25&gt;0,(G25-$C$31)/H25,"—")</f>
        <v>—</v>
      </c>
    </row>
    <row r="26" spans="1:9" ht="21.75" customHeight="1" x14ac:dyDescent="0.25">
      <c r="B26" s="17" t="s">
        <v>49</v>
      </c>
      <c r="C26" s="18"/>
      <c r="D26" s="18"/>
      <c r="E26" s="18"/>
      <c r="F26" s="24">
        <f>C26+D26+E26</f>
        <v>0</v>
      </c>
      <c r="G26" s="24">
        <f>C26*C8+D26*C9+E26*C10</f>
        <v>0</v>
      </c>
      <c r="H26" s="24">
        <f>SQRT(C26^2*D8^2 + D26^2*D9^2 + E26^2*D10^2 + 2*C26*D26*D16*D8*D9 + 2*C26*E26*E16*D8*D10 + 2*D26*E26*E17*D9*D10)</f>
        <v>0</v>
      </c>
      <c r="I26" s="25" t="str">
        <f>IF(H26&gt;0,(G26-$C$31)/H26,"—")</f>
        <v>—</v>
      </c>
    </row>
    <row r="27" spans="1:9" ht="18" customHeight="1" x14ac:dyDescent="0.25"/>
    <row r="28" spans="1:9" ht="9.75" customHeight="1" x14ac:dyDescent="0.25"/>
    <row r="29" spans="1:9" ht="18" customHeight="1" x14ac:dyDescent="0.25">
      <c r="A29" s="11" t="s">
        <v>50</v>
      </c>
      <c r="B29" s="11"/>
      <c r="C29" s="11"/>
      <c r="D29" s="11"/>
      <c r="E29" s="11"/>
      <c r="F29" s="11"/>
      <c r="G29" s="11"/>
      <c r="H29" s="11"/>
      <c r="I29" s="11"/>
    </row>
    <row r="30" spans="1:9" ht="27.75" customHeight="1" x14ac:dyDescent="0.25">
      <c r="B30" s="12" t="s">
        <v>51</v>
      </c>
      <c r="C30" s="12"/>
      <c r="D30" s="12"/>
    </row>
    <row r="31" spans="1:9" ht="18" customHeight="1" x14ac:dyDescent="0.25">
      <c r="B31" s="17" t="s">
        <v>52</v>
      </c>
      <c r="C31" s="18"/>
    </row>
    <row r="32" spans="1:9" ht="18" customHeight="1" x14ac:dyDescent="0.25"/>
    <row r="33" spans="1:9" ht="9.75" customHeight="1" x14ac:dyDescent="0.25"/>
    <row r="34" spans="1:9" ht="18" customHeight="1" x14ac:dyDescent="0.25">
      <c r="A34" s="11" t="s">
        <v>53</v>
      </c>
      <c r="B34" s="11"/>
      <c r="C34" s="11"/>
      <c r="D34" s="11"/>
      <c r="E34" s="11"/>
      <c r="F34" s="11"/>
      <c r="G34" s="11"/>
      <c r="H34" s="11"/>
      <c r="I34" s="11"/>
    </row>
    <row r="35" spans="1:9" ht="30" customHeight="1" x14ac:dyDescent="0.25">
      <c r="A35" s="12" t="inlineStr">
        <is>
          <t>Use the Phase 1 IPS constraints. Portfolio σ is the active Solver risk limit; the drawdown tripwire remains a separate stress-test and recommendation check.</t>
        </is>
      </c>
      <c r="B35" s="12"/>
      <c r="C35" s="12"/>
      <c r="D35" s="12"/>
      <c r="E35" s="12"/>
      <c r="F35" s="12"/>
      <c r="G35" s="12"/>
      <c r="H35" s="12"/>
      <c r="I35" s="12"/>
    </row>
    <row r="36" spans="1:9" ht="36" customHeight="1" x14ac:dyDescent="0.25">
      <c r="B36" s="16"/>
      <c r="C36" s="16" t="s">
        <v>55</v>
      </c>
      <c r="D36" s="16" t="s">
        <v>56</v>
      </c>
      <c r="E36" s="16" t="s">
        <v>57</v>
      </c>
      <c r="F36" s="16" t="s">
        <v>58</v>
      </c>
    </row>
    <row r="37" spans="1:9" ht="21.75" customHeight="1" x14ac:dyDescent="0.25">
      <c r="B37" s="17" t="s">
        <v>47</v>
      </c>
      <c r="C37" s="18"/>
      <c r="D37" s="26">
        <f>H24</f>
        <v>0</v>
      </c>
      <c r="E37" s="18"/>
      <c r="F37" s="27" t="str">
        <f>IF(D37&lt;=C37,"✓ PASS","⚠ CHECK")</f>
        <v>✓ PASS</v>
      </c>
    </row>
    <row r="38" spans="1:9" ht="21.75" customHeight="1" x14ac:dyDescent="0.25">
      <c r="B38" s="17" t="s">
        <v>48</v>
      </c>
      <c r="C38" s="18"/>
      <c r="D38" s="26">
        <f>H25</f>
        <v>0</v>
      </c>
      <c r="E38" s="18"/>
      <c r="F38" s="27" t="str">
        <f>IF(D38&lt;=C38,"✓ PASS","⚠ CHECK")</f>
        <v>✓ PASS</v>
      </c>
    </row>
    <row r="39" spans="1:9" ht="21.75" customHeight="1" x14ac:dyDescent="0.25">
      <c r="B39" s="17" t="s">
        <v>49</v>
      </c>
      <c r="C39" s="18"/>
      <c r="D39" s="26">
        <f>H26</f>
        <v>0</v>
      </c>
      <c r="E39" s="18"/>
      <c r="F39" s="27" t="str">
        <f>IF(D39&lt;=C39,"✓ PASS","⚠ CHECK")</f>
        <v>✓ PASS</v>
      </c>
    </row>
    <row r="40" spans="1:9" ht="18" customHeight="1" x14ac:dyDescent="0.25"/>
    <row r="41" spans="1:9" ht="9.75" customHeight="1" x14ac:dyDescent="0.25"/>
    <row r="42" spans="1:9" ht="18" customHeight="1" x14ac:dyDescent="0.25">
      <c r="A42" s="11" t="s">
        <v>59</v>
      </c>
      <c r="B42" s="11"/>
      <c r="C42" s="11"/>
      <c r="D42" s="11"/>
      <c r="E42" s="11"/>
      <c r="F42" s="11"/>
      <c r="G42" s="11"/>
      <c r="H42" s="11"/>
      <c r="I42" s="11"/>
    </row>
    <row r="43" spans="1:9" ht="19.5" customHeight="1" x14ac:dyDescent="0.25">
      <c r="B43" s="20" t="s">
        <v>60</v>
      </c>
      <c r="C43" s="3" t="s">
        <v>61</v>
      </c>
      <c r="D43" s="3"/>
      <c r="E43" s="3"/>
      <c r="F43" s="3"/>
      <c r="G43" s="3"/>
      <c r="H43" s="3"/>
    </row>
    <row r="44" spans="1:9" ht="19.5" customHeight="1" x14ac:dyDescent="0.25">
      <c r="B44" s="20" t="s">
        <v>62</v>
      </c>
      <c r="C44" s="3" t="s">
        <v>63</v>
      </c>
      <c r="D44" s="3"/>
      <c r="E44" s="3"/>
      <c r="F44" s="3"/>
      <c r="G44" s="3"/>
      <c r="H44" s="3"/>
    </row>
    <row r="45" spans="1:9" ht="19.5" customHeight="1" x14ac:dyDescent="0.25">
      <c r="B45" s="20" t="s">
        <v>64</v>
      </c>
      <c r="C45" s="3" t="s">
        <v>65</v>
      </c>
      <c r="D45" s="3"/>
      <c r="E45" s="3"/>
      <c r="F45" s="3"/>
      <c r="G45" s="3"/>
      <c r="H45" s="3"/>
    </row>
    <row r="46" spans="1:9" ht="19.5" customHeight="1" x14ac:dyDescent="0.25">
      <c r="B46" s="20" t="s">
        <v>66</v>
      </c>
      <c r="C46" s="3" t="s">
        <v>67</v>
      </c>
      <c r="D46" s="3"/>
      <c r="E46" s="3"/>
      <c r="F46" s="3"/>
      <c r="G46" s="3"/>
      <c r="H46" s="3"/>
    </row>
    <row r="47" spans="1:9" ht="19.5" customHeight="1" x14ac:dyDescent="0.25">
      <c r="B47" s="20" t="s">
        <v>68</v>
      </c>
      <c r="C47" s="3" t="s">
        <v>69</v>
      </c>
      <c r="D47" s="3"/>
      <c r="E47" s="3"/>
      <c r="F47" s="3"/>
      <c r="G47" s="3"/>
      <c r="H47" s="3"/>
    </row>
    <row r="48" spans="1:9" ht="18" customHeight="1" x14ac:dyDescent="0.25"/>
    <row r="49" spans="1:9" ht="9.75" customHeight="1" x14ac:dyDescent="0.25"/>
    <row r="50" spans="1:9" ht="18" customHeight="1" x14ac:dyDescent="0.25">
      <c r="A50" s="2" t="s">
        <v>70</v>
      </c>
      <c r="B50" s="2"/>
      <c r="C50" s="2"/>
      <c r="D50" s="2"/>
      <c r="E50" s="2"/>
      <c r="F50" s="2"/>
      <c r="G50" s="2"/>
      <c r="H50" s="2"/>
      <c r="I50" s="2"/>
    </row>
    <row r="51" spans="1:9" ht="18" customHeight="1" x14ac:dyDescent="0.25">
      <c r="B51" s="28" t="s">
        <v>71</v>
      </c>
      <c r="C51" s="3" t="s">
        <v>72</v>
      </c>
      <c r="D51" s="3"/>
      <c r="E51" s="3"/>
      <c r="F51" s="3"/>
      <c r="G51" s="3"/>
      <c r="H51" s="3"/>
    </row>
    <row r="52" spans="1:9" ht="18" customHeight="1" x14ac:dyDescent="0.25">
      <c r="B52" s="29" t="s">
        <v>71</v>
      </c>
      <c r="C52" s="3" t="s">
        <v>73</v>
      </c>
      <c r="D52" s="3"/>
      <c r="E52" s="3"/>
      <c r="F52" s="3"/>
      <c r="G52" s="3"/>
      <c r="H52" s="3"/>
    </row>
    <row r="53" spans="1:9" ht="18" customHeight="1" x14ac:dyDescent="0.25">
      <c r="B53" s="30" t="s">
        <v>71</v>
      </c>
      <c r="C53" s="3" t="s">
        <v>74</v>
      </c>
      <c r="D53" s="3"/>
      <c r="E53" s="3"/>
      <c r="F53" s="3"/>
      <c r="G53" s="3"/>
      <c r="H53" s="3"/>
    </row>
    <row r="54" spans="1:9" ht="18" customHeight="1" x14ac:dyDescent="0.25">
      <c r="B54" s="31" t="s">
        <v>71</v>
      </c>
      <c r="C54" s="3" t="s">
        <v>75</v>
      </c>
      <c r="D54" s="3"/>
      <c r="E54" s="3"/>
      <c r="F54" s="3"/>
      <c r="G54" s="3"/>
      <c r="H54" s="3"/>
    </row>
    <row r="55" spans="1:9" ht="18" customHeight="1" x14ac:dyDescent="0.25"/>
    <row r="56" spans="1:9" ht="24" customHeight="1" x14ac:dyDescent="0.25">
      <c r="A56" t="inlineStr" s="11">
        <is>
          <t>SECTION 6 — SOLVER SETUP — RUN ONE CLIENT AT A TIME</t>
        </is>
      </c>
      <c r="B56" s="11"/>
      <c r="C56" s="11"/>
      <c r="D56" s="11"/>
      <c r="E56" s="11"/>
      <c r="F56" s="11"/>
      <c r="G56" s="11"/>
      <c r="H56" s="11"/>
      <c r="I56" s="11"/>
    </row>
    <row r="57" spans="1:9" ht="30" customHeight="1" x14ac:dyDescent="0.25">
      <c r="A57" t="inlineStr" s="12">
        <is>
          <t>Use this checklist on the Bear Case sheet. Solver supports the recommendation; it does not decide whether the result fits the client.</t>
        </is>
      </c>
      <c r="B57" s="12"/>
      <c r="C57" s="12"/>
      <c r="D57" s="12"/>
      <c r="E57" s="12"/>
      <c r="F57" s="12"/>
      <c r="G57" s="12"/>
      <c r="H57" s="12"/>
      <c r="I57" s="12"/>
    </row>
    <row r="58" spans="1:9" ht="34" customHeight="1" x14ac:dyDescent="0.25">
      <c r="B58" t="inlineStr" s="12">
        <is>
          <t>1. Understand the task — Solver searches the three asset-class weights for one client and scenario to maximize that row's Sharpe Ratio while respecting the listed constraints.</t>
        </is>
      </c>
      <c r="C58" s="12"/>
      <c r="D58" s="12"/>
      <c r="E58" s="12"/>
      <c r="F58" s="12"/>
      <c r="G58" s="12"/>
      <c r="H58" s="12"/>
      <c r="I58" s="12"/>
    </row>
    <row r="59" spans="1:9" ht="34" customHeight="1" x14ac:dyDescent="0.25">
      <c r="B59" t="inlineStr" s="12">
        <is>
          <t>2. Select the objective — Set I24, I25, or I26 to Max for Client 1, 2, or 3. Work on one client row at a time.</t>
        </is>
      </c>
      <c r="C59" s="12"/>
      <c r="D59" s="12"/>
      <c r="E59" s="12"/>
      <c r="F59" s="12"/>
      <c r="G59" s="12"/>
      <c r="H59" s="12"/>
      <c r="I59" s="12"/>
    </row>
    <row r="60" spans="1:9" ht="34" customHeight="1" x14ac:dyDescent="0.25">
      <c r="B60" t="inlineStr" s="12">
        <is>
          <t>3. Select changing cells — Use C24:E24, C25:E25, or C26:E26 for the same client row. These are the U.S. equity, fixed-income, and cash weights.</t>
        </is>
      </c>
      <c r="C60" s="12"/>
      <c r="D60" s="12"/>
      <c r="E60" s="12"/>
      <c r="F60" s="12"/>
      <c r="G60" s="12"/>
      <c r="H60" s="12"/>
      <c r="I60" s="12"/>
    </row>
    <row r="61" spans="1:9" ht="42" customHeight="1" x14ac:dyDescent="0.25">
      <c r="B61" t="inlineStr" s="32">
        <is>
          <t>4. Add the actual constraints — Matching row F = 1; matching row C:E ≥ 0; and H24 ≤ C37, H25 ≤ C38, or H26 ≤ C39. Drawdown in E37:E39 is not calculated by this model and is not a Solver constraint.</t>
        </is>
      </c>
      <c r="C61" s="32"/>
      <c r="D61" s="32"/>
      <c r="E61" s="32"/>
      <c r="F61" s="32"/>
      <c r="G61" s="32"/>
      <c r="H61" s="32"/>
      <c r="I61" s="32"/>
    </row>
    <row r="62" spans="1:9" ht="34" customHeight="1" x14ac:dyDescent="0.25">
      <c r="B62" t="inlineStr" s="12">
        <is>
          <t>5. Run Solver — Choose GRG Nonlinear, click Solve, and keep the Solver solution only if Solver reports a solution and the next checks pass.</t>
        </is>
      </c>
      <c r="C62" s="12"/>
      <c r="D62" s="12"/>
      <c r="E62" s="12"/>
      <c r="F62" s="12"/>
      <c r="G62" s="12"/>
      <c r="H62" s="12"/>
      <c r="I62" s="12"/>
    </row>
    <row r="63" spans="1:9" ht="42" customHeight="1" x14ac:dyDescent="0.25">
      <c r="B63" t="inlineStr" s="12">
        <is>
          <t>6. Confirm it is usable — Weights are nonnegative and total 100%; portfolio σ is within the matching Phase 1 limit; Status shows PASS; inputs use consistent percentage units; and the allocation is economically plausible for the client.</t>
        </is>
      </c>
      <c r="C63" s="12"/>
      <c r="D63" s="12"/>
      <c r="E63" s="12"/>
      <c r="F63" s="12"/>
      <c r="G63" s="12"/>
      <c r="H63" s="12"/>
      <c r="I63" s="12"/>
    </row>
    <row r="64" spans="1:9" ht="42" customHeight="1" x14ac:dyDescent="0.25">
      <c r="B64" t="inlineStr" s="32">
        <is>
          <t>7. If Solver is infeasible — Check the objective/changing/constraint cells all use the same client row, correlations are between –1 and 1, percentages were entered as percentages, and the IPS σ limit is entered. Do not relax an approved IPS limit to force a solution.</t>
        </is>
      </c>
      <c r="C64" s="32"/>
      <c r="D64" s="32"/>
      <c r="E64" s="32"/>
      <c r="F64" s="32"/>
      <c r="G64" s="32"/>
      <c r="H64" s="32"/>
      <c r="I64" s="32"/>
    </row>
    <row r="65" ht="42" customHeight="1" x14ac:dyDescent="0.25" spans="1:9">
      <c r="B65" t="inlineStr" s="32">
        <is>
          <t>8. If the allocation looks implausible — Recheck return, volatility, correlation, source/date, and starting weights. The Sharpe objective can concentrate a portfolio; use the stress test and client mandate before recommending it.</t>
        </is>
      </c>
      <c r="C65" s="32"/>
      <c r="D65" s="32"/>
      <c r="E65" s="32"/>
      <c r="F65" s="32"/>
      <c r="G65" s="32"/>
      <c r="H65" s="32"/>
      <c r="I65" s="32"/>
    </row>
    <row r="66" ht="18" customHeight="1" x14ac:dyDescent="0.25"/>
    <row r="67" ht="18" customHeight="1" x14ac:dyDescent="0.25"/>
    <row r="68" ht="24" customHeight="1" x14ac:dyDescent="0.25" spans="1:9">
      <c r="A68" t="inlineStr" s="11">
        <is>
          <t>SECTION 7 — READ THE RESULT</t>
        </is>
      </c>
      <c r="B68" s="11"/>
      <c r="C68" s="11"/>
      <c r="D68" s="11"/>
      <c r="E68" s="11"/>
      <c r="F68" s="11"/>
      <c r="G68" s="11"/>
      <c r="H68" s="11"/>
      <c r="I68" s="11"/>
    </row>
    <row r="69" ht="30" customHeight="1" x14ac:dyDescent="0.25" spans="1:9">
      <c r="A69" t="inlineStr" s="12">
        <is>
          <t>After Solver, interpret each client's Bear Case result against the starting allocation and Base Case. Keep answers concise and decision-focused.</t>
        </is>
      </c>
      <c r="B69" s="12"/>
      <c r="C69" s="12"/>
      <c r="D69" s="12"/>
      <c r="E69" s="12"/>
      <c r="F69" s="12"/>
      <c r="G69" s="12"/>
      <c r="H69" s="12"/>
      <c r="I69" s="12"/>
    </row>
    <row r="70" spans="1:9" ht="38" customHeight="1">
      <c r="B70" t="inlineStr" s="16">
        <is>
          <t>Client</t>
        </is>
      </c>
      <c r="C70" t="inlineStr" s="16">
        <is>
          <t>Change from Base / starting allocation</t>
        </is>
      </c>
      <c r="D70" s="16"/>
      <c r="E70" t="inlineStr" s="16">
        <is>
          <t>Assumption or constraint driving it</t>
        </is>
      </c>
      <c r="F70" s="16"/>
      <c r="G70" t="inlineStr" s="16">
        <is>
          <t>Main trade-off</t>
        </is>
      </c>
      <c r="H70" s="16"/>
      <c r="I70" t="inlineStr" s="16">
        <is>
          <t>Revisit trigger</t>
        </is>
      </c>
    </row>
    <row r="71" spans="1:9" ht="52" customHeight="1">
      <c r="B71" t="inlineStr" s="17">
        <is>
          <t>Client 1</t>
        </is>
      </c>
      <c r="C71" s="4"/>
      <c r="D71" s="4"/>
      <c r="E71" s="4"/>
      <c r="F71" s="4"/>
      <c r="G71" s="4"/>
      <c r="H71" s="4"/>
      <c r="I71" s="4"/>
    </row>
    <row r="72" spans="1:9" ht="52" customHeight="1">
      <c r="B72" t="inlineStr" s="17">
        <is>
          <t>Client 2</t>
        </is>
      </c>
      <c r="C72" s="4"/>
      <c r="D72" s="4"/>
      <c r="E72" s="4"/>
      <c r="F72" s="4"/>
      <c r="G72" s="4"/>
      <c r="H72" s="4"/>
      <c r="I72" s="4"/>
    </row>
    <row r="73" spans="1:9" ht="52" customHeight="1">
      <c r="B73" t="inlineStr" s="17">
        <is>
          <t>Client 3</t>
        </is>
      </c>
      <c r="C73" s="4"/>
      <c r="D73" s="4"/>
      <c r="E73" s="4"/>
      <c r="F73" s="4"/>
      <c r="G73" s="4"/>
      <c r="H73" s="4"/>
      <c r="I73" s="4"/>
    </row>
    <row r="74" spans="1:9" ht="30" customHeight="1">
      <c r="A74" t="inlineStr" s="32">
        <is>
          <t>Decision rule: use Solver output as evidence, then recommend only after checking client fit, scenario resilience, concentration, and the Phase 1 mandate.</t>
        </is>
      </c>
      <c r="B74" s="32"/>
      <c r="C74" s="32"/>
      <c r="D74" s="32"/>
      <c r="E74" s="32"/>
      <c r="F74" s="32"/>
      <c r="G74" s="32"/>
      <c r="H74" s="32"/>
      <c r="I74" s="32"/>
    </row>
  </sheetData>
  <mergeCells count="56">
    <mergeCell ref="C53:H53"/>
    <mergeCell ref="C54:H54"/>
    <mergeCell ref="C46:H46"/>
    <mergeCell ref="C47:H47"/>
    <mergeCell ref="A50:I50"/>
    <mergeCell ref="C51:H51"/>
    <mergeCell ref="C52:H52"/>
    <mergeCell ref="A35:I35"/>
    <mergeCell ref="A42:I42"/>
    <mergeCell ref="C43:H43"/>
    <mergeCell ref="C44:H44"/>
    <mergeCell ref="C45:H45"/>
    <mergeCell ref="A21:I21"/>
    <mergeCell ref="A22:I22"/>
    <mergeCell ref="A29:I29"/>
    <mergeCell ref="B30:D30"/>
    <mergeCell ref="A34:I34"/>
    <mergeCell ref="A13:I13"/>
    <mergeCell ref="A14:I14"/>
    <mergeCell ref="A2:I2"/>
    <mergeCell ref="A3:I3"/>
    <mergeCell ref="A4:I4"/>
    <mergeCell ref="A6:I6"/>
    <mergeCell ref="E7:F7"/>
    <mergeCell ref="G7:H7"/>
    <mergeCell ref="E8:F8"/>
    <mergeCell ref="G8:H8"/>
    <mergeCell ref="E9:F9"/>
    <mergeCell ref="G9:H9"/>
    <mergeCell ref="E10:F10"/>
    <mergeCell ref="G10:H10"/>
    <mergeCell ref="A56:I56"/>
    <mergeCell ref="A57:I57"/>
    <mergeCell ref="B58:I58"/>
    <mergeCell ref="B59:I59"/>
    <mergeCell ref="B60:I60"/>
    <mergeCell ref="B61:I61"/>
    <mergeCell ref="B62:I62"/>
    <mergeCell ref="B63:I63"/>
    <mergeCell ref="B64:I64"/>
    <mergeCell ref="B65:I65"/>
    <mergeCell ref="A68:I68"/>
    <mergeCell ref="A69:I69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73:D73"/>
    <mergeCell ref="E73:F73"/>
    <mergeCell ref="G73:H73"/>
    <mergeCell ref="A74:I74"/>
  </mergeCells>
  <conditionalFormatting sqref="F24:F26">
    <cfRule type="cellIs" dxfId="3" priority="2" operator="equal">
      <formula>1</formula>
    </cfRule>
    <cfRule type="cellIs" dxfId="2" priority="3" operator="notEqual">
      <formula>1</formula>
    </cfRule>
  </conditionalFormatting>
  <conditionalFormatting sqref="F37:F39">
    <cfRule type="expression" dxfId="1" priority="8">
      <formula>D37&lt;=C37</formula>
    </cfRule>
    <cfRule type="expression" dxfId="0" priority="9">
      <formula>D37&gt;C37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BASE CASE</vt:lpstr>
      <vt:lpstr>BEAR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2026-04-19T21:53:44Z</dcterms:created>
  <dcterms:modified xsi:type="dcterms:W3CDTF">2026-04-20T10:39:34Z</dcterms:modified>
  <dc:language>en-US</dc:language>
</cp:coreProperties>
</file>