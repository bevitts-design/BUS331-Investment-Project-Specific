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8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31-Investments/BME- Spring 2026 T-TH BUS331-02 Investments/Investment Project and Presentation Information/Project Files/Phase 2 - 6 Sections/"/>
    </mc:Choice>
  </mc:AlternateContent>
  <xr:revisionPtr revIDLastSave="3" documentId="11_1212E2A2326106E1570DF09BE7FA80FED8318BAC" xr6:coauthVersionLast="47" xr6:coauthVersionMax="47" xr10:uidLastSave="{1FDEF13D-301D-47B7-BE8C-59544CA2F9DA}"/>
  <bookViews>
    <workbookView xWindow="-120" yWindow="-120" windowWidth="29040" windowHeight="15720" tabRatio="500" activeTab="1" xr2:uid="{00000000-000D-0000-FFFF-FFFF00000000}"/>
  </bookViews>
  <sheets>
    <sheet name="START HERE" sheetId="1" r:id="rId1"/>
    <sheet name="BASE CASE" sheetId="2" r:id="rId2"/>
    <sheet name="BEAR CAS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3" l="1"/>
  <c r="G26" i="3"/>
  <c r="F26" i="3"/>
  <c r="H25" i="3"/>
  <c r="G25" i="3"/>
  <c r="F25" i="3"/>
  <c r="H24" i="3"/>
  <c r="G24" i="3"/>
  <c r="F24" i="3"/>
  <c r="D18" i="3"/>
  <c r="C18" i="3"/>
  <c r="C17" i="3"/>
  <c r="H26" i="2"/>
  <c r="G26" i="2"/>
  <c r="F26" i="2"/>
  <c r="H25" i="2"/>
  <c r="G25" i="2"/>
  <c r="F25" i="2"/>
  <c r="H24" i="2"/>
  <c r="G24" i="2"/>
  <c r="F24" i="2"/>
  <c r="D18" i="2"/>
  <c r="C18" i="2"/>
  <c r="C17" i="2"/>
  <c r="D39" i="2" l="1"/>
  <c r="F39" i="2" s="1"/>
  <c r="D37" i="2"/>
  <c r="F37" i="2" s="1"/>
  <c r="I25" i="2"/>
  <c r="I26" i="3"/>
  <c r="D38" i="2"/>
  <c r="F38" i="2" s="1"/>
  <c r="D37" i="3"/>
  <c r="F37" i="3" s="1"/>
  <c r="D38" i="3"/>
  <c r="F38" i="3" s="1"/>
  <c r="I24" i="3"/>
  <c r="I25" i="3"/>
  <c r="D39" i="3"/>
  <c r="F39" i="3" s="1"/>
  <c r="I26" i="2"/>
  <c r="I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100-000001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8" authorId="0" shapeId="0" xr:uid="{00000000-0006-0000-0100-00000B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C9" authorId="0" shapeId="0" xr:uid="{00000000-0006-0000-0100-000002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9" authorId="0" shapeId="0" xr:uid="{00000000-0006-0000-0100-00000C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C10" authorId="0" shapeId="0" xr:uid="{00000000-0006-0000-0100-000003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10" authorId="0" shapeId="0" xr:uid="{00000000-0006-0000-0100-00000D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D16" authorId="0" shapeId="0" xr:uid="{00000000-0006-0000-0100-00000E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E16" authorId="0" shapeId="0" xr:uid="{00000000-0006-0000-0100-000012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E17" authorId="0" shapeId="0" xr:uid="{00000000-0006-0000-0100-000013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C24" authorId="0" shapeId="0" xr:uid="{00000000-0006-0000-0100-000004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4" authorId="0" shapeId="0" xr:uid="{00000000-0006-0000-0100-00000F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4" authorId="0" shapeId="0" xr:uid="{00000000-0006-0000-0100-000014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25" authorId="0" shapeId="0" xr:uid="{00000000-0006-0000-0100-000005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5" authorId="0" shapeId="0" xr:uid="{00000000-0006-0000-0100-000010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5" authorId="0" shapeId="0" xr:uid="{00000000-0006-0000-0100-000015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26" authorId="0" shapeId="0" xr:uid="{00000000-0006-0000-0100-000006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6" authorId="0" shapeId="0" xr:uid="{00000000-0006-0000-0100-000011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6" authorId="0" shapeId="0" xr:uid="{00000000-0006-0000-0100-000016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31" authorId="0" shapeId="0" xr:uid="{00000000-0006-0000-0100-000007000000}">
      <text>
        <r>
          <rPr>
            <sz val="10"/>
            <rFont val="Arial"/>
            <family val="2"/>
          </rPr>
          <t>Enter current 3-Month T-Bill yield. Source: FRED series TB3MS or FactSet @YIELD.</t>
        </r>
      </text>
    </comment>
    <comment ref="C37" authorId="0" shapeId="0" xr:uid="{00000000-0006-0000-0100-000008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7" authorId="0" shapeId="0" xr:uid="{00000000-0006-0000-0100-000017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  <comment ref="C38" authorId="0" shapeId="0" xr:uid="{00000000-0006-0000-0100-000009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8" authorId="0" shapeId="0" xr:uid="{00000000-0006-0000-0100-000018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  <comment ref="C39" authorId="0" shapeId="0" xr:uid="{00000000-0006-0000-0100-00000A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9" authorId="0" shapeId="0" xr:uid="{00000000-0006-0000-0100-000019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200-000001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8" authorId="0" shapeId="0" xr:uid="{00000000-0006-0000-0200-00000B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C9" authorId="0" shapeId="0" xr:uid="{00000000-0006-0000-0200-000002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9" authorId="0" shapeId="0" xr:uid="{00000000-0006-0000-0200-00000C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C10" authorId="0" shapeId="0" xr:uid="{00000000-0006-0000-0200-000003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10" authorId="0" shapeId="0" xr:uid="{00000000-0006-0000-0200-00000D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D16" authorId="0" shapeId="0" xr:uid="{00000000-0006-0000-0200-00000E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E16" authorId="0" shapeId="0" xr:uid="{00000000-0006-0000-0200-000012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E17" authorId="0" shapeId="0" xr:uid="{00000000-0006-0000-0200-000013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C24" authorId="0" shapeId="0" xr:uid="{00000000-0006-0000-0200-000004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4" authorId="0" shapeId="0" xr:uid="{00000000-0006-0000-0200-00000F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4" authorId="0" shapeId="0" xr:uid="{00000000-0006-0000-0200-000014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25" authorId="0" shapeId="0" xr:uid="{00000000-0006-0000-0200-000005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5" authorId="0" shapeId="0" xr:uid="{00000000-0006-0000-0200-000010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5" authorId="0" shapeId="0" xr:uid="{00000000-0006-0000-0200-000015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26" authorId="0" shapeId="0" xr:uid="{00000000-0006-0000-0200-000006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6" authorId="0" shapeId="0" xr:uid="{00000000-0006-0000-0200-000011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6" authorId="0" shapeId="0" xr:uid="{00000000-0006-0000-0200-000016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31" authorId="0" shapeId="0" xr:uid="{00000000-0006-0000-0200-000007000000}">
      <text>
        <r>
          <rPr>
            <sz val="10"/>
            <rFont val="Arial"/>
            <family val="2"/>
          </rPr>
          <t>Enter current 3-Month T-Bill yield. Source: FRED series TB3MS or FactSet @YIELD.</t>
        </r>
      </text>
    </comment>
    <comment ref="C37" authorId="0" shapeId="0" xr:uid="{00000000-0006-0000-0200-000008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7" authorId="0" shapeId="0" xr:uid="{00000000-0006-0000-0200-000017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  <comment ref="C38" authorId="0" shapeId="0" xr:uid="{00000000-0006-0000-0200-000009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8" authorId="0" shapeId="0" xr:uid="{00000000-0006-0000-0200-000018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  <comment ref="C39" authorId="0" shapeId="0" xr:uid="{00000000-0006-0000-0200-00000A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9" authorId="0" shapeId="0" xr:uid="{00000000-0006-0000-0200-000019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</commentList>
</comments>
</file>

<file path=xl/sharedStrings.xml><?xml version="1.0" encoding="utf-8"?>
<sst xmlns="http://schemas.openxmlformats.org/spreadsheetml/2006/main" count="151" uniqueCount="79">
  <si>
    <t>BUS 331 — CME Matrix Template
Phase 2 — Workstream A: Capital Market Expectations</t>
  </si>
  <si>
    <t>Capital Market Expectations Matrix  |  Endicott College</t>
  </si>
  <si>
    <t>Step 1 — Complete Phase 1 First</t>
  </si>
  <si>
    <t>Your macro thesis (GDP forecast, CPI outlook, yield curve view) must be finalized before entering any numbers here. Every input in this workbook flows from Phase 1.</t>
  </si>
  <si>
    <t>Step 2 — Fill in BASE CASE tab</t>
  </si>
  <si>
    <t>Enter expected returns, standard deviations, and correlations under your Base Case (50–60% probability). Source each input from FactSet or FRED.</t>
  </si>
  <si>
    <t>Step 3 — Fill in BEAR CASE tab</t>
  </si>
  <si>
    <t>Repeat for your Bear Case. Key change: push asset class correlations upward (toward 0.85–0.95). Equity returns drop; bond returns may also fall if inflation is the Bear driver.</t>
  </si>
  <si>
    <t>Step 4 — Enter IPS constraints</t>
  </si>
  <si>
    <t>Use the Phase 1 IPS constraints. In Section 5 of each tab, enter each client's maximum σ limit and maximum drawdown (Tripwire). The Status column will flag any constraint violations.</t>
  </si>
  <si>
    <t>Step 5 — Run Excel Solver</t>
  </si>
  <si>
    <t>Use Solver to maximize the Sharpe Ratio for each client (objective = Sharpe Ratio cell). Changing cells = the three weight cells. Constraints: weights sum to 100%; each weight ≥ 0%; portfolio σ ≤ IPS limit.</t>
  </si>
  <si>
    <t>Step 6 — Paste Solver results</t>
  </si>
  <si>
    <t>After Solver converges, paste the optimal weights into Section 3. The portfolio E(R), σ, and Sharpe Ratio will calculate automatically.</t>
  </si>
  <si>
    <t>Step 7 — AI Audit Log</t>
  </si>
  <si>
    <t>If you used any AI tool to suggest inputs (e.g., expected returns, correlations), document the prompt and your verification source in your team's AI Audit Log before submitting.</t>
  </si>
  <si>
    <t>EXCEL SOLVER SETUP — QUICK REFERENCE</t>
  </si>
  <si>
    <t>Set Objective:      Sharpe Ratio cell (column I, client row)  →  MAX</t>
  </si>
  <si>
    <t>By Changing Cells:  w₁, w₂, w₃ (columns C, D, E for that client row)</t>
  </si>
  <si>
    <t>Subject to:         C+D+E = 1  (weights sum to 100%)</t>
  </si>
  <si>
    <t xml:space="preserve">                    C, D, E ≥ 0  (no short-selling)</t>
  </si>
  <si>
    <t xml:space="preserve">                    Portfolio σ ≤ IPS max σ  (Section 5 constraint)</t>
  </si>
  <si>
    <t>Solving Method:     GRG Nonlinear</t>
  </si>
  <si>
    <t>Capital Market Expectations Matrix  —  Base Case</t>
  </si>
  <si>
    <t>BUS 331 Investments  |  Endicott College  |  Phase 2 — Workstream A: Capital Market Expectations</t>
  </si>
  <si>
    <t>⚠  All expected return and standard deviation inputs must be sourced from your Phase 1 macro thesis and verified against FactSet / FRED.</t>
  </si>
  <si>
    <t>SECTION 1 — INDIVIDUAL ASSET CLASS ASSUMPTIONS</t>
  </si>
  <si>
    <t>Asset Class</t>
  </si>
  <si>
    <t>Expected Return
E(R)</t>
  </si>
  <si>
    <t>Standard Deviation
(σ)</t>
  </si>
  <si>
    <t>Macro Justification
(cite Phase 1 source)</t>
  </si>
  <si>
    <t>U.S. Equities</t>
  </si>
  <si>
    <t>Fixed Income</t>
  </si>
  <si>
    <t>Cash / Cash Equivalents</t>
  </si>
  <si>
    <t>SECTION 2 — CORRELATION MATRIX</t>
  </si>
  <si>
    <t>Enter pairwise correlations (–1.0 to 1.0). Diagonal = 1.00 (asset with itself).</t>
  </si>
  <si>
    <t>Correlation (ρ)</t>
  </si>
  <si>
    <t>Cash</t>
  </si>
  <si>
    <t>SECTION 3 — PORTFOLIO WEIGHTS &amp; EXPECTED PORTFOLIO STATISTICS</t>
  </si>
  <si>
    <t>Enter portfolio weights for each client below. Weights must sum to 100%. After running Excel Solver, paste final optimized weights here.</t>
  </si>
  <si>
    <t>U.S. Equities
Weight (w₁)</t>
  </si>
  <si>
    <t>Fixed Income
Weight (w₂)</t>
  </si>
  <si>
    <t>Cash
Weight (w₃)</t>
  </si>
  <si>
    <t>∑ Weights
(must = 100%)</t>
  </si>
  <si>
    <t>Portfolio E(R)</t>
  </si>
  <si>
    <t>Portfolio σ</t>
  </si>
  <si>
    <t>Sharpe Ratio</t>
  </si>
  <si>
    <t>Client 1</t>
  </si>
  <si>
    <t>Client 2</t>
  </si>
  <si>
    <t>Client 3</t>
  </si>
  <si>
    <t>SECTION 4 — RISK-FREE RATE ASSUMPTION</t>
  </si>
  <si>
    <t>Risk-Free Rate (Rf)  — source: current 3-Month T-Bill yield from FRED</t>
  </si>
  <si>
    <t>Rf Value:</t>
  </si>
  <si>
    <t>SECTION 5 — IPS CONSTRAINT CHECK</t>
  </si>
  <si>
    <t>Use the Phase 1 IPS constraints. After entering weights, verify each client's portfolio σ does not exceed the approved standard deviation limit. Enter the IPS limits below for reference.</t>
  </si>
  <si>
    <t>IPS Max σ
(Phase 1 IPS)</t>
  </si>
  <si>
    <t>Portfolio σ
(computed above)</t>
  </si>
  <si>
    <t>IPS Max Drawdown
(Tripwire)</t>
  </si>
  <si>
    <t>Status</t>
  </si>
  <si>
    <t>DATA SOURCES &amp; AI AUDIT LOG REMINDER</t>
  </si>
  <si>
    <t>Expected Returns (E(R))</t>
  </si>
  <si>
    <t>FactSet @ECO (GDP / CPI consensus), Bloomberg, or team Phase 1 macro thesis</t>
  </si>
  <si>
    <t>Standard Deviations (σ)</t>
  </si>
  <si>
    <t>FRED, FactSet historical volatility data, or BKM textbook historical averages</t>
  </si>
  <si>
    <t>Correlations (ρ)</t>
  </si>
  <si>
    <t>FactSet @CORR screen, FRED, or BKM Exhibit 7.4 (historical correlations)</t>
  </si>
  <si>
    <t>Risk-Free Rate (Rf)</t>
  </si>
  <si>
    <t>FRED series TB3MS (3-Month T-Bill Secondary Market Rate)</t>
  </si>
  <si>
    <t>AI Audit Log</t>
  </si>
  <si>
    <t>Document any AI tool used to suggest inputs in your team's AI Audit Log. Verify every number.</t>
  </si>
  <si>
    <t>LEGEND</t>
  </si>
  <si>
    <t>Sample</t>
  </si>
  <si>
    <t>Student Input (Blue text = enter your value)</t>
  </si>
  <si>
    <t>Calculated Formula (do not edit)</t>
  </si>
  <si>
    <t>Fixed Value (diagonal of correlation matrix = 1.00)</t>
  </si>
  <si>
    <t>Label / Reference</t>
  </si>
  <si>
    <t>Capital Market Expectations Matrix  —  Bear Case</t>
  </si>
  <si>
    <t>⚠  BEAR CASE: Apply recessionary / stagflation assumptions. Increase correlations — asset class correlations converge toward 1.0 during a market panic. Adjust all returns downward per your Phase 1 Bear Case.</t>
  </si>
  <si>
    <t>Enter pairwise correlations (–1.0 to 1.0). Diagonal = 1.00 (asset with itself).  ▲ BEAR CASE: Push equity correlations toward 0.85–0.95 (flight-to-quality collapse).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</si>
</sst>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5A6A7E"/>
      <name val="Arial"/>
      <family val="2"/>
    </font>
    <font>
      <b/>
      <sz val="10"/>
      <color rgb="FFFFFFFF"/>
      <name val="Arial"/>
      <family val="2"/>
    </font>
    <font>
      <sz val="9"/>
      <color rgb="FF333333"/>
      <name val="Arial"/>
      <family val="2"/>
    </font>
    <font>
      <b/>
      <sz val="15"/>
      <color rgb="FFFFFFFF"/>
      <name val="Arial"/>
      <family val="2"/>
    </font>
    <font>
      <i/>
      <sz val="9"/>
      <color rgb="FF5A6A7E"/>
      <name val="Arial"/>
      <family val="2"/>
    </font>
    <font>
      <sz val="9"/>
      <color rgb="FF856404"/>
      <name val="Arial"/>
      <family val="2"/>
    </font>
    <font>
      <b/>
      <sz val="9"/>
      <color rgb="FFFFFFFF"/>
      <name val="Arial"/>
      <family val="2"/>
    </font>
    <font>
      <b/>
      <sz val="10"/>
      <color rgb="FF0A1628"/>
      <name val="Arial"/>
      <family val="2"/>
    </font>
    <font>
      <sz val="10"/>
      <color rgb="FF0000FF"/>
      <name val="Arial"/>
      <family val="2"/>
    </font>
    <font>
      <sz val="9"/>
      <color rgb="FF0000FF"/>
      <name val="Arial"/>
      <family val="2"/>
    </font>
    <font>
      <b/>
      <sz val="9"/>
      <color rgb="FF0A162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9"/>
      <color rgb="FF000000"/>
      <name val="Arial"/>
      <family val="2"/>
    </font>
    <font>
      <sz val="9"/>
      <color rgb="FF0A1628"/>
      <name val="Arial"/>
      <family val="2"/>
    </font>
    <font>
      <sz val="9"/>
      <color rgb="FF721C2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FFFFF"/>
        <bgColor rgb="FFFFFDE7"/>
      </patternFill>
    </fill>
    <fill>
      <patternFill patternType="solid">
        <fgColor rgb="FFEBF3FA"/>
        <bgColor rgb="FFFFFFFF"/>
      </patternFill>
    </fill>
    <fill>
      <patternFill patternType="solid">
        <fgColor rgb="FFFFFDE7"/>
        <bgColor rgb="FFFFFFFF"/>
      </patternFill>
    </fill>
    <fill>
      <patternFill patternType="solid">
        <fgColor rgb="FFFFF3CD"/>
        <bgColor rgb="FFFFFDE7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4EDDA"/>
      </patternFill>
    </fill>
    <fill>
      <patternFill patternType="solid">
        <fgColor rgb="FFF8D7DA"/>
        <bgColor rgb="FFFFF3CD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C9A84C"/>
      </bottom>
      <diagonal/>
    </border>
    <border>
      <left style="medium">
        <color rgb="FFC9A84C"/>
      </left>
      <right/>
      <top/>
      <bottom/>
      <diagonal/>
    </border>
    <border>
      <left style="thin">
        <color rgb="FFCBD8E8"/>
      </left>
      <right/>
      <top style="thin">
        <color rgb="FFCBD8E8"/>
      </top>
      <bottom style="thin">
        <color rgb="FFCBD8E8"/>
      </bottom>
      <diagonal/>
    </border>
    <border>
      <left style="thin">
        <color rgb="FFC9A84C"/>
      </left>
      <right/>
      <top style="thin">
        <color rgb="FFC9A84C"/>
      </top>
      <bottom style="thin">
        <color rgb="FFC9A84C"/>
      </bottom>
      <diagonal/>
    </border>
    <border>
      <left/>
      <right/>
      <top style="medium">
        <color rgb="FFC9A84C"/>
      </top>
      <bottom style="medium">
        <color rgb="FFC9A84C"/>
      </bottom>
      <diagonal/>
    </border>
    <border>
      <left style="thin">
        <color rgb="FF0A1628"/>
      </left>
      <right style="thin">
        <color rgb="FF0A1628"/>
      </right>
      <top style="thin">
        <color rgb="FF0A1628"/>
      </top>
      <bottom style="thin">
        <color rgb="FF0A1628"/>
      </bottom>
      <diagonal/>
    </border>
    <border>
      <left style="thin">
        <color rgb="FF0A1628"/>
      </left>
      <right/>
      <top style="thin">
        <color rgb="FF0A1628"/>
      </top>
      <bottom style="thin">
        <color rgb="FF0A1628"/>
      </bottom>
      <diagonal/>
    </border>
    <border>
      <left style="thin">
        <color rgb="FFCBD8E8"/>
      </left>
      <right style="thin">
        <color rgb="FFCBD8E8"/>
      </right>
      <top style="thin">
        <color rgb="FFCBD8E8"/>
      </top>
      <bottom style="thin">
        <color rgb="FFCBD8E8"/>
      </bottom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/>
      <right/>
      <top style="medium">
        <color rgb="FFC0392B"/>
      </top>
      <bottom style="medium">
        <color rgb="FFC0392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9" fillId="9" borderId="10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left" vertical="center"/>
    </xf>
    <xf numFmtId="164" fontId="11" fillId="7" borderId="9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 vertical="center"/>
    </xf>
    <xf numFmtId="2" fontId="14" fillId="8" borderId="8" xfId="0" applyNumberFormat="1" applyFont="1" applyFill="1" applyBorder="1" applyAlignment="1">
      <alignment horizontal="center" vertical="center"/>
    </xf>
    <xf numFmtId="2" fontId="11" fillId="7" borderId="9" xfId="0" applyNumberFormat="1" applyFont="1" applyFill="1" applyBorder="1" applyAlignment="1">
      <alignment horizontal="center" vertical="center"/>
    </xf>
    <xf numFmtId="2" fontId="15" fillId="5" borderId="8" xfId="0" applyNumberFormat="1" applyFont="1" applyFill="1" applyBorder="1" applyAlignment="1">
      <alignment horizontal="center" vertical="center"/>
    </xf>
    <xf numFmtId="164" fontId="15" fillId="5" borderId="9" xfId="0" applyNumberFormat="1" applyFont="1" applyFill="1" applyBorder="1" applyAlignment="1">
      <alignment horizontal="center" vertical="center"/>
    </xf>
    <xf numFmtId="2" fontId="15" fillId="5" borderId="9" xfId="0" applyNumberFormat="1" applyFont="1" applyFill="1" applyBorder="1" applyAlignment="1">
      <alignment horizontal="center" vertical="center"/>
    </xf>
    <xf numFmtId="164" fontId="16" fillId="5" borderId="8" xfId="0" applyNumberFormat="1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721C24"/>
      </font>
      <fill>
        <patternFill>
          <bgColor rgb="FFF8D7DA"/>
        </patternFill>
      </fill>
    </dxf>
    <dxf>
      <font>
        <b/>
        <color rgb="FF155724"/>
      </font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ont>
        <b/>
        <color rgb="FF721C24"/>
      </font>
      <fill>
        <patternFill>
          <bgColor rgb="FFF8D7DA"/>
        </patternFill>
      </fill>
    </dxf>
    <dxf>
      <font>
        <b/>
        <color rgb="FF155724"/>
      </font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1F6B3A"/>
      <rgbColor rgb="FFC0C0C0"/>
      <rgbColor rgb="FF808080"/>
      <rgbColor rgb="FF9999FF"/>
      <rgbColor rgb="FFC0392B"/>
      <rgbColor rgb="FFFFFDE7"/>
      <rgbColor rgb="FFEBF3FA"/>
      <rgbColor rgb="FF660066"/>
      <rgbColor rgb="FFFF8080"/>
      <rgbColor rgb="FF0066CC"/>
      <rgbColor rgb="FFCB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4EDDA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A6A7E"/>
      <rgbColor rgb="FFC9A84C"/>
      <rgbColor rgb="FF003366"/>
      <rgbColor rgb="FF339966"/>
      <rgbColor rgb="FF0A1628"/>
      <rgbColor rgb="FF155724"/>
      <rgbColor rgb="FF8B1A1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1628"/>
  </sheetPr>
  <dimension ref="A1:C33"/>
  <sheetViews>
    <sheetView showGridLines="0" topLeftCell="A10" zoomScaleNormal="100" workbookViewId="0">
      <selection activeCell="B19" sqref="B19:C19"/>
    </sheetView>
  </sheetViews>
  <sheetFormatPr defaultColWidth="8.7109375" defaultRowHeight="15" x14ac:dyDescent="0.25"/>
  <cols>
    <col min="1" max="1" width="2" customWidth="1"/>
    <col min="2" max="2" width="60" customWidth="1"/>
    <col min="3" max="3" width="30" customWidth="1"/>
  </cols>
  <sheetData>
    <row r="1" spans="1:3" ht="6" customHeight="1" x14ac:dyDescent="0.25"/>
    <row r="2" spans="1:3" ht="48" customHeight="1" x14ac:dyDescent="0.25">
      <c r="A2" s="14" t="s">
        <v>0</v>
      </c>
      <c r="B2" s="14"/>
      <c r="C2" s="14"/>
    </row>
    <row r="3" spans="1:3" ht="21.75" customHeight="1" x14ac:dyDescent="0.25">
      <c r="A3" s="13" t="s">
        <v>1</v>
      </c>
      <c r="B3" s="13"/>
      <c r="C3" s="13"/>
    </row>
    <row r="5" spans="1:3" ht="36" customHeight="1" x14ac:dyDescent="0.25">
      <c r="B5" s="12" t="inlineStr">
        <is>
          <t>This workbook sets the strategic allocation inputs that support the Phase 2 client portfolios and stress testing.</t>
        </is>
      </c>
      <c r="C5" s="12"/>
    </row>
    <row r="6" spans="1:3" ht="19.5" customHeight="1" x14ac:dyDescent="0.25">
      <c r="B6" s="15" t="s">
        <v>2</v>
      </c>
    </row>
    <row r="7" spans="1:3" ht="36" customHeight="1" x14ac:dyDescent="0.25">
      <c r="B7" s="12" t="s">
        <v>3</v>
      </c>
      <c r="C7" s="12"/>
    </row>
    <row r="8" spans="1:3" ht="13.5" customHeight="1" x14ac:dyDescent="0.25"/>
    <row r="9" spans="1:3" ht="19.5" customHeight="1" x14ac:dyDescent="0.25">
      <c r="B9" s="15" t="s">
        <v>4</v>
      </c>
    </row>
    <row r="10" spans="1:3" ht="36" customHeight="1" x14ac:dyDescent="0.25">
      <c r="B10" s="12" t="s">
        <v>5</v>
      </c>
      <c r="C10" s="12"/>
    </row>
    <row r="11" spans="1:3" ht="13.5" customHeight="1" x14ac:dyDescent="0.25"/>
    <row r="12" spans="1:3" ht="19.5" customHeight="1" x14ac:dyDescent="0.25">
      <c r="B12" s="15" t="s">
        <v>6</v>
      </c>
    </row>
    <row r="13" spans="1:3" ht="36" customHeight="1" x14ac:dyDescent="0.25">
      <c r="B13" s="12" t="s">
        <v>7</v>
      </c>
      <c r="C13" s="12"/>
    </row>
    <row r="14" spans="1:3" ht="13.5" customHeight="1" x14ac:dyDescent="0.25"/>
    <row r="15" spans="1:3" ht="19.5" customHeight="1" x14ac:dyDescent="0.25">
      <c r="B15" s="15" t="s">
        <v>8</v>
      </c>
    </row>
    <row r="16" spans="1:3" ht="36" customHeight="1" x14ac:dyDescent="0.25">
      <c r="B16" s="12" t="s">
        <v>9</v>
      </c>
      <c r="C16" s="12"/>
    </row>
    <row r="17" spans="2:3" ht="13.5" customHeight="1" x14ac:dyDescent="0.25"/>
    <row r="18" spans="2:3" ht="19.5" customHeight="1" x14ac:dyDescent="0.25">
      <c r="B18" s="15" t="s">
        <v>10</v>
      </c>
    </row>
    <row r="19" spans="2:3" ht="36" customHeight="1" x14ac:dyDescent="0.25">
      <c r="B19" s="12" t="s">
        <v>11</v>
      </c>
      <c r="C19" s="12"/>
    </row>
    <row r="20" spans="2:3" ht="13.5" customHeight="1" x14ac:dyDescent="0.25"/>
    <row r="21" spans="2:3" ht="19.5" customHeight="1" x14ac:dyDescent="0.25">
      <c r="B21" s="15" t="s">
        <v>12</v>
      </c>
    </row>
    <row r="22" spans="2:3" ht="36" customHeight="1" x14ac:dyDescent="0.25">
      <c r="B22" s="12" t="s">
        <v>13</v>
      </c>
      <c r="C22" s="12"/>
    </row>
    <row r="23" spans="2:3" ht="13.5" customHeight="1" x14ac:dyDescent="0.25"/>
    <row r="24" spans="2:3" ht="19.5" customHeight="1" x14ac:dyDescent="0.25">
      <c r="B24" s="15" t="s">
        <v>14</v>
      </c>
    </row>
    <row r="25" spans="2:3" ht="36" customHeight="1" x14ac:dyDescent="0.25">
      <c r="B25" s="12" t="s">
        <v>15</v>
      </c>
      <c r="C25" s="12"/>
    </row>
    <row r="27" spans="2:3" x14ac:dyDescent="0.25">
      <c r="B27" s="11" t="s">
        <v>16</v>
      </c>
      <c r="C27" s="11"/>
    </row>
    <row r="28" spans="2:3" ht="18" customHeight="1" x14ac:dyDescent="0.25">
      <c r="B28" s="10" t="s">
        <v>17</v>
      </c>
      <c r="C28" s="10"/>
    </row>
    <row r="29" spans="2:3" ht="18" customHeight="1" x14ac:dyDescent="0.25">
      <c r="B29" s="10" t="s">
        <v>18</v>
      </c>
      <c r="C29" s="10"/>
    </row>
    <row r="30" spans="2:3" ht="18" customHeight="1" x14ac:dyDescent="0.25">
      <c r="B30" s="10" t="s">
        <v>19</v>
      </c>
      <c r="C30" s="10"/>
    </row>
    <row r="31" spans="2:3" ht="18" customHeight="1" x14ac:dyDescent="0.25">
      <c r="B31" s="10" t="s">
        <v>20</v>
      </c>
      <c r="C31" s="10"/>
    </row>
    <row r="32" spans="2:3" ht="18" customHeight="1" x14ac:dyDescent="0.25">
      <c r="B32" s="10" t="s">
        <v>21</v>
      </c>
      <c r="C32" s="10"/>
    </row>
    <row r="33" spans="2:3" ht="18" customHeight="1" x14ac:dyDescent="0.25">
      <c r="B33" s="10" t="s">
        <v>22</v>
      </c>
      <c r="C33" s="10"/>
    </row>
  </sheetData>
  <mergeCells count="16">
    <mergeCell ref="B33:C33"/>
    <mergeCell ref="B28:C28"/>
    <mergeCell ref="B29:C29"/>
    <mergeCell ref="B30:C30"/>
    <mergeCell ref="B31:C31"/>
    <mergeCell ref="B32:C32"/>
    <mergeCell ref="B16:C16"/>
    <mergeCell ref="B19:C19"/>
    <mergeCell ref="B22:C22"/>
    <mergeCell ref="B25:C25"/>
    <mergeCell ref="B27:C27"/>
    <mergeCell ref="A2:C2"/>
    <mergeCell ref="A3:C3"/>
    <mergeCell ref="B7:C7"/>
    <mergeCell ref="B10:C10"/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B3A"/>
  </sheetPr>
  <dimension ref="A1:I69"/>
  <sheetViews>
    <sheetView showGridLines="0" tabSelected="1" zoomScaleNormal="100" workbookViewId="0">
      <selection activeCell="I24" sqref="I24"/>
    </sheetView>
  </sheetViews>
  <sheetFormatPr defaultColWidth="8.7109375" defaultRowHeight="15" x14ac:dyDescent="0.25"/>
  <cols>
    <col min="1" max="1" width="2" customWidth="1"/>
    <col min="2" max="2" width="26" customWidth="1"/>
    <col min="3" max="5" width="18" customWidth="1"/>
    <col min="6" max="8" width="20" customWidth="1"/>
    <col min="9" max="9" width="29.5703125" customWidth="1"/>
  </cols>
  <sheetData>
    <row r="1" spans="1:9" ht="6" customHeight="1" x14ac:dyDescent="0.25"/>
    <row r="2" spans="1:9" ht="39.75" customHeight="1" x14ac:dyDescent="0.25">
      <c r="A2" s="9" t="s">
        <v>23</v>
      </c>
      <c r="B2" s="9"/>
      <c r="C2" s="9"/>
      <c r="D2" s="9"/>
      <c r="E2" s="9"/>
      <c r="F2" s="9"/>
      <c r="G2" s="9"/>
      <c r="H2" s="9"/>
      <c r="I2" s="9"/>
    </row>
    <row r="3" spans="1:9" ht="21.75" customHeight="1" x14ac:dyDescent="0.25">
      <c r="A3" s="8" t="s">
        <v>24</v>
      </c>
      <c r="B3" s="8"/>
      <c r="C3" s="8"/>
      <c r="D3" s="8"/>
      <c r="E3" s="8"/>
      <c r="F3" s="8"/>
      <c r="G3" s="8"/>
      <c r="H3" s="8"/>
      <c r="I3" s="8"/>
    </row>
    <row r="4" spans="1:9" ht="36" customHeight="1" x14ac:dyDescent="0.25">
      <c r="A4" s="7" t="s">
        <v>25</v>
      </c>
      <c r="B4" s="7"/>
      <c r="C4" s="7"/>
      <c r="D4" s="7"/>
      <c r="E4" s="7"/>
      <c r="F4" s="7"/>
      <c r="G4" s="7"/>
      <c r="H4" s="7"/>
      <c r="I4" s="7"/>
    </row>
    <row r="5" spans="1:9" ht="18" customHeight="1" x14ac:dyDescent="0.25"/>
    <row r="6" spans="1:9" ht="31.5" customHeight="1" x14ac:dyDescent="0.25">
      <c r="A6" s="6" t="s">
        <v>26</v>
      </c>
      <c r="B6" s="6"/>
      <c r="C6" s="6"/>
      <c r="D6" s="6"/>
      <c r="E6" s="6"/>
      <c r="F6" s="6"/>
      <c r="G6" s="6"/>
      <c r="H6" s="6"/>
      <c r="I6" s="6"/>
    </row>
    <row r="7" spans="1:9" ht="36" customHeight="1" x14ac:dyDescent="0.25">
      <c r="B7" s="16" t="s">
        <v>27</v>
      </c>
      <c r="C7" s="16" t="s">
        <v>28</v>
      </c>
      <c r="D7" s="16" t="s">
        <v>29</v>
      </c>
      <c r="E7" s="5" t="s">
        <v>30</v>
      </c>
      <c r="F7" s="5"/>
      <c r="G7" s="5"/>
      <c r="H7" s="5"/>
    </row>
    <row r="8" spans="1:9" ht="21.75" customHeight="1" x14ac:dyDescent="0.25">
      <c r="B8" s="17" t="s">
        <v>31</v>
      </c>
      <c r="C8" s="18"/>
      <c r="D8" s="18"/>
      <c r="E8" s="4"/>
      <c r="F8" s="4"/>
      <c r="G8" s="4"/>
      <c r="H8" s="4"/>
    </row>
    <row r="9" spans="1:9" ht="21.75" customHeight="1" x14ac:dyDescent="0.25">
      <c r="B9" s="17" t="s">
        <v>32</v>
      </c>
      <c r="C9" s="18"/>
      <c r="D9" s="18"/>
      <c r="E9" s="4"/>
      <c r="F9" s="4"/>
      <c r="G9" s="4"/>
      <c r="H9" s="4"/>
    </row>
    <row r="10" spans="1:9" ht="21.75" customHeight="1" x14ac:dyDescent="0.25">
      <c r="B10" s="17" t="s">
        <v>33</v>
      </c>
      <c r="C10" s="18"/>
      <c r="D10" s="18"/>
      <c r="E10" s="4"/>
      <c r="F10" s="4"/>
      <c r="G10" s="4"/>
      <c r="H10" s="4"/>
    </row>
    <row r="11" spans="1:9" ht="18" customHeight="1" x14ac:dyDescent="0.25"/>
    <row r="12" spans="1:9" ht="30" customHeight="1" x14ac:dyDescent="0.25"/>
    <row r="13" spans="1:9" ht="18" customHeight="1" x14ac:dyDescent="0.25">
      <c r="A13" s="11" t="s">
        <v>34</v>
      </c>
      <c r="B13" s="11"/>
      <c r="C13" s="11"/>
      <c r="D13" s="11"/>
      <c r="E13" s="11"/>
      <c r="F13" s="11"/>
      <c r="G13" s="11"/>
      <c r="H13" s="11"/>
      <c r="I13" s="11"/>
    </row>
    <row r="14" spans="1:9" ht="24" customHeight="1" x14ac:dyDescent="0.25">
      <c r="A14" s="12" t="s">
        <v>35</v>
      </c>
      <c r="B14" s="12"/>
      <c r="C14" s="12"/>
      <c r="D14" s="12"/>
      <c r="E14" s="12"/>
      <c r="F14" s="12"/>
      <c r="G14" s="12"/>
      <c r="H14" s="12"/>
      <c r="I14" s="12"/>
    </row>
    <row r="15" spans="1:9" ht="27.75" customHeight="1" x14ac:dyDescent="0.25">
      <c r="B15" s="19" t="s">
        <v>36</v>
      </c>
      <c r="C15" s="16" t="s">
        <v>31</v>
      </c>
      <c r="D15" s="16" t="s">
        <v>32</v>
      </c>
      <c r="E15" s="16" t="s">
        <v>37</v>
      </c>
    </row>
    <row r="16" spans="1:9" ht="18" customHeight="1" x14ac:dyDescent="0.25">
      <c r="B16" s="20" t="s">
        <v>31</v>
      </c>
      <c r="C16" s="21">
        <v>1</v>
      </c>
      <c r="D16" s="22"/>
      <c r="E16" s="22"/>
    </row>
    <row r="17" spans="1:9" ht="18" customHeight="1" x14ac:dyDescent="0.25">
      <c r="B17" s="20" t="s">
        <v>32</v>
      </c>
      <c r="C17" s="23">
        <f>D16</f>
        <v>0</v>
      </c>
      <c r="D17" s="21">
        <v>1</v>
      </c>
      <c r="E17" s="22"/>
    </row>
    <row r="18" spans="1:9" ht="18" customHeight="1" x14ac:dyDescent="0.25">
      <c r="B18" s="20" t="s">
        <v>37</v>
      </c>
      <c r="C18" s="23">
        <f>E16</f>
        <v>0</v>
      </c>
      <c r="D18" s="23">
        <f>E17</f>
        <v>0</v>
      </c>
      <c r="E18" s="21">
        <v>1</v>
      </c>
    </row>
    <row r="19" spans="1:9" ht="18" customHeight="1" x14ac:dyDescent="0.25"/>
    <row r="20" spans="1:9" ht="9.75" customHeight="1" x14ac:dyDescent="0.25"/>
    <row r="21" spans="1:9" ht="18" customHeight="1" x14ac:dyDescent="0.25">
      <c r="A21" s="11" t="s">
        <v>38</v>
      </c>
      <c r="B21" s="11"/>
      <c r="C21" s="11"/>
      <c r="D21" s="11"/>
      <c r="E21" s="11"/>
      <c r="F21" s="11"/>
      <c r="G21" s="11"/>
      <c r="H21" s="11"/>
      <c r="I21" s="11"/>
    </row>
    <row r="22" spans="1:9" ht="24" customHeight="1" x14ac:dyDescent="0.25">
      <c r="A22" s="12" t="s">
        <v>39</v>
      </c>
      <c r="B22" s="12"/>
      <c r="C22" s="12"/>
      <c r="D22" s="12"/>
      <c r="E22" s="12"/>
      <c r="F22" s="12"/>
      <c r="G22" s="12"/>
      <c r="H22" s="12"/>
      <c r="I22" s="12"/>
    </row>
    <row r="23" spans="1:9" ht="39.75" customHeight="1" x14ac:dyDescent="0.25">
      <c r="B23" s="19"/>
      <c r="C23" s="16" t="s">
        <v>40</v>
      </c>
      <c r="D23" s="16" t="s">
        <v>41</v>
      </c>
      <c r="E23" s="16" t="s">
        <v>42</v>
      </c>
      <c r="F23" s="16" t="s">
        <v>43</v>
      </c>
      <c r="G23" s="16" t="s">
        <v>44</v>
      </c>
      <c r="H23" s="16" t="s">
        <v>45</v>
      </c>
      <c r="I23" s="16" t="s">
        <v>46</v>
      </c>
    </row>
    <row r="24" spans="1:9" ht="21.75" customHeight="1" x14ac:dyDescent="0.25">
      <c r="B24" s="17" t="s">
        <v>47</v>
      </c>
      <c r="C24" s="18"/>
      <c r="D24" s="18"/>
      <c r="E24" s="18"/>
      <c r="F24" s="24">
        <f>C24+D24+E24</f>
        <v>0</v>
      </c>
      <c r="G24" s="24">
        <f>C24*C8+D24*C9+E24*C10</f>
        <v>0</v>
      </c>
      <c r="H24" s="24">
        <f>SQRT(C24^2*D8^2 + D24^2*D9^2 + E24^2*D10^2 + 2*C24*D24*D16*D8*D9 + 2*C24*E24*E16*D8*D10 + 2*D24*E24*E17*D9*D10)</f>
        <v>0</v>
      </c>
      <c r="I24" s="25" t="str">
        <f>IF(H24&gt;0,(G24-$C$31)/H24,"—")</f>
        <v>—</v>
      </c>
    </row>
    <row r="25" spans="1:9" ht="21.75" customHeight="1" x14ac:dyDescent="0.25">
      <c r="B25" s="17" t="s">
        <v>48</v>
      </c>
      <c r="C25" s="18"/>
      <c r="D25" s="18"/>
      <c r="E25" s="18"/>
      <c r="F25" s="24">
        <f>C25+D25+E25</f>
        <v>0</v>
      </c>
      <c r="G25" s="24">
        <f>C25*C8+D25*C9+E25*C10</f>
        <v>0</v>
      </c>
      <c r="H25" s="24">
        <f>SQRT(C25^2*D8^2 + D25^2*D9^2 + E25^2*D10^2 + 2*C25*D25*D16*D8*D9 + 2*C25*E25*E16*D8*D10 + 2*D25*E25*E17*D9*D10)</f>
        <v>0</v>
      </c>
      <c r="I25" s="25" t="str">
        <f>IF(H25&gt;0,(G25-$C$31)/H25,"—")</f>
        <v>—</v>
      </c>
    </row>
    <row r="26" spans="1:9" ht="21.75" customHeight="1" x14ac:dyDescent="0.25">
      <c r="B26" s="17" t="s">
        <v>49</v>
      </c>
      <c r="C26" s="18"/>
      <c r="D26" s="18"/>
      <c r="E26" s="18"/>
      <c r="F26" s="24">
        <f>C26+D26+E26</f>
        <v>0</v>
      </c>
      <c r="G26" s="24">
        <f>C26*C8+D26*C9+E26*C10</f>
        <v>0</v>
      </c>
      <c r="H26" s="24">
        <f>SQRT(C26^2*D8^2 + D26^2*D9^2 + E26^2*D10^2 + 2*C26*D26*D16*D8*D9 + 2*C26*E26*E16*D8*D10 + 2*D26*E26*E17*D9*D10)</f>
        <v>0</v>
      </c>
      <c r="I26" s="25" t="str">
        <f>IF(H26&gt;0,(G26-$C$31)/H26,"—")</f>
        <v>—</v>
      </c>
    </row>
    <row r="27" spans="1:9" ht="18" customHeight="1" x14ac:dyDescent="0.25"/>
    <row r="28" spans="1:9" ht="27.75" customHeight="1" x14ac:dyDescent="0.25"/>
    <row r="29" spans="1:9" ht="18" customHeight="1" x14ac:dyDescent="0.25">
      <c r="A29" s="11" t="s">
        <v>50</v>
      </c>
      <c r="B29" s="11"/>
      <c r="C29" s="11"/>
      <c r="D29" s="11"/>
      <c r="E29" s="11"/>
      <c r="F29" s="11"/>
      <c r="G29" s="11"/>
      <c r="H29" s="11"/>
      <c r="I29" s="11"/>
    </row>
    <row r="30" spans="1:9" ht="27.75" customHeight="1" x14ac:dyDescent="0.25">
      <c r="B30" s="12" t="s">
        <v>51</v>
      </c>
      <c r="C30" s="12"/>
      <c r="D30" s="12"/>
    </row>
    <row r="31" spans="1:9" ht="18" customHeight="1" x14ac:dyDescent="0.25">
      <c r="B31" s="17" t="s">
        <v>52</v>
      </c>
      <c r="C31" s="18"/>
    </row>
    <row r="32" spans="1:9" ht="18" customHeight="1" x14ac:dyDescent="0.25"/>
    <row r="33" spans="1:9" ht="9.75" customHeight="1" x14ac:dyDescent="0.25"/>
    <row r="34" spans="1:9" ht="18" customHeight="1" x14ac:dyDescent="0.25">
      <c r="A34" s="11" t="s">
        <v>53</v>
      </c>
      <c r="B34" s="11"/>
      <c r="C34" s="11"/>
      <c r="D34" s="11"/>
      <c r="E34" s="11"/>
      <c r="F34" s="11"/>
      <c r="G34" s="11"/>
      <c r="H34" s="11"/>
      <c r="I34" s="11"/>
    </row>
    <row r="35" spans="1:9" ht="27.75" customHeight="1" x14ac:dyDescent="0.25">
      <c r="A35" s="12" t="s">
        <v>54</v>
      </c>
      <c r="B35" s="12"/>
      <c r="C35" s="12"/>
      <c r="D35" s="12"/>
      <c r="E35" s="12"/>
      <c r="F35" s="12"/>
      <c r="G35" s="12"/>
      <c r="H35" s="12"/>
      <c r="I35" s="12"/>
    </row>
    <row r="36" spans="1:9" ht="36" customHeight="1" x14ac:dyDescent="0.25">
      <c r="B36" s="16"/>
      <c r="C36" s="16" t="s">
        <v>55</v>
      </c>
      <c r="D36" s="16" t="s">
        <v>56</v>
      </c>
      <c r="E36" s="16" t="s">
        <v>57</v>
      </c>
      <c r="F36" s="16" t="s">
        <v>58</v>
      </c>
    </row>
    <row r="37" spans="1:9" ht="21.75" customHeight="1" x14ac:dyDescent="0.25">
      <c r="B37" s="17" t="s">
        <v>47</v>
      </c>
      <c r="C37" s="18"/>
      <c r="D37" s="26">
        <f>H24</f>
        <v>0</v>
      </c>
      <c r="E37" s="18"/>
      <c r="F37" s="27" t="str">
        <f>IF(D37&lt;=C37,"✓ PASS","⚠ CHECK")</f>
        <v>✓ PASS</v>
      </c>
    </row>
    <row r="38" spans="1:9" ht="21.75" customHeight="1" x14ac:dyDescent="0.25">
      <c r="B38" s="17" t="s">
        <v>48</v>
      </c>
      <c r="C38" s="18"/>
      <c r="D38" s="26">
        <f>H25</f>
        <v>0</v>
      </c>
      <c r="E38" s="18"/>
      <c r="F38" s="27" t="str">
        <f>IF(D38&lt;=C38,"✓ PASS","⚠ CHECK")</f>
        <v>✓ PASS</v>
      </c>
    </row>
    <row r="39" spans="1:9" ht="21.75" customHeight="1" x14ac:dyDescent="0.25">
      <c r="B39" s="17" t="s">
        <v>49</v>
      </c>
      <c r="C39" s="18"/>
      <c r="D39" s="26">
        <f>H26</f>
        <v>0</v>
      </c>
      <c r="E39" s="18"/>
      <c r="F39" s="27" t="str">
        <f>IF(D39&lt;=C39,"✓ PASS","⚠ CHECK")</f>
        <v>✓ PASS</v>
      </c>
    </row>
    <row r="40" spans="1:9" ht="18" customHeight="1" x14ac:dyDescent="0.25"/>
    <row r="41" spans="1:9" ht="9.75" customHeight="1" x14ac:dyDescent="0.25"/>
    <row r="42" spans="1:9" ht="18" customHeight="1" x14ac:dyDescent="0.25">
      <c r="A42" s="11" t="s">
        <v>59</v>
      </c>
      <c r="B42" s="11"/>
      <c r="C42" s="11"/>
      <c r="D42" s="11"/>
      <c r="E42" s="11"/>
      <c r="F42" s="11"/>
      <c r="G42" s="11"/>
      <c r="H42" s="11"/>
      <c r="I42" s="11"/>
    </row>
    <row r="43" spans="1:9" ht="19.5" customHeight="1" x14ac:dyDescent="0.25">
      <c r="B43" s="20" t="s">
        <v>60</v>
      </c>
      <c r="C43" s="3" t="s">
        <v>61</v>
      </c>
      <c r="D43" s="3"/>
      <c r="E43" s="3"/>
      <c r="F43" s="3"/>
      <c r="G43" s="3"/>
      <c r="H43" s="3"/>
    </row>
    <row r="44" spans="1:9" ht="19.5" customHeight="1" x14ac:dyDescent="0.25">
      <c r="B44" s="20" t="s">
        <v>62</v>
      </c>
      <c r="C44" s="3" t="s">
        <v>63</v>
      </c>
      <c r="D44" s="3"/>
      <c r="E44" s="3"/>
      <c r="F44" s="3"/>
      <c r="G44" s="3"/>
      <c r="H44" s="3"/>
    </row>
    <row r="45" spans="1:9" ht="19.5" customHeight="1" x14ac:dyDescent="0.25">
      <c r="B45" s="20" t="s">
        <v>64</v>
      </c>
      <c r="C45" s="3" t="s">
        <v>65</v>
      </c>
      <c r="D45" s="3"/>
      <c r="E45" s="3"/>
      <c r="F45" s="3"/>
      <c r="G45" s="3"/>
      <c r="H45" s="3"/>
    </row>
    <row r="46" spans="1:9" ht="19.5" customHeight="1" x14ac:dyDescent="0.25">
      <c r="B46" s="20" t="s">
        <v>66</v>
      </c>
      <c r="C46" s="3" t="s">
        <v>67</v>
      </c>
      <c r="D46" s="3"/>
      <c r="E46" s="3"/>
      <c r="F46" s="3"/>
      <c r="G46" s="3"/>
      <c r="H46" s="3"/>
    </row>
    <row r="47" spans="1:9" ht="19.5" customHeight="1" x14ac:dyDescent="0.25">
      <c r="B47" s="20" t="s">
        <v>68</v>
      </c>
      <c r="C47" s="3" t="s">
        <v>69</v>
      </c>
      <c r="D47" s="3"/>
      <c r="E47" s="3"/>
      <c r="F47" s="3"/>
      <c r="G47" s="3"/>
      <c r="H47" s="3"/>
    </row>
    <row r="48" spans="1:9" ht="18" customHeight="1" x14ac:dyDescent="0.25"/>
    <row r="49" spans="1:9" ht="9.75" customHeight="1" x14ac:dyDescent="0.25"/>
    <row r="50" spans="1:9" ht="18" customHeight="1" x14ac:dyDescent="0.25">
      <c r="A50" s="2" t="s">
        <v>70</v>
      </c>
      <c r="B50" s="2"/>
      <c r="C50" s="2"/>
      <c r="D50" s="2"/>
      <c r="E50" s="2"/>
      <c r="F50" s="2"/>
      <c r="G50" s="2"/>
      <c r="H50" s="2"/>
      <c r="I50" s="2"/>
    </row>
    <row r="51" spans="1:9" ht="18" customHeight="1" x14ac:dyDescent="0.25">
      <c r="B51" s="28" t="s">
        <v>71</v>
      </c>
      <c r="C51" s="3" t="s">
        <v>72</v>
      </c>
      <c r="D51" s="3"/>
      <c r="E51" s="3"/>
      <c r="F51" s="3"/>
      <c r="G51" s="3"/>
      <c r="H51" s="3"/>
    </row>
    <row r="52" spans="1:9" ht="18" customHeight="1" x14ac:dyDescent="0.25">
      <c r="B52" s="29" t="s">
        <v>71</v>
      </c>
      <c r="C52" s="3" t="s">
        <v>73</v>
      </c>
      <c r="D52" s="3"/>
      <c r="E52" s="3"/>
      <c r="F52" s="3"/>
      <c r="G52" s="3"/>
      <c r="H52" s="3"/>
    </row>
    <row r="53" spans="1:9" ht="18" customHeight="1" x14ac:dyDescent="0.25">
      <c r="B53" s="30" t="s">
        <v>71</v>
      </c>
      <c r="C53" s="3" t="s">
        <v>74</v>
      </c>
      <c r="D53" s="3"/>
      <c r="E53" s="3"/>
      <c r="F53" s="3"/>
      <c r="G53" s="3"/>
      <c r="H53" s="3"/>
    </row>
    <row r="54" spans="1:9" ht="18" customHeight="1" x14ac:dyDescent="0.25">
      <c r="B54" s="31" t="s">
        <v>71</v>
      </c>
      <c r="C54" s="3" t="s">
        <v>75</v>
      </c>
      <c r="D54" s="3"/>
      <c r="E54" s="3"/>
      <c r="F54" s="3"/>
      <c r="G54" s="3"/>
      <c r="H54" s="3"/>
    </row>
    <row r="55" spans="1:9" ht="18" customHeight="1" x14ac:dyDescent="0.25"/>
    <row r="56" spans="1:9" ht="18" customHeight="1" x14ac:dyDescent="0.25"/>
    <row r="57" spans="1:9" ht="18" customHeight="1" x14ac:dyDescent="0.25"/>
    <row r="58" spans="1:9" ht="18" customHeight="1" x14ac:dyDescent="0.25"/>
    <row r="59" spans="1:9" ht="18" customHeight="1" x14ac:dyDescent="0.25"/>
    <row r="60" spans="1:9" ht="18" customHeight="1" x14ac:dyDescent="0.25"/>
    <row r="61" spans="1:9" ht="18" customHeight="1" x14ac:dyDescent="0.25"/>
    <row r="62" spans="1:9" ht="18" customHeight="1" x14ac:dyDescent="0.25"/>
    <row r="63" spans="1:9" ht="18" customHeight="1" x14ac:dyDescent="0.25"/>
    <row r="64" spans="1:9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</sheetData>
  <mergeCells count="27">
    <mergeCell ref="C53:H53"/>
    <mergeCell ref="C54:H54"/>
    <mergeCell ref="C46:H46"/>
    <mergeCell ref="C47:H47"/>
    <mergeCell ref="A50:I50"/>
    <mergeCell ref="C51:H51"/>
    <mergeCell ref="C52:H52"/>
    <mergeCell ref="A35:I35"/>
    <mergeCell ref="A42:I42"/>
    <mergeCell ref="C43:H43"/>
    <mergeCell ref="C44:H44"/>
    <mergeCell ref="C45:H45"/>
    <mergeCell ref="A21:I21"/>
    <mergeCell ref="A22:I22"/>
    <mergeCell ref="A29:I29"/>
    <mergeCell ref="B30:D30"/>
    <mergeCell ref="A34:I34"/>
    <mergeCell ref="E8:H8"/>
    <mergeCell ref="E9:H9"/>
    <mergeCell ref="E10:H10"/>
    <mergeCell ref="A13:I13"/>
    <mergeCell ref="A14:I14"/>
    <mergeCell ref="A2:I2"/>
    <mergeCell ref="A3:I3"/>
    <mergeCell ref="A4:I4"/>
    <mergeCell ref="A6:I6"/>
    <mergeCell ref="E7:H7"/>
  </mergeCells>
  <conditionalFormatting sqref="F24:F26">
    <cfRule type="cellIs" dxfId="7" priority="2" operator="equal">
      <formula>1</formula>
    </cfRule>
    <cfRule type="cellIs" dxfId="6" priority="3" operator="notEqual">
      <formula>1</formula>
    </cfRule>
  </conditionalFormatting>
  <conditionalFormatting sqref="F37:F39">
    <cfRule type="expression" dxfId="5" priority="8">
      <formula>D37&lt;=C37</formula>
    </cfRule>
    <cfRule type="expression" dxfId="4" priority="9">
      <formula>D37&gt;C37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1A1A"/>
  </sheetPr>
  <dimension ref="A1:I69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6" customWidth="1"/>
    <col min="3" max="5" width="18" customWidth="1"/>
    <col min="6" max="8" width="20" customWidth="1"/>
    <col min="9" max="9" width="2" customWidth="1"/>
  </cols>
  <sheetData>
    <row r="1" spans="1:9" ht="6" customHeight="1" x14ac:dyDescent="0.25"/>
    <row r="2" spans="1:9" ht="39.75" customHeight="1" x14ac:dyDescent="0.25">
      <c r="A2" s="9" t="s">
        <v>76</v>
      </c>
      <c r="B2" s="9"/>
      <c r="C2" s="9"/>
      <c r="D2" s="9"/>
      <c r="E2" s="9"/>
      <c r="F2" s="9"/>
      <c r="G2" s="9"/>
      <c r="H2" s="9"/>
      <c r="I2" s="9"/>
    </row>
    <row r="3" spans="1:9" ht="21.75" customHeight="1" x14ac:dyDescent="0.25">
      <c r="A3" s="8" t="s">
        <v>24</v>
      </c>
      <c r="B3" s="8"/>
      <c r="C3" s="8"/>
      <c r="D3" s="8"/>
      <c r="E3" s="8"/>
      <c r="F3" s="8"/>
      <c r="G3" s="8"/>
      <c r="H3" s="8"/>
      <c r="I3" s="8"/>
    </row>
    <row r="4" spans="1:9" ht="36" customHeight="1" x14ac:dyDescent="0.25">
      <c r="A4" s="1" t="s">
        <v>77</v>
      </c>
      <c r="B4" s="1"/>
      <c r="C4" s="1"/>
      <c r="D4" s="1"/>
      <c r="E4" s="1"/>
      <c r="F4" s="1"/>
      <c r="G4" s="1"/>
      <c r="H4" s="1"/>
      <c r="I4" s="1"/>
    </row>
    <row r="5" spans="1:9" ht="18" customHeight="1" x14ac:dyDescent="0.25"/>
    <row r="6" spans="1:9" ht="31.5" customHeight="1" x14ac:dyDescent="0.25">
      <c r="A6" s="6" t="s">
        <v>26</v>
      </c>
      <c r="B6" s="6"/>
      <c r="C6" s="6"/>
      <c r="D6" s="6"/>
      <c r="E6" s="6"/>
      <c r="F6" s="6"/>
      <c r="G6" s="6"/>
      <c r="H6" s="6"/>
      <c r="I6" s="6"/>
    </row>
    <row r="7" spans="1:9" ht="36" customHeight="1" x14ac:dyDescent="0.25">
      <c r="B7" s="16" t="s">
        <v>27</v>
      </c>
      <c r="C7" s="16" t="s">
        <v>28</v>
      </c>
      <c r="D7" s="16" t="s">
        <v>29</v>
      </c>
      <c r="E7" s="5" t="s">
        <v>30</v>
      </c>
      <c r="F7" s="5"/>
      <c r="G7" s="5"/>
      <c r="H7" s="5"/>
    </row>
    <row r="8" spans="1:9" ht="21.75" customHeight="1" x14ac:dyDescent="0.25">
      <c r="B8" s="17" t="s">
        <v>31</v>
      </c>
      <c r="C8" s="18"/>
      <c r="D8" s="18"/>
      <c r="E8" s="4"/>
      <c r="F8" s="4"/>
      <c r="G8" s="4"/>
      <c r="H8" s="4"/>
    </row>
    <row r="9" spans="1:9" ht="21.75" customHeight="1" x14ac:dyDescent="0.25">
      <c r="B9" s="17" t="s">
        <v>32</v>
      </c>
      <c r="C9" s="18"/>
      <c r="D9" s="18"/>
      <c r="E9" s="4"/>
      <c r="F9" s="4"/>
      <c r="G9" s="4"/>
      <c r="H9" s="4"/>
    </row>
    <row r="10" spans="1:9" ht="21.75" customHeight="1" x14ac:dyDescent="0.25">
      <c r="B10" s="17" t="s">
        <v>33</v>
      </c>
      <c r="C10" s="18"/>
      <c r="D10" s="18"/>
      <c r="E10" s="4"/>
      <c r="F10" s="4"/>
      <c r="G10" s="4"/>
      <c r="H10" s="4"/>
    </row>
    <row r="11" spans="1:9" ht="18" customHeight="1" x14ac:dyDescent="0.25"/>
    <row r="12" spans="1:9" ht="9.75" customHeight="1" x14ac:dyDescent="0.25"/>
    <row r="13" spans="1:9" ht="18" customHeight="1" x14ac:dyDescent="0.25">
      <c r="A13" s="11" t="s">
        <v>34</v>
      </c>
      <c r="B13" s="11"/>
      <c r="C13" s="11"/>
      <c r="D13" s="11"/>
      <c r="E13" s="11"/>
      <c r="F13" s="11"/>
      <c r="G13" s="11"/>
      <c r="H13" s="11"/>
      <c r="I13" s="11"/>
    </row>
    <row r="14" spans="1:9" ht="24" customHeight="1" x14ac:dyDescent="0.25">
      <c r="A14" s="12" t="s">
        <v>78</v>
      </c>
      <c r="B14" s="12"/>
      <c r="C14" s="12"/>
      <c r="D14" s="12"/>
      <c r="E14" s="12"/>
      <c r="F14" s="12"/>
      <c r="G14" s="12"/>
      <c r="H14" s="12"/>
      <c r="I14" s="12"/>
    </row>
    <row r="15" spans="1:9" ht="27.75" customHeight="1" x14ac:dyDescent="0.25">
      <c r="B15" s="19" t="s">
        <v>36</v>
      </c>
      <c r="C15" s="16" t="s">
        <v>31</v>
      </c>
      <c r="D15" s="16" t="s">
        <v>32</v>
      </c>
      <c r="E15" s="16" t="s">
        <v>37</v>
      </c>
    </row>
    <row r="16" spans="1:9" ht="18" customHeight="1" x14ac:dyDescent="0.25">
      <c r="B16" s="20" t="s">
        <v>31</v>
      </c>
      <c r="C16" s="21">
        <v>1</v>
      </c>
      <c r="D16" s="22"/>
      <c r="E16" s="22"/>
    </row>
    <row r="17" spans="1:9" ht="18" customHeight="1" x14ac:dyDescent="0.25">
      <c r="B17" s="20" t="s">
        <v>32</v>
      </c>
      <c r="C17" s="23">
        <f>D16</f>
        <v>0</v>
      </c>
      <c r="D17" s="21">
        <v>1</v>
      </c>
      <c r="E17" s="22"/>
    </row>
    <row r="18" spans="1:9" ht="18" customHeight="1" x14ac:dyDescent="0.25">
      <c r="B18" s="20" t="s">
        <v>37</v>
      </c>
      <c r="C18" s="23">
        <f>E16</f>
        <v>0</v>
      </c>
      <c r="D18" s="23">
        <f>E17</f>
        <v>0</v>
      </c>
      <c r="E18" s="21">
        <v>1</v>
      </c>
    </row>
    <row r="19" spans="1:9" ht="18" customHeight="1" x14ac:dyDescent="0.25"/>
    <row r="20" spans="1:9" ht="9.75" customHeight="1" x14ac:dyDescent="0.25"/>
    <row r="21" spans="1:9" ht="18" customHeight="1" x14ac:dyDescent="0.25">
      <c r="A21" s="11" t="s">
        <v>38</v>
      </c>
      <c r="B21" s="11"/>
      <c r="C21" s="11"/>
      <c r="D21" s="11"/>
      <c r="E21" s="11"/>
      <c r="F21" s="11"/>
      <c r="G21" s="11"/>
      <c r="H21" s="11"/>
      <c r="I21" s="11"/>
    </row>
    <row r="22" spans="1:9" ht="24" customHeight="1" x14ac:dyDescent="0.25">
      <c r="A22" s="12" t="s">
        <v>39</v>
      </c>
      <c r="B22" s="12"/>
      <c r="C22" s="12"/>
      <c r="D22" s="12"/>
      <c r="E22" s="12"/>
      <c r="F22" s="12"/>
      <c r="G22" s="12"/>
      <c r="H22" s="12"/>
      <c r="I22" s="12"/>
    </row>
    <row r="23" spans="1:9" ht="39.75" customHeight="1" x14ac:dyDescent="0.25">
      <c r="B23" s="19"/>
      <c r="C23" s="16" t="s">
        <v>40</v>
      </c>
      <c r="D23" s="16" t="s">
        <v>41</v>
      </c>
      <c r="E23" s="16" t="s">
        <v>42</v>
      </c>
      <c r="F23" s="16" t="s">
        <v>43</v>
      </c>
      <c r="G23" s="16" t="s">
        <v>44</v>
      </c>
      <c r="H23" s="16" t="s">
        <v>45</v>
      </c>
      <c r="I23" s="16" t="s">
        <v>46</v>
      </c>
    </row>
    <row r="24" spans="1:9" ht="21.75" customHeight="1" x14ac:dyDescent="0.25">
      <c r="B24" s="17" t="s">
        <v>47</v>
      </c>
      <c r="C24" s="18"/>
      <c r="D24" s="18"/>
      <c r="E24" s="18"/>
      <c r="F24" s="24">
        <f>C24+D24+E24</f>
        <v>0</v>
      </c>
      <c r="G24" s="24">
        <f>C24*C8+D24*C9+E24*C10</f>
        <v>0</v>
      </c>
      <c r="H24" s="24">
        <f>SQRT(C24^2*D8^2 + D24^2*D9^2 + E24^2*D10^2 + 2*C24*D24*D16*D8*D9 + 2*C24*E24*E16*D8*D10 + 2*D24*E24*E17*D9*D10)</f>
        <v>0</v>
      </c>
      <c r="I24" s="25" t="str">
        <f>IF(H24&gt;0,(G24-$C$31)/H24,"—")</f>
        <v>—</v>
      </c>
    </row>
    <row r="25" spans="1:9" ht="21.75" customHeight="1" x14ac:dyDescent="0.25">
      <c r="B25" s="17" t="s">
        <v>48</v>
      </c>
      <c r="C25" s="18"/>
      <c r="D25" s="18"/>
      <c r="E25" s="18"/>
      <c r="F25" s="24">
        <f>C25+D25+E25</f>
        <v>0</v>
      </c>
      <c r="G25" s="24">
        <f>C25*C8+D25*C9+E25*C10</f>
        <v>0</v>
      </c>
      <c r="H25" s="24">
        <f>SQRT(C25^2*D8^2 + D25^2*D9^2 + E25^2*D10^2 + 2*C25*D25*D16*D8*D9 + 2*C25*E25*E16*D8*D10 + 2*D25*E25*E17*D9*D10)</f>
        <v>0</v>
      </c>
      <c r="I25" s="25" t="str">
        <f>IF(H25&gt;0,(G25-$C$31)/H25,"—")</f>
        <v>—</v>
      </c>
    </row>
    <row r="26" spans="1:9" ht="21.75" customHeight="1" x14ac:dyDescent="0.25">
      <c r="B26" s="17" t="s">
        <v>49</v>
      </c>
      <c r="C26" s="18"/>
      <c r="D26" s="18"/>
      <c r="E26" s="18"/>
      <c r="F26" s="24">
        <f>C26+D26+E26</f>
        <v>0</v>
      </c>
      <c r="G26" s="24">
        <f>C26*C8+D26*C9+E26*C10</f>
        <v>0</v>
      </c>
      <c r="H26" s="24">
        <f>SQRT(C26^2*D8^2 + D26^2*D9^2 + E26^2*D10^2 + 2*C26*D26*D16*D8*D9 + 2*C26*E26*E16*D8*D10 + 2*D26*E26*E17*D9*D10)</f>
        <v>0</v>
      </c>
      <c r="I26" s="25" t="str">
        <f>IF(H26&gt;0,(G26-$C$31)/H26,"—")</f>
        <v>—</v>
      </c>
    </row>
    <row r="27" spans="1:9" ht="18" customHeight="1" x14ac:dyDescent="0.25"/>
    <row r="28" spans="1:9" ht="9.75" customHeight="1" x14ac:dyDescent="0.25"/>
    <row r="29" spans="1:9" ht="18" customHeight="1" x14ac:dyDescent="0.25">
      <c r="A29" s="11" t="s">
        <v>50</v>
      </c>
      <c r="B29" s="11"/>
      <c r="C29" s="11"/>
      <c r="D29" s="11"/>
      <c r="E29" s="11"/>
      <c r="F29" s="11"/>
      <c r="G29" s="11"/>
      <c r="H29" s="11"/>
      <c r="I29" s="11"/>
    </row>
    <row r="30" spans="1:9" ht="27.75" customHeight="1" x14ac:dyDescent="0.25">
      <c r="B30" s="12" t="s">
        <v>51</v>
      </c>
      <c r="C30" s="12"/>
      <c r="D30" s="12"/>
    </row>
    <row r="31" spans="1:9" ht="18" customHeight="1" x14ac:dyDescent="0.25">
      <c r="B31" s="17" t="s">
        <v>52</v>
      </c>
      <c r="C31" s="18"/>
    </row>
    <row r="32" spans="1:9" ht="18" customHeight="1" x14ac:dyDescent="0.25"/>
    <row r="33" spans="1:9" ht="9.75" customHeight="1" x14ac:dyDescent="0.25"/>
    <row r="34" spans="1:9" ht="18" customHeight="1" x14ac:dyDescent="0.25">
      <c r="A34" s="11" t="s">
        <v>53</v>
      </c>
      <c r="B34" s="11"/>
      <c r="C34" s="11"/>
      <c r="D34" s="11"/>
      <c r="E34" s="11"/>
      <c r="F34" s="11"/>
      <c r="G34" s="11"/>
      <c r="H34" s="11"/>
      <c r="I34" s="11"/>
    </row>
    <row r="35" spans="1:9" ht="27.75" customHeight="1" x14ac:dyDescent="0.25">
      <c r="A35" s="12" t="s">
        <v>54</v>
      </c>
      <c r="B35" s="12"/>
      <c r="C35" s="12"/>
      <c r="D35" s="12"/>
      <c r="E35" s="12"/>
      <c r="F35" s="12"/>
      <c r="G35" s="12"/>
      <c r="H35" s="12"/>
      <c r="I35" s="12"/>
    </row>
    <row r="36" spans="1:9" ht="36" customHeight="1" x14ac:dyDescent="0.25">
      <c r="B36" s="16"/>
      <c r="C36" s="16" t="s">
        <v>55</v>
      </c>
      <c r="D36" s="16" t="s">
        <v>56</v>
      </c>
      <c r="E36" s="16" t="s">
        <v>57</v>
      </c>
      <c r="F36" s="16" t="s">
        <v>58</v>
      </c>
    </row>
    <row r="37" spans="1:9" ht="21.75" customHeight="1" x14ac:dyDescent="0.25">
      <c r="B37" s="17" t="s">
        <v>47</v>
      </c>
      <c r="C37" s="18"/>
      <c r="D37" s="26">
        <f>H24</f>
        <v>0</v>
      </c>
      <c r="E37" s="18"/>
      <c r="F37" s="27" t="str">
        <f>IF(D37&lt;=C37,"✓ PASS","⚠ CHECK")</f>
        <v>✓ PASS</v>
      </c>
    </row>
    <row r="38" spans="1:9" ht="21.75" customHeight="1" x14ac:dyDescent="0.25">
      <c r="B38" s="17" t="s">
        <v>48</v>
      </c>
      <c r="C38" s="18"/>
      <c r="D38" s="26">
        <f>H25</f>
        <v>0</v>
      </c>
      <c r="E38" s="18"/>
      <c r="F38" s="27" t="str">
        <f>IF(D38&lt;=C38,"✓ PASS","⚠ CHECK")</f>
        <v>✓ PASS</v>
      </c>
    </row>
    <row r="39" spans="1:9" ht="21.75" customHeight="1" x14ac:dyDescent="0.25">
      <c r="B39" s="17" t="s">
        <v>49</v>
      </c>
      <c r="C39" s="18"/>
      <c r="D39" s="26">
        <f>H26</f>
        <v>0</v>
      </c>
      <c r="E39" s="18"/>
      <c r="F39" s="27" t="str">
        <f>IF(D39&lt;=C39,"✓ PASS","⚠ CHECK")</f>
        <v>✓ PASS</v>
      </c>
    </row>
    <row r="40" spans="1:9" ht="18" customHeight="1" x14ac:dyDescent="0.25"/>
    <row r="41" spans="1:9" ht="9.75" customHeight="1" x14ac:dyDescent="0.25"/>
    <row r="42" spans="1:9" ht="18" customHeight="1" x14ac:dyDescent="0.25">
      <c r="A42" s="11" t="s">
        <v>59</v>
      </c>
      <c r="B42" s="11"/>
      <c r="C42" s="11"/>
      <c r="D42" s="11"/>
      <c r="E42" s="11"/>
      <c r="F42" s="11"/>
      <c r="G42" s="11"/>
      <c r="H42" s="11"/>
      <c r="I42" s="11"/>
    </row>
    <row r="43" spans="1:9" ht="19.5" customHeight="1" x14ac:dyDescent="0.25">
      <c r="B43" s="20" t="s">
        <v>60</v>
      </c>
      <c r="C43" s="3" t="s">
        <v>61</v>
      </c>
      <c r="D43" s="3"/>
      <c r="E43" s="3"/>
      <c r="F43" s="3"/>
      <c r="G43" s="3"/>
      <c r="H43" s="3"/>
    </row>
    <row r="44" spans="1:9" ht="19.5" customHeight="1" x14ac:dyDescent="0.25">
      <c r="B44" s="20" t="s">
        <v>62</v>
      </c>
      <c r="C44" s="3" t="s">
        <v>63</v>
      </c>
      <c r="D44" s="3"/>
      <c r="E44" s="3"/>
      <c r="F44" s="3"/>
      <c r="G44" s="3"/>
      <c r="H44" s="3"/>
    </row>
    <row r="45" spans="1:9" ht="19.5" customHeight="1" x14ac:dyDescent="0.25">
      <c r="B45" s="20" t="s">
        <v>64</v>
      </c>
      <c r="C45" s="3" t="s">
        <v>65</v>
      </c>
      <c r="D45" s="3"/>
      <c r="E45" s="3"/>
      <c r="F45" s="3"/>
      <c r="G45" s="3"/>
      <c r="H45" s="3"/>
    </row>
    <row r="46" spans="1:9" ht="19.5" customHeight="1" x14ac:dyDescent="0.25">
      <c r="B46" s="20" t="s">
        <v>66</v>
      </c>
      <c r="C46" s="3" t="s">
        <v>67</v>
      </c>
      <c r="D46" s="3"/>
      <c r="E46" s="3"/>
      <c r="F46" s="3"/>
      <c r="G46" s="3"/>
      <c r="H46" s="3"/>
    </row>
    <row r="47" spans="1:9" ht="19.5" customHeight="1" x14ac:dyDescent="0.25">
      <c r="B47" s="20" t="s">
        <v>68</v>
      </c>
      <c r="C47" s="3" t="s">
        <v>69</v>
      </c>
      <c r="D47" s="3"/>
      <c r="E47" s="3"/>
      <c r="F47" s="3"/>
      <c r="G47" s="3"/>
      <c r="H47" s="3"/>
    </row>
    <row r="48" spans="1:9" ht="18" customHeight="1" x14ac:dyDescent="0.25"/>
    <row r="49" spans="1:9" ht="9.75" customHeight="1" x14ac:dyDescent="0.25"/>
    <row r="50" spans="1:9" ht="18" customHeight="1" x14ac:dyDescent="0.25">
      <c r="A50" s="2" t="s">
        <v>70</v>
      </c>
      <c r="B50" s="2"/>
      <c r="C50" s="2"/>
      <c r="D50" s="2"/>
      <c r="E50" s="2"/>
      <c r="F50" s="2"/>
      <c r="G50" s="2"/>
      <c r="H50" s="2"/>
      <c r="I50" s="2"/>
    </row>
    <row r="51" spans="1:9" ht="18" customHeight="1" x14ac:dyDescent="0.25">
      <c r="B51" s="28" t="s">
        <v>71</v>
      </c>
      <c r="C51" s="3" t="s">
        <v>72</v>
      </c>
      <c r="D51" s="3"/>
      <c r="E51" s="3"/>
      <c r="F51" s="3"/>
      <c r="G51" s="3"/>
      <c r="H51" s="3"/>
    </row>
    <row r="52" spans="1:9" ht="18" customHeight="1" x14ac:dyDescent="0.25">
      <c r="B52" s="29" t="s">
        <v>71</v>
      </c>
      <c r="C52" s="3" t="s">
        <v>73</v>
      </c>
      <c r="D52" s="3"/>
      <c r="E52" s="3"/>
      <c r="F52" s="3"/>
      <c r="G52" s="3"/>
      <c r="H52" s="3"/>
    </row>
    <row r="53" spans="1:9" ht="18" customHeight="1" x14ac:dyDescent="0.25">
      <c r="B53" s="30" t="s">
        <v>71</v>
      </c>
      <c r="C53" s="3" t="s">
        <v>74</v>
      </c>
      <c r="D53" s="3"/>
      <c r="E53" s="3"/>
      <c r="F53" s="3"/>
      <c r="G53" s="3"/>
      <c r="H53" s="3"/>
    </row>
    <row r="54" spans="1:9" ht="18" customHeight="1" x14ac:dyDescent="0.25">
      <c r="B54" s="31" t="s">
        <v>71</v>
      </c>
      <c r="C54" s="3" t="s">
        <v>75</v>
      </c>
      <c r="D54" s="3"/>
      <c r="E54" s="3"/>
      <c r="F54" s="3"/>
      <c r="G54" s="3"/>
      <c r="H54" s="3"/>
    </row>
    <row r="55" spans="1:9" ht="18" customHeight="1" x14ac:dyDescent="0.25"/>
    <row r="56" spans="1:9" ht="18" customHeight="1" x14ac:dyDescent="0.25"/>
    <row r="57" spans="1:9" ht="18" customHeight="1" x14ac:dyDescent="0.25"/>
    <row r="58" spans="1:9" ht="18" customHeight="1" x14ac:dyDescent="0.25"/>
    <row r="59" spans="1:9" ht="18" customHeight="1" x14ac:dyDescent="0.25"/>
    <row r="60" spans="1:9" ht="18" customHeight="1" x14ac:dyDescent="0.25"/>
    <row r="61" spans="1:9" ht="18" customHeight="1" x14ac:dyDescent="0.25"/>
    <row r="62" spans="1:9" ht="18" customHeight="1" x14ac:dyDescent="0.25"/>
    <row r="63" spans="1:9" ht="18" customHeight="1" x14ac:dyDescent="0.25"/>
    <row r="64" spans="1:9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</sheetData>
  <mergeCells count="27">
    <mergeCell ref="C53:H53"/>
    <mergeCell ref="C54:H54"/>
    <mergeCell ref="C46:H46"/>
    <mergeCell ref="C47:H47"/>
    <mergeCell ref="A50:I50"/>
    <mergeCell ref="C51:H51"/>
    <mergeCell ref="C52:H52"/>
    <mergeCell ref="A35:I35"/>
    <mergeCell ref="A42:I42"/>
    <mergeCell ref="C43:H43"/>
    <mergeCell ref="C44:H44"/>
    <mergeCell ref="C45:H45"/>
    <mergeCell ref="A21:I21"/>
    <mergeCell ref="A22:I22"/>
    <mergeCell ref="A29:I29"/>
    <mergeCell ref="B30:D30"/>
    <mergeCell ref="A34:I34"/>
    <mergeCell ref="E8:H8"/>
    <mergeCell ref="E9:H9"/>
    <mergeCell ref="E10:H10"/>
    <mergeCell ref="A13:I13"/>
    <mergeCell ref="A14:I14"/>
    <mergeCell ref="A2:I2"/>
    <mergeCell ref="A3:I3"/>
    <mergeCell ref="A4:I4"/>
    <mergeCell ref="A6:I6"/>
    <mergeCell ref="E7:H7"/>
  </mergeCells>
  <conditionalFormatting sqref="F24:F26">
    <cfRule type="cellIs" dxfId="3" priority="2" operator="equal">
      <formula>1</formula>
    </cfRule>
    <cfRule type="cellIs" dxfId="2" priority="3" operator="notEqual">
      <formula>1</formula>
    </cfRule>
  </conditionalFormatting>
  <conditionalFormatting sqref="F37:F39">
    <cfRule type="expression" dxfId="1" priority="8">
      <formula>D37&lt;=C37</formula>
    </cfRule>
    <cfRule type="expression" dxfId="0" priority="9">
      <formula>D37&gt;C37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BASE CASE</vt:lpstr>
      <vt:lpstr>BEAR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Bethany Evitts</cp:lastModifiedBy>
  <cp:revision>0</cp:revision>
  <dcterms:created xsi:type="dcterms:W3CDTF">2026-04-19T21:53:44Z</dcterms:created>
  <dcterms:modified xsi:type="dcterms:W3CDTF">2026-04-20T10:39:34Z</dcterms:modified>
  <dc:language>en-US</dc:language>
</cp:coreProperties>
</file>