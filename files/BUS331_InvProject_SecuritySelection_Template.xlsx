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SUMMARY" sheetId="2" state="visible" r:id="rId4"/>
    <sheet name="Client 1" sheetId="3" state="visible" r:id="rId5"/>
    <sheet name="Client 2" sheetId="4" state="visible" r:id="rId6"/>
    <sheet name="Client 3" sheetId="5" state="visible" r:id="rId7"/>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39" authorId="0">
      <text>
        <r>
          <rPr>
            <sz val="10"/>
            <rFont val="Arial"/>
            <family val="2"/>
          </rPr>
          <t xml:space="preserve">Example: Covered Call</t>
        </r>
      </text>
    </comment>
    <comment ref="B40" authorId="0">
      <text>
        <r>
          <rPr>
            <sz val="10"/>
            <rFont val="Arial"/>
            <family val="2"/>
          </rPr>
          <t xml:space="preserve">Example: Increase Cash Allocation</t>
        </r>
      </text>
    </comment>
    <comment ref="C5" authorId="0">
      <text>
        <r>
          <rPr>
            <sz val="10"/>
            <rFont val="Arial"/>
            <family val="2"/>
          </rPr>
          <t xml:space="preserve">Enter client name or ID (e.g. Eleanor Vance — Client 1)</t>
        </r>
      </text>
    </comment>
    <comment ref="C12" authorId="0">
      <text>
        <r>
          <rPr>
            <sz val="10"/>
            <rFont val="Arial"/>
            <family val="2"/>
          </rPr>
          <t xml:space="preserve">Enter ticker symbol (e.g. AAPL, SPY, TLT)</t>
        </r>
      </text>
    </comment>
    <comment ref="C13" authorId="0">
      <text>
        <r>
          <rPr>
            <sz val="10"/>
            <rFont val="Arial"/>
            <family val="2"/>
          </rPr>
          <t xml:space="preserve">Enter ticker symbol (e.g. AAPL, SPY, TLT)</t>
        </r>
      </text>
    </comment>
    <comment ref="C14" authorId="0">
      <text>
        <r>
          <rPr>
            <sz val="10"/>
            <rFont val="Arial"/>
            <family val="2"/>
          </rPr>
          <t xml:space="preserve">Enter ticker symbol (e.g. AAPL, SPY, TLT)</t>
        </r>
      </text>
    </comment>
    <comment ref="C15" authorId="0">
      <text>
        <r>
          <rPr>
            <sz val="10"/>
            <rFont val="Arial"/>
            <family val="2"/>
          </rPr>
          <t xml:space="preserve">Enter ticker symbol (e.g. AAPL, SPY, TLT)</t>
        </r>
      </text>
    </comment>
    <comment ref="C16" authorId="0">
      <text>
        <r>
          <rPr>
            <sz val="10"/>
            <rFont val="Arial"/>
            <family val="2"/>
          </rPr>
          <t xml:space="preserve">Enter ticker symbol (e.g. AAPL, SPY, TLT)</t>
        </r>
      </text>
    </comment>
    <comment ref="C17" authorId="0">
      <text>
        <r>
          <rPr>
            <sz val="10"/>
            <rFont val="Arial"/>
            <family val="2"/>
          </rPr>
          <t xml:space="preserve">Enter ticker symbol (e.g. AAPL, SPY, TLT)</t>
        </r>
      </text>
    </comment>
    <comment ref="C18" authorId="0">
      <text>
        <r>
          <rPr>
            <sz val="10"/>
            <rFont val="Arial"/>
            <family val="2"/>
          </rPr>
          <t xml:space="preserve">Enter ticker symbol (e.g. AAPL, SPY, TLT)</t>
        </r>
      </text>
    </comment>
    <comment ref="C19" authorId="0">
      <text>
        <r>
          <rPr>
            <sz val="10"/>
            <rFont val="Arial"/>
            <family val="2"/>
          </rPr>
          <t xml:space="preserve">Enter ticker symbol (e.g. AAPL, SPY, TLT)</t>
        </r>
      </text>
    </comment>
    <comment ref="C20" authorId="0">
      <text>
        <r>
          <rPr>
            <sz val="10"/>
            <rFont val="Arial"/>
            <family val="2"/>
          </rPr>
          <t xml:space="preserve">Enter ticker symbol (e.g. AAPL, SPY, TLT)</t>
        </r>
      </text>
    </comment>
    <comment ref="C21" authorId="0">
      <text>
        <r>
          <rPr>
            <sz val="10"/>
            <rFont val="Arial"/>
            <family val="2"/>
          </rPr>
          <t xml:space="preserve">Enter ticker symbol (e.g. AAPL, SPY, TLT)</t>
        </r>
      </text>
    </comment>
    <comment ref="C27" authorId="0">
      <text>
        <r>
          <rPr>
            <sz val="10"/>
            <rFont val="Arial"/>
            <family val="2"/>
          </rPr>
          <t xml:space="preserve">Describe the hedge strategy in plain English. E.g. 'Protective Put on SPY ETF'</t>
        </r>
      </text>
    </comment>
    <comment ref="C28" authorId="0">
      <text>
        <r>
          <rPr>
            <sz val="10"/>
            <rFont val="Arial"/>
            <family val="2"/>
          </rPr>
          <t xml:space="preserve">The security being hedged. Must match a holding in Section 1.</t>
        </r>
      </text>
    </comment>
    <comment ref="C29" authorId="0">
      <text>
        <r>
          <rPr>
            <sz val="10"/>
            <rFont val="Arial"/>
            <family val="2"/>
          </rPr>
          <t xml:space="preserve">Put Option / Call Option / Futures Contract / Collar / Other</t>
        </r>
      </text>
    </comment>
    <comment ref="C30" authorId="0">
      <text>
        <r>
          <rPr>
            <sz val="10"/>
            <rFont val="Arial"/>
            <family val="2"/>
          </rPr>
          <t xml:space="preserve">Strike price of the option contract. State if ITM, ATM, or OTM.</t>
        </r>
      </text>
    </comment>
    <comment ref="C31" authorId="0">
      <text>
        <r>
          <rPr>
            <sz val="10"/>
            <rFont val="Arial"/>
            <family val="2"/>
          </rPr>
          <t xml:space="preserve">Option expiration date or contract duration.</t>
        </r>
      </text>
    </comment>
    <comment ref="C32" authorId="0">
      <text>
        <r>
          <rPr>
            <sz val="10"/>
            <rFont val="Arial"/>
            <family val="2"/>
          </rPr>
          <t xml:space="preserve">Total cost of the hedge. Source from FactSet options chain or current market.</t>
        </r>
      </text>
    </comment>
    <comment ref="C33" authorId="0">
      <text>
        <r>
          <rPr>
            <sz val="10"/>
            <rFont val="Arial"/>
            <family val="2"/>
          </rPr>
          <t xml:space="preserve">Hedge cost as a % of total portfolio value. Formula: cost / 500000</t>
        </r>
      </text>
    </comment>
    <comment ref="C34" authorId="0">
      <text>
        <r>
          <rPr>
            <sz val="10"/>
            <rFont val="Arial"/>
            <family val="2"/>
          </rPr>
          <t xml:space="preserve">The maximum loss after the hedge is applied. Must be within IPS drawdown limit.</t>
        </r>
      </text>
    </comment>
    <comment ref="C35" authorId="0">
      <text>
        <r>
          <rPr>
            <sz val="10"/>
            <rFont val="Arial"/>
            <family val="2"/>
          </rPr>
          <t xml:space="preserve">Portfolio Bear Case return after hedge payoff. Verify this passes IPS Tripwire.</t>
        </r>
      </text>
    </comment>
    <comment ref="C39" authorId="0">
      <text>
        <r>
          <rPr>
            <sz val="10"/>
            <rFont val="Arial"/>
            <family val="2"/>
          </rPr>
          <t xml:space="preserve">Example: Net credit received</t>
        </r>
      </text>
    </comment>
    <comment ref="C40" authorId="0">
      <text>
        <r>
          <rPr>
            <sz val="10"/>
            <rFont val="Arial"/>
            <family val="2"/>
          </rPr>
          <t xml:space="preserve">Example: Opportunity cost only</t>
        </r>
      </text>
    </comment>
    <comment ref="C45" authorId="0">
      <text>
        <r>
          <rPr>
            <sz val="10"/>
            <rFont val="Arial"/>
            <family val="2"/>
          </rPr>
          <t xml:space="preserve">Must match an entry in Section 1.</t>
        </r>
      </text>
    </comment>
    <comment ref="C46" authorId="0">
      <text>
        <r>
          <rPr>
            <sz val="10"/>
            <rFont val="Arial"/>
            <family val="2"/>
          </rPr>
          <t xml:space="preserve">Must match columns E and F in Section 1.</t>
        </r>
      </text>
    </comment>
    <comment ref="C47" authorId="0">
      <text>
        <r>
          <rPr>
            <sz val="10"/>
            <rFont val="Arial"/>
            <family val="2"/>
          </rPr>
          <t xml:space="preserve">Required: link to Phase 1 macro regime. E.g. 'In our Base Case (Soft Landing), earnings growth of 8% supports broad equity exposure via SPY.'</t>
        </r>
      </text>
    </comment>
    <comment ref="C48" authorId="0">
      <text>
        <r>
          <rPr>
            <sz val="10"/>
            <rFont val="Arial"/>
            <family val="2"/>
          </rPr>
          <t xml:space="preserve">Bottom-up reason beyond macro. E.g. valuation, dividend yield, duration match.</t>
        </r>
      </text>
    </comment>
    <comment ref="C49" authorId="0">
      <text>
        <r>
          <rPr>
            <sz val="10"/>
            <rFont val="Arial"/>
            <family val="2"/>
          </rPr>
          <t xml:space="preserve">Cite EVERY data point. Unverified AI data = Hallucination Clause violation.</t>
        </r>
      </text>
    </comment>
    <comment ref="C50" authorId="0">
      <text>
        <r>
          <rPr>
            <sz val="10"/>
            <rFont val="Arial"/>
            <family val="2"/>
          </rPr>
          <t xml:space="preserve">Must reference client's specific IPS constraints (Phase 2).</t>
        </r>
      </text>
    </comment>
    <comment ref="C51" authorId="0">
      <text>
        <r>
          <rPr>
            <sz val="10"/>
            <rFont val="Arial"/>
            <family val="2"/>
          </rPr>
          <t xml:space="preserve">Required if AI was used. State: tool used, prompt summary, and verification source.</t>
        </r>
      </text>
    </comment>
    <comment ref="C54" authorId="0">
      <text>
        <r>
          <rPr>
            <sz val="10"/>
            <rFont val="Arial"/>
            <family val="2"/>
          </rPr>
          <t xml:space="preserve">Must match an entry in Section 1.</t>
        </r>
      </text>
    </comment>
    <comment ref="C55" authorId="0">
      <text>
        <r>
          <rPr>
            <sz val="10"/>
            <rFont val="Arial"/>
            <family val="2"/>
          </rPr>
          <t xml:space="preserve">Must match columns E and F in Section 1.</t>
        </r>
      </text>
    </comment>
    <comment ref="C56" authorId="0">
      <text>
        <r>
          <rPr>
            <sz val="10"/>
            <rFont val="Arial"/>
            <family val="2"/>
          </rPr>
          <t xml:space="preserve">Required: link to Phase 1 macro regime. E.g. 'In our Base Case (Soft Landing), earnings growth of 8% supports broad equity exposure via SPY.'</t>
        </r>
      </text>
    </comment>
    <comment ref="C57" authorId="0">
      <text>
        <r>
          <rPr>
            <sz val="10"/>
            <rFont val="Arial"/>
            <family val="2"/>
          </rPr>
          <t xml:space="preserve">Bottom-up reason beyond macro. E.g. valuation, dividend yield, duration match.</t>
        </r>
      </text>
    </comment>
    <comment ref="C58" authorId="0">
      <text>
        <r>
          <rPr>
            <sz val="10"/>
            <rFont val="Arial"/>
            <family val="2"/>
          </rPr>
          <t xml:space="preserve">Cite EVERY data point. Unverified AI data = Hallucination Clause violation.</t>
        </r>
      </text>
    </comment>
    <comment ref="C59" authorId="0">
      <text>
        <r>
          <rPr>
            <sz val="10"/>
            <rFont val="Arial"/>
            <family val="2"/>
          </rPr>
          <t xml:space="preserve">Must reference client's specific IPS constraints (Phase 2).</t>
        </r>
      </text>
    </comment>
    <comment ref="C60" authorId="0">
      <text>
        <r>
          <rPr>
            <sz val="10"/>
            <rFont val="Arial"/>
            <family val="2"/>
          </rPr>
          <t xml:space="preserve">Required if AI was used. State: tool used, prompt summary, and verification source.</t>
        </r>
      </text>
    </comment>
    <comment ref="C63" authorId="0">
      <text>
        <r>
          <rPr>
            <sz val="10"/>
            <rFont val="Arial"/>
            <family val="2"/>
          </rPr>
          <t xml:space="preserve">Must match an entry in Section 1.</t>
        </r>
      </text>
    </comment>
    <comment ref="C64" authorId="0">
      <text>
        <r>
          <rPr>
            <sz val="10"/>
            <rFont val="Arial"/>
            <family val="2"/>
          </rPr>
          <t xml:space="preserve">Must match columns E and F in Section 1.</t>
        </r>
      </text>
    </comment>
    <comment ref="C65" authorId="0">
      <text>
        <r>
          <rPr>
            <sz val="10"/>
            <rFont val="Arial"/>
            <family val="2"/>
          </rPr>
          <t xml:space="preserve">Required: link to Phase 1 macro regime. E.g. 'In our Base Case (Soft Landing), earnings growth of 8% supports broad equity exposure via SPY.'</t>
        </r>
      </text>
    </comment>
    <comment ref="C66" authorId="0">
      <text>
        <r>
          <rPr>
            <sz val="10"/>
            <rFont val="Arial"/>
            <family val="2"/>
          </rPr>
          <t xml:space="preserve">Bottom-up reason beyond macro. E.g. valuation, dividend yield, duration match.</t>
        </r>
      </text>
    </comment>
    <comment ref="C67" authorId="0">
      <text>
        <r>
          <rPr>
            <sz val="10"/>
            <rFont val="Arial"/>
            <family val="2"/>
          </rPr>
          <t xml:space="preserve">Cite EVERY data point. Unverified AI data = Hallucination Clause violation.</t>
        </r>
      </text>
    </comment>
    <comment ref="C68" authorId="0">
      <text>
        <r>
          <rPr>
            <sz val="10"/>
            <rFont val="Arial"/>
            <family val="2"/>
          </rPr>
          <t xml:space="preserve">Must reference client's specific IPS constraints (Phase 2).</t>
        </r>
      </text>
    </comment>
    <comment ref="C69" authorId="0">
      <text>
        <r>
          <rPr>
            <sz val="10"/>
            <rFont val="Arial"/>
            <family val="2"/>
          </rPr>
          <t xml:space="preserve">Required if AI was used. State: tool used, prompt summary, and verification source.</t>
        </r>
      </text>
    </comment>
    <comment ref="C72" authorId="0">
      <text>
        <r>
          <rPr>
            <sz val="10"/>
            <rFont val="Arial"/>
            <family val="2"/>
          </rPr>
          <t xml:space="preserve">Must match an entry in Section 1.</t>
        </r>
      </text>
    </comment>
    <comment ref="C73" authorId="0">
      <text>
        <r>
          <rPr>
            <sz val="10"/>
            <rFont val="Arial"/>
            <family val="2"/>
          </rPr>
          <t xml:space="preserve">Must match columns E and F in Section 1.</t>
        </r>
      </text>
    </comment>
    <comment ref="C74" authorId="0">
      <text>
        <r>
          <rPr>
            <sz val="10"/>
            <rFont val="Arial"/>
            <family val="2"/>
          </rPr>
          <t xml:space="preserve">Required: link to Phase 1 macro regime. E.g. 'In our Base Case (Soft Landing), earnings growth of 8% supports broad equity exposure via SPY.'</t>
        </r>
      </text>
    </comment>
    <comment ref="C75" authorId="0">
      <text>
        <r>
          <rPr>
            <sz val="10"/>
            <rFont val="Arial"/>
            <family val="2"/>
          </rPr>
          <t xml:space="preserve">Bottom-up reason beyond macro. E.g. valuation, dividend yield, duration match.</t>
        </r>
      </text>
    </comment>
    <comment ref="C76" authorId="0">
      <text>
        <r>
          <rPr>
            <sz val="10"/>
            <rFont val="Arial"/>
            <family val="2"/>
          </rPr>
          <t xml:space="preserve">Cite EVERY data point. Unverified AI data = Hallucination Clause violation.</t>
        </r>
      </text>
    </comment>
    <comment ref="C77" authorId="0">
      <text>
        <r>
          <rPr>
            <sz val="10"/>
            <rFont val="Arial"/>
            <family val="2"/>
          </rPr>
          <t xml:space="preserve">Must reference client's specific IPS constraints (Phase 2).</t>
        </r>
      </text>
    </comment>
    <comment ref="C78" authorId="0">
      <text>
        <r>
          <rPr>
            <sz val="10"/>
            <rFont val="Arial"/>
            <family val="2"/>
          </rPr>
          <t xml:space="preserve">Required if AI was used. State: tool used, prompt summary, and verification source.</t>
        </r>
      </text>
    </comment>
    <comment ref="C81" authorId="0">
      <text>
        <r>
          <rPr>
            <sz val="10"/>
            <rFont val="Arial"/>
            <family val="2"/>
          </rPr>
          <t xml:space="preserve">Must match an entry in Section 1.</t>
        </r>
      </text>
    </comment>
    <comment ref="C82" authorId="0">
      <text>
        <r>
          <rPr>
            <sz val="10"/>
            <rFont val="Arial"/>
            <family val="2"/>
          </rPr>
          <t xml:space="preserve">Must match columns E and F in Section 1.</t>
        </r>
      </text>
    </comment>
    <comment ref="C83" authorId="0">
      <text>
        <r>
          <rPr>
            <sz val="10"/>
            <rFont val="Arial"/>
            <family val="2"/>
          </rPr>
          <t xml:space="preserve">Required: link to Phase 1 macro regime. E.g. 'In our Base Case (Soft Landing), earnings growth of 8% supports broad equity exposure via SPY.'</t>
        </r>
      </text>
    </comment>
    <comment ref="C84" authorId="0">
      <text>
        <r>
          <rPr>
            <sz val="10"/>
            <rFont val="Arial"/>
            <family val="2"/>
          </rPr>
          <t xml:space="preserve">Bottom-up reason beyond macro. E.g. valuation, dividend yield, duration match.</t>
        </r>
      </text>
    </comment>
    <comment ref="C85" authorId="0">
      <text>
        <r>
          <rPr>
            <sz val="10"/>
            <rFont val="Arial"/>
            <family val="2"/>
          </rPr>
          <t xml:space="preserve">Cite EVERY data point. Unverified AI data = Hallucination Clause violation.</t>
        </r>
      </text>
    </comment>
    <comment ref="C86" authorId="0">
      <text>
        <r>
          <rPr>
            <sz val="10"/>
            <rFont val="Arial"/>
            <family val="2"/>
          </rPr>
          <t xml:space="preserve">Must reference client's specific IPS constraints (Phase 2).</t>
        </r>
      </text>
    </comment>
    <comment ref="C87" authorId="0">
      <text>
        <r>
          <rPr>
            <sz val="10"/>
            <rFont val="Arial"/>
            <family val="2"/>
          </rPr>
          <t xml:space="preserve">Required if AI was used. State: tool used, prompt summary, and verification source.</t>
        </r>
      </text>
    </comment>
    <comment ref="D12" authorId="0">
      <text>
        <r>
          <rPr>
            <sz val="10"/>
            <rFont val="Arial"/>
            <family val="2"/>
          </rPr>
          <t xml:space="preserve">Full security or ETF name</t>
        </r>
      </text>
    </comment>
    <comment ref="D13" authorId="0">
      <text>
        <r>
          <rPr>
            <sz val="10"/>
            <rFont val="Arial"/>
            <family val="2"/>
          </rPr>
          <t xml:space="preserve">Full security or ETF name</t>
        </r>
      </text>
    </comment>
    <comment ref="D14" authorId="0">
      <text>
        <r>
          <rPr>
            <sz val="10"/>
            <rFont val="Arial"/>
            <family val="2"/>
          </rPr>
          <t xml:space="preserve">Full security or ETF name</t>
        </r>
      </text>
    </comment>
    <comment ref="D15" authorId="0">
      <text>
        <r>
          <rPr>
            <sz val="10"/>
            <rFont val="Arial"/>
            <family val="2"/>
          </rPr>
          <t xml:space="preserve">Full security or ETF name</t>
        </r>
      </text>
    </comment>
    <comment ref="D16" authorId="0">
      <text>
        <r>
          <rPr>
            <sz val="10"/>
            <rFont val="Arial"/>
            <family val="2"/>
          </rPr>
          <t xml:space="preserve">Full security or ETF name</t>
        </r>
      </text>
    </comment>
    <comment ref="D17" authorId="0">
      <text>
        <r>
          <rPr>
            <sz val="10"/>
            <rFont val="Arial"/>
            <family val="2"/>
          </rPr>
          <t xml:space="preserve">Full security or ETF name</t>
        </r>
      </text>
    </comment>
    <comment ref="D18" authorId="0">
      <text>
        <r>
          <rPr>
            <sz val="10"/>
            <rFont val="Arial"/>
            <family val="2"/>
          </rPr>
          <t xml:space="preserve">Full security or ETF name</t>
        </r>
      </text>
    </comment>
    <comment ref="D19" authorId="0">
      <text>
        <r>
          <rPr>
            <sz val="10"/>
            <rFont val="Arial"/>
            <family val="2"/>
          </rPr>
          <t xml:space="preserve">Full security or ETF name</t>
        </r>
      </text>
    </comment>
    <comment ref="D20" authorId="0">
      <text>
        <r>
          <rPr>
            <sz val="10"/>
            <rFont val="Arial"/>
            <family val="2"/>
          </rPr>
          <t xml:space="preserve">Full security or ETF name</t>
        </r>
      </text>
    </comment>
    <comment ref="D21" authorId="0">
      <text>
        <r>
          <rPr>
            <sz val="10"/>
            <rFont val="Arial"/>
            <family val="2"/>
          </rPr>
          <t xml:space="preserve">Full security or ETF name</t>
        </r>
      </text>
    </comment>
    <comment ref="E12" authorId="0">
      <text>
        <r>
          <rPr>
            <sz val="10"/>
            <rFont val="Arial"/>
            <family val="2"/>
          </rPr>
          <t xml:space="preserve">Select asset class from dropdown</t>
        </r>
      </text>
    </comment>
    <comment ref="E13" authorId="0">
      <text>
        <r>
          <rPr>
            <sz val="10"/>
            <rFont val="Arial"/>
            <family val="2"/>
          </rPr>
          <t xml:space="preserve">Select asset class from dropdown</t>
        </r>
      </text>
    </comment>
    <comment ref="E14" authorId="0">
      <text>
        <r>
          <rPr>
            <sz val="10"/>
            <rFont val="Arial"/>
            <family val="2"/>
          </rPr>
          <t xml:space="preserve">Select asset class from dropdown</t>
        </r>
      </text>
    </comment>
    <comment ref="E15" authorId="0">
      <text>
        <r>
          <rPr>
            <sz val="10"/>
            <rFont val="Arial"/>
            <family val="2"/>
          </rPr>
          <t xml:space="preserve">Select asset class from dropdown</t>
        </r>
      </text>
    </comment>
    <comment ref="E16" authorId="0">
      <text>
        <r>
          <rPr>
            <sz val="10"/>
            <rFont val="Arial"/>
            <family val="2"/>
          </rPr>
          <t xml:space="preserve">Select asset class from dropdown</t>
        </r>
      </text>
    </comment>
    <comment ref="E17" authorId="0">
      <text>
        <r>
          <rPr>
            <sz val="10"/>
            <rFont val="Arial"/>
            <family val="2"/>
          </rPr>
          <t xml:space="preserve">Select asset class from dropdown</t>
        </r>
      </text>
    </comment>
    <comment ref="E18" authorId="0">
      <text>
        <r>
          <rPr>
            <sz val="10"/>
            <rFont val="Arial"/>
            <family val="2"/>
          </rPr>
          <t xml:space="preserve">Select asset class from dropdown</t>
        </r>
      </text>
    </comment>
    <comment ref="E19" authorId="0">
      <text>
        <r>
          <rPr>
            <sz val="10"/>
            <rFont val="Arial"/>
            <family val="2"/>
          </rPr>
          <t xml:space="preserve">Select asset class from dropdown</t>
        </r>
      </text>
    </comment>
    <comment ref="E20" authorId="0">
      <text>
        <r>
          <rPr>
            <sz val="10"/>
            <rFont val="Arial"/>
            <family val="2"/>
          </rPr>
          <t xml:space="preserve">Select asset class from dropdown</t>
        </r>
      </text>
    </comment>
    <comment ref="E21" authorId="0">
      <text>
        <r>
          <rPr>
            <sz val="10"/>
            <rFont val="Arial"/>
            <family val="2"/>
          </rPr>
          <t xml:space="preserve">Select asset class from dropdown</t>
        </r>
      </text>
    </comment>
    <comment ref="F12" authorId="0">
      <text>
        <r>
          <rPr>
            <sz val="10"/>
            <rFont val="Arial"/>
            <family val="2"/>
          </rPr>
          <t xml:space="preserve">Select sector from dropdown</t>
        </r>
      </text>
    </comment>
    <comment ref="F13" authorId="0">
      <text>
        <r>
          <rPr>
            <sz val="10"/>
            <rFont val="Arial"/>
            <family val="2"/>
          </rPr>
          <t xml:space="preserve">Select sector from dropdown</t>
        </r>
      </text>
    </comment>
    <comment ref="F14" authorId="0">
      <text>
        <r>
          <rPr>
            <sz val="10"/>
            <rFont val="Arial"/>
            <family val="2"/>
          </rPr>
          <t xml:space="preserve">Select sector from dropdown</t>
        </r>
      </text>
    </comment>
    <comment ref="F15" authorId="0">
      <text>
        <r>
          <rPr>
            <sz val="10"/>
            <rFont val="Arial"/>
            <family val="2"/>
          </rPr>
          <t xml:space="preserve">Select sector from dropdown</t>
        </r>
      </text>
    </comment>
    <comment ref="F16" authorId="0">
      <text>
        <r>
          <rPr>
            <sz val="10"/>
            <rFont val="Arial"/>
            <family val="2"/>
          </rPr>
          <t xml:space="preserve">Select sector from dropdown</t>
        </r>
      </text>
    </comment>
    <comment ref="F17" authorId="0">
      <text>
        <r>
          <rPr>
            <sz val="10"/>
            <rFont val="Arial"/>
            <family val="2"/>
          </rPr>
          <t xml:space="preserve">Select sector from dropdown</t>
        </r>
      </text>
    </comment>
    <comment ref="F18" authorId="0">
      <text>
        <r>
          <rPr>
            <sz val="10"/>
            <rFont val="Arial"/>
            <family val="2"/>
          </rPr>
          <t xml:space="preserve">Select sector from dropdown</t>
        </r>
      </text>
    </comment>
    <comment ref="F19" authorId="0">
      <text>
        <r>
          <rPr>
            <sz val="10"/>
            <rFont val="Arial"/>
            <family val="2"/>
          </rPr>
          <t xml:space="preserve">Select sector from dropdown</t>
        </r>
      </text>
    </comment>
    <comment ref="F20" authorId="0">
      <text>
        <r>
          <rPr>
            <sz val="10"/>
            <rFont val="Arial"/>
            <family val="2"/>
          </rPr>
          <t xml:space="preserve">Select sector from dropdown</t>
        </r>
      </text>
    </comment>
    <comment ref="F21" authorId="0">
      <text>
        <r>
          <rPr>
            <sz val="10"/>
            <rFont val="Arial"/>
            <family val="2"/>
          </rPr>
          <t xml:space="preserve">Select sector from dropdown</t>
        </r>
      </text>
    </comment>
    <comment ref="F39" authorId="0">
      <text>
        <r>
          <rPr>
            <sz val="10"/>
            <rFont val="Arial"/>
            <family val="2"/>
          </rPr>
          <t xml:space="preserve">Example: Caps upside; no floor</t>
        </r>
      </text>
    </comment>
    <comment ref="F40" authorId="0">
      <text>
        <r>
          <rPr>
            <sz val="10"/>
            <rFont val="Arial"/>
            <family val="2"/>
          </rPr>
          <t xml:space="preserve">Example: Reduces equity exposure</t>
        </r>
      </text>
    </comment>
    <comment ref="G5" authorId="0">
      <text>
        <r>
          <rPr>
            <sz val="10"/>
            <rFont val="Arial"/>
            <family val="2"/>
          </rPr>
          <t xml:space="preserve">From Phase 2 IPS — client's required annual return</t>
        </r>
      </text>
    </comment>
    <comment ref="G12" authorId="0">
      <text>
        <r>
          <rPr>
            <sz val="10"/>
            <rFont val="Arial"/>
            <family val="2"/>
          </rPr>
          <t xml:space="preserve">Portfolio weight for this security. All weights must sum to 100%.</t>
        </r>
      </text>
    </comment>
    <comment ref="G13" authorId="0">
      <text>
        <r>
          <rPr>
            <sz val="10"/>
            <rFont val="Arial"/>
            <family val="2"/>
          </rPr>
          <t xml:space="preserve">Portfolio weight for this security. All weights must sum to 100%.</t>
        </r>
      </text>
    </comment>
    <comment ref="G14" authorId="0">
      <text>
        <r>
          <rPr>
            <sz val="10"/>
            <rFont val="Arial"/>
            <family val="2"/>
          </rPr>
          <t xml:space="preserve">Portfolio weight for this security. All weights must sum to 100%.</t>
        </r>
      </text>
    </comment>
    <comment ref="G15" authorId="0">
      <text>
        <r>
          <rPr>
            <sz val="10"/>
            <rFont val="Arial"/>
            <family val="2"/>
          </rPr>
          <t xml:space="preserve">Portfolio weight for this security. All weights must sum to 100%.</t>
        </r>
      </text>
    </comment>
    <comment ref="G16" authorId="0">
      <text>
        <r>
          <rPr>
            <sz val="10"/>
            <rFont val="Arial"/>
            <family val="2"/>
          </rPr>
          <t xml:space="preserve">Portfolio weight for this security. All weights must sum to 100%.</t>
        </r>
      </text>
    </comment>
    <comment ref="G17" authorId="0">
      <text>
        <r>
          <rPr>
            <sz val="10"/>
            <rFont val="Arial"/>
            <family val="2"/>
          </rPr>
          <t xml:space="preserve">Portfolio weight for this security. All weights must sum to 100%.</t>
        </r>
      </text>
    </comment>
    <comment ref="G18" authorId="0">
      <text>
        <r>
          <rPr>
            <sz val="10"/>
            <rFont val="Arial"/>
            <family val="2"/>
          </rPr>
          <t xml:space="preserve">Portfolio weight for this security. All weights must sum to 100%.</t>
        </r>
      </text>
    </comment>
    <comment ref="G19" authorId="0">
      <text>
        <r>
          <rPr>
            <sz val="10"/>
            <rFont val="Arial"/>
            <family val="2"/>
          </rPr>
          <t xml:space="preserve">Portfolio weight for this security. All weights must sum to 100%.</t>
        </r>
      </text>
    </comment>
    <comment ref="G20" authorId="0">
      <text>
        <r>
          <rPr>
            <sz val="10"/>
            <rFont val="Arial"/>
            <family val="2"/>
          </rPr>
          <t xml:space="preserve">Portfolio weight for this security. All weights must sum to 100%.</t>
        </r>
      </text>
    </comment>
    <comment ref="G21" authorId="0">
      <text>
        <r>
          <rPr>
            <sz val="10"/>
            <rFont val="Arial"/>
            <family val="2"/>
          </rPr>
          <t xml:space="preserve">Portfolio weight for this security. All weights must sum to 100%.</t>
        </r>
      </text>
    </comment>
    <comment ref="H39" authorId="0">
      <text>
        <r>
          <rPr>
            <sz val="10"/>
            <rFont val="Arial"/>
            <family val="2"/>
          </rPr>
          <t xml:space="preserve">Example: Lower cost but limits gains</t>
        </r>
      </text>
    </comment>
    <comment ref="H40" authorId="0">
      <text>
        <r>
          <rPr>
            <sz val="10"/>
            <rFont val="Arial"/>
            <family val="2"/>
          </rPr>
          <t xml:space="preserve">Example: Simpler but sacrifices return</t>
        </r>
      </text>
    </comment>
    <comment ref="I5" authorId="0">
      <text>
        <r>
          <rPr>
            <sz val="10"/>
            <rFont val="Arial"/>
            <family val="2"/>
          </rPr>
          <t xml:space="preserve">From Phase 2 IPS — maximum portfolio standard deviation allowed</t>
        </r>
      </text>
    </comment>
    <comment ref="I12" authorId="0">
      <text>
        <r>
          <rPr>
            <sz val="10"/>
            <rFont val="Arial"/>
            <family val="2"/>
          </rPr>
          <t xml:space="preserve">Estimated beta (vs. S&amp;P 500). Source from FactSet or Yahoo Finance.</t>
        </r>
      </text>
    </comment>
    <comment ref="I13" authorId="0">
      <text>
        <r>
          <rPr>
            <sz val="10"/>
            <rFont val="Arial"/>
            <family val="2"/>
          </rPr>
          <t xml:space="preserve">Estimated beta (vs. S&amp;P 500). Source from FactSet or Yahoo Finance.</t>
        </r>
      </text>
    </comment>
    <comment ref="I14" authorId="0">
      <text>
        <r>
          <rPr>
            <sz val="10"/>
            <rFont val="Arial"/>
            <family val="2"/>
          </rPr>
          <t xml:space="preserve">Estimated beta (vs. S&amp;P 500). Source from FactSet or Yahoo Finance.</t>
        </r>
      </text>
    </comment>
    <comment ref="I15" authorId="0">
      <text>
        <r>
          <rPr>
            <sz val="10"/>
            <rFont val="Arial"/>
            <family val="2"/>
          </rPr>
          <t xml:space="preserve">Estimated beta (vs. S&amp;P 500). Source from FactSet or Yahoo Finance.</t>
        </r>
      </text>
    </comment>
    <comment ref="I16" authorId="0">
      <text>
        <r>
          <rPr>
            <sz val="10"/>
            <rFont val="Arial"/>
            <family val="2"/>
          </rPr>
          <t xml:space="preserve">Estimated beta (vs. S&amp;P 500). Source from FactSet or Yahoo Finance.</t>
        </r>
      </text>
    </comment>
    <comment ref="I17" authorId="0">
      <text>
        <r>
          <rPr>
            <sz val="10"/>
            <rFont val="Arial"/>
            <family val="2"/>
          </rPr>
          <t xml:space="preserve">Estimated beta (vs. S&amp;P 500). Source from FactSet or Yahoo Finance.</t>
        </r>
      </text>
    </comment>
    <comment ref="I18" authorId="0">
      <text>
        <r>
          <rPr>
            <sz val="10"/>
            <rFont val="Arial"/>
            <family val="2"/>
          </rPr>
          <t xml:space="preserve">Estimated beta (vs. S&amp;P 500). Source from FactSet or Yahoo Finance.</t>
        </r>
      </text>
    </comment>
    <comment ref="I19" authorId="0">
      <text>
        <r>
          <rPr>
            <sz val="10"/>
            <rFont val="Arial"/>
            <family val="2"/>
          </rPr>
          <t xml:space="preserve">Estimated beta (vs. S&amp;P 500). Source from FactSet or Yahoo Finance.</t>
        </r>
      </text>
    </comment>
    <comment ref="I20" authorId="0">
      <text>
        <r>
          <rPr>
            <sz val="10"/>
            <rFont val="Arial"/>
            <family val="2"/>
          </rPr>
          <t xml:space="preserve">Estimated beta (vs. S&amp;P 500). Source from FactSet or Yahoo Finance.</t>
        </r>
      </text>
    </comment>
    <comment ref="I21" authorId="0">
      <text>
        <r>
          <rPr>
            <sz val="10"/>
            <rFont val="Arial"/>
            <family val="2"/>
          </rPr>
          <t xml:space="preserve">Estimated beta (vs. S&amp;P 500). Source from FactSet or Yahoo Finance.</t>
        </r>
      </text>
    </comment>
    <comment ref="J12" authorId="0">
      <text>
        <r>
          <rPr>
            <sz val="10"/>
            <rFont val="Arial"/>
            <family val="2"/>
          </rPr>
          <t xml:space="preserve">Does this security PASS your Phase 1 macro filter? Must be YES.</t>
        </r>
      </text>
    </comment>
    <comment ref="J13" authorId="0">
      <text>
        <r>
          <rPr>
            <sz val="10"/>
            <rFont val="Arial"/>
            <family val="2"/>
          </rPr>
          <t xml:space="preserve">Does this security PASS your Phase 1 macro filter? Must be YES.</t>
        </r>
      </text>
    </comment>
    <comment ref="J14" authorId="0">
      <text>
        <r>
          <rPr>
            <sz val="10"/>
            <rFont val="Arial"/>
            <family val="2"/>
          </rPr>
          <t xml:space="preserve">Does this security PASS your Phase 1 macro filter? Must be YES.</t>
        </r>
      </text>
    </comment>
    <comment ref="J15" authorId="0">
      <text>
        <r>
          <rPr>
            <sz val="10"/>
            <rFont val="Arial"/>
            <family val="2"/>
          </rPr>
          <t xml:space="preserve">Does this security PASS your Phase 1 macro filter? Must be YES.</t>
        </r>
      </text>
    </comment>
    <comment ref="J16" authorId="0">
      <text>
        <r>
          <rPr>
            <sz val="10"/>
            <rFont val="Arial"/>
            <family val="2"/>
          </rPr>
          <t xml:space="preserve">Does this security PASS your Phase 1 macro filter? Must be YES.</t>
        </r>
      </text>
    </comment>
    <comment ref="J17" authorId="0">
      <text>
        <r>
          <rPr>
            <sz val="10"/>
            <rFont val="Arial"/>
            <family val="2"/>
          </rPr>
          <t xml:space="preserve">Does this security PASS your Phase 1 macro filter? Must be YES.</t>
        </r>
      </text>
    </comment>
    <comment ref="J18" authorId="0">
      <text>
        <r>
          <rPr>
            <sz val="10"/>
            <rFont val="Arial"/>
            <family val="2"/>
          </rPr>
          <t xml:space="preserve">Does this security PASS your Phase 1 macro filter? Must be YES.</t>
        </r>
      </text>
    </comment>
    <comment ref="J19" authorId="0">
      <text>
        <r>
          <rPr>
            <sz val="10"/>
            <rFont val="Arial"/>
            <family val="2"/>
          </rPr>
          <t xml:space="preserve">Does this security PASS your Phase 1 macro filter? Must be YES.</t>
        </r>
      </text>
    </comment>
    <comment ref="J20" authorId="0">
      <text>
        <r>
          <rPr>
            <sz val="10"/>
            <rFont val="Arial"/>
            <family val="2"/>
          </rPr>
          <t xml:space="preserve">Does this security PASS your Phase 1 macro filter? Must be YES.</t>
        </r>
      </text>
    </comment>
    <comment ref="J21" authorId="0">
      <text>
        <r>
          <rPr>
            <sz val="10"/>
            <rFont val="Arial"/>
            <family val="2"/>
          </rPr>
          <t xml:space="preserve">Does this security PASS your Phase 1 macro filter? Must be YES.</t>
        </r>
      </text>
    </comment>
    <comment ref="K5" authorId="0">
      <text>
        <r>
          <rPr>
            <sz val="10"/>
            <rFont val="Arial"/>
            <family val="2"/>
          </rPr>
          <t xml:space="preserve">From Phase 1 — e.g. 'Late-Cycle / Base Case: Soft Landing'</t>
        </r>
      </text>
    </comment>
    <comment ref="K12" authorId="0">
      <text>
        <r>
          <rPr>
            <sz val="10"/>
            <rFont val="Arial"/>
            <family val="2"/>
          </rPr>
          <t xml:space="preserve">Reference number linking to your Investment Thesis Log (Section 3 of this tab). e.g. 1, 2, 3...</t>
        </r>
      </text>
    </comment>
    <comment ref="K13" authorId="0">
      <text>
        <r>
          <rPr>
            <sz val="10"/>
            <rFont val="Arial"/>
            <family val="2"/>
          </rPr>
          <t xml:space="preserve">Reference number linking to your Investment Thesis Log (Section 3 of this tab). e.g. 1, 2, 3...</t>
        </r>
      </text>
    </comment>
    <comment ref="K14" authorId="0">
      <text>
        <r>
          <rPr>
            <sz val="10"/>
            <rFont val="Arial"/>
            <family val="2"/>
          </rPr>
          <t xml:space="preserve">Reference number linking to your Investment Thesis Log (Section 3 of this tab). e.g. 1, 2, 3...</t>
        </r>
      </text>
    </comment>
    <comment ref="K15" authorId="0">
      <text>
        <r>
          <rPr>
            <sz val="10"/>
            <rFont val="Arial"/>
            <family val="2"/>
          </rPr>
          <t xml:space="preserve">Reference number linking to your Investment Thesis Log (Section 3 of this tab). e.g. 1, 2, 3...</t>
        </r>
      </text>
    </comment>
    <comment ref="K16" authorId="0">
      <text>
        <r>
          <rPr>
            <sz val="10"/>
            <rFont val="Arial"/>
            <family val="2"/>
          </rPr>
          <t xml:space="preserve">Reference number linking to your Investment Thesis Log (Section 3 of this tab). e.g. 1, 2, 3...</t>
        </r>
      </text>
    </comment>
    <comment ref="K17" authorId="0">
      <text>
        <r>
          <rPr>
            <sz val="10"/>
            <rFont val="Arial"/>
            <family val="2"/>
          </rPr>
          <t xml:space="preserve">Reference number linking to your Investment Thesis Log (Section 3 of this tab). e.g. 1, 2, 3...</t>
        </r>
      </text>
    </comment>
    <comment ref="K18" authorId="0">
      <text>
        <r>
          <rPr>
            <sz val="10"/>
            <rFont val="Arial"/>
            <family val="2"/>
          </rPr>
          <t xml:space="preserve">Reference number linking to your Investment Thesis Log (Section 3 of this tab). e.g. 1, 2, 3...</t>
        </r>
      </text>
    </comment>
    <comment ref="K19" authorId="0">
      <text>
        <r>
          <rPr>
            <sz val="10"/>
            <rFont val="Arial"/>
            <family val="2"/>
          </rPr>
          <t xml:space="preserve">Reference number linking to your Investment Thesis Log (Section 3 of this tab). e.g. 1, 2, 3...</t>
        </r>
      </text>
    </comment>
    <comment ref="K20" authorId="0">
      <text>
        <r>
          <rPr>
            <sz val="10"/>
            <rFont val="Arial"/>
            <family val="2"/>
          </rPr>
          <t xml:space="preserve">Reference number linking to your Investment Thesis Log (Section 3 of this tab). e.g. 1, 2, 3...</t>
        </r>
      </text>
    </comment>
    <comment ref="K21" authorId="0">
      <text>
        <r>
          <rPr>
            <sz val="10"/>
            <rFont val="Arial"/>
            <family val="2"/>
          </rPr>
          <t xml:space="preserve">Reference number linking to your Investment Thesis Log (Section 3 of this tab). e.g. 1, 2, 3...</t>
        </r>
      </text>
    </comment>
    <comment ref="K39" authorId="0">
      <text>
        <r>
          <rPr>
            <sz val="10"/>
            <rFont val="Arial"/>
            <family val="2"/>
          </rPr>
          <t xml:space="preserve">Example: Client needs upside participation</t>
        </r>
      </text>
    </comment>
    <comment ref="K40" authorId="0">
      <text>
        <r>
          <rPr>
            <sz val="10"/>
            <rFont val="Arial"/>
            <family val="2"/>
          </rPr>
          <t xml:space="preserve">Example: Below target E(R) with high cash</t>
        </r>
      </text>
    </comment>
    <comment ref="L12" authorId="0">
      <text>
        <r>
          <rPr>
            <sz val="10"/>
            <rFont val="Arial"/>
            <family val="2"/>
          </rPr>
          <t xml:space="preserve">Cite your source. E.g. "FactSet @ECO, 4/15/2025" or "SEC 10-K FY2024"</t>
        </r>
      </text>
    </comment>
    <comment ref="L13" authorId="0">
      <text>
        <r>
          <rPr>
            <sz val="10"/>
            <rFont val="Arial"/>
            <family val="2"/>
          </rPr>
          <t xml:space="preserve">Cite your source. E.g. "FactSet @ECO, 4/15/2025" or "SEC 10-K FY2024"</t>
        </r>
      </text>
    </comment>
    <comment ref="L14" authorId="0">
      <text>
        <r>
          <rPr>
            <sz val="10"/>
            <rFont val="Arial"/>
            <family val="2"/>
          </rPr>
          <t xml:space="preserve">Cite your source. E.g. "FactSet @ECO, 4/15/2025" or "SEC 10-K FY2024"</t>
        </r>
      </text>
    </comment>
    <comment ref="L15" authorId="0">
      <text>
        <r>
          <rPr>
            <sz val="10"/>
            <rFont val="Arial"/>
            <family val="2"/>
          </rPr>
          <t xml:space="preserve">Cite your source. E.g. "FactSet @ECO, 4/15/2025" or "SEC 10-K FY2024"</t>
        </r>
      </text>
    </comment>
    <comment ref="L16" authorId="0">
      <text>
        <r>
          <rPr>
            <sz val="10"/>
            <rFont val="Arial"/>
            <family val="2"/>
          </rPr>
          <t xml:space="preserve">Cite your source. E.g. "FactSet @ECO, 4/15/2025" or "SEC 10-K FY2024"</t>
        </r>
      </text>
    </comment>
    <comment ref="L17" authorId="0">
      <text>
        <r>
          <rPr>
            <sz val="10"/>
            <rFont val="Arial"/>
            <family val="2"/>
          </rPr>
          <t xml:space="preserve">Cite your source. E.g. "FactSet @ECO, 4/15/2025" or "SEC 10-K FY2024"</t>
        </r>
      </text>
    </comment>
    <comment ref="L18" authorId="0">
      <text>
        <r>
          <rPr>
            <sz val="10"/>
            <rFont val="Arial"/>
            <family val="2"/>
          </rPr>
          <t xml:space="preserve">Cite your source. E.g. "FactSet @ECO, 4/15/2025" or "SEC 10-K FY2024"</t>
        </r>
      </text>
    </comment>
    <comment ref="L19" authorId="0">
      <text>
        <r>
          <rPr>
            <sz val="10"/>
            <rFont val="Arial"/>
            <family val="2"/>
          </rPr>
          <t xml:space="preserve">Cite your source. E.g. "FactSet @ECO, 4/15/2025" or "SEC 10-K FY2024"</t>
        </r>
      </text>
    </comment>
    <comment ref="L20" authorId="0">
      <text>
        <r>
          <rPr>
            <sz val="10"/>
            <rFont val="Arial"/>
            <family val="2"/>
          </rPr>
          <t xml:space="preserve">Cite your source. E.g. "FactSet @ECO, 4/15/2025" or "SEC 10-K FY2024"</t>
        </r>
      </text>
    </comment>
    <comment ref="L21" authorId="0">
      <text>
        <r>
          <rPr>
            <sz val="10"/>
            <rFont val="Arial"/>
            <family val="2"/>
          </rPr>
          <t xml:space="preserve">Cite your source. E.g. "FactSet @ECO, 4/15/2025" or "SEC 10-K FY2024"</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39" authorId="0">
      <text>
        <r>
          <rPr>
            <sz val="10"/>
            <rFont val="Arial"/>
            <family val="2"/>
          </rPr>
          <t xml:space="preserve">Example: Covered Call</t>
        </r>
      </text>
    </comment>
    <comment ref="B40" authorId="0">
      <text>
        <r>
          <rPr>
            <sz val="10"/>
            <rFont val="Arial"/>
            <family val="2"/>
          </rPr>
          <t xml:space="preserve">Example: Increase Cash Allocation</t>
        </r>
      </text>
    </comment>
    <comment ref="C5" authorId="0">
      <text>
        <r>
          <rPr>
            <sz val="10"/>
            <rFont val="Arial"/>
            <family val="2"/>
          </rPr>
          <t xml:space="preserve">Enter client name or ID (e.g. Eleanor Vance — Client 1)</t>
        </r>
      </text>
    </comment>
    <comment ref="C12" authorId="0">
      <text>
        <r>
          <rPr>
            <sz val="10"/>
            <rFont val="Arial"/>
            <family val="2"/>
          </rPr>
          <t xml:space="preserve">Enter ticker symbol (e.g. AAPL, SPY, TLT)</t>
        </r>
      </text>
    </comment>
    <comment ref="C13" authorId="0">
      <text>
        <r>
          <rPr>
            <sz val="10"/>
            <rFont val="Arial"/>
            <family val="2"/>
          </rPr>
          <t xml:space="preserve">Enter ticker symbol (e.g. AAPL, SPY, TLT)</t>
        </r>
      </text>
    </comment>
    <comment ref="C14" authorId="0">
      <text>
        <r>
          <rPr>
            <sz val="10"/>
            <rFont val="Arial"/>
            <family val="2"/>
          </rPr>
          <t xml:space="preserve">Enter ticker symbol (e.g. AAPL, SPY, TLT)</t>
        </r>
      </text>
    </comment>
    <comment ref="C15" authorId="0">
      <text>
        <r>
          <rPr>
            <sz val="10"/>
            <rFont val="Arial"/>
            <family val="2"/>
          </rPr>
          <t xml:space="preserve">Enter ticker symbol (e.g. AAPL, SPY, TLT)</t>
        </r>
      </text>
    </comment>
    <comment ref="C16" authorId="0">
      <text>
        <r>
          <rPr>
            <sz val="10"/>
            <rFont val="Arial"/>
            <family val="2"/>
          </rPr>
          <t xml:space="preserve">Enter ticker symbol (e.g. AAPL, SPY, TLT)</t>
        </r>
      </text>
    </comment>
    <comment ref="C17" authorId="0">
      <text>
        <r>
          <rPr>
            <sz val="10"/>
            <rFont val="Arial"/>
            <family val="2"/>
          </rPr>
          <t xml:space="preserve">Enter ticker symbol (e.g. AAPL, SPY, TLT)</t>
        </r>
      </text>
    </comment>
    <comment ref="C18" authorId="0">
      <text>
        <r>
          <rPr>
            <sz val="10"/>
            <rFont val="Arial"/>
            <family val="2"/>
          </rPr>
          <t xml:space="preserve">Enter ticker symbol (e.g. AAPL, SPY, TLT)</t>
        </r>
      </text>
    </comment>
    <comment ref="C19" authorId="0">
      <text>
        <r>
          <rPr>
            <sz val="10"/>
            <rFont val="Arial"/>
            <family val="2"/>
          </rPr>
          <t xml:space="preserve">Enter ticker symbol (e.g. AAPL, SPY, TLT)</t>
        </r>
      </text>
    </comment>
    <comment ref="C20" authorId="0">
      <text>
        <r>
          <rPr>
            <sz val="10"/>
            <rFont val="Arial"/>
            <family val="2"/>
          </rPr>
          <t xml:space="preserve">Enter ticker symbol (e.g. AAPL, SPY, TLT)</t>
        </r>
      </text>
    </comment>
    <comment ref="C21" authorId="0">
      <text>
        <r>
          <rPr>
            <sz val="10"/>
            <rFont val="Arial"/>
            <family val="2"/>
          </rPr>
          <t xml:space="preserve">Enter ticker symbol (e.g. AAPL, SPY, TLT)</t>
        </r>
      </text>
    </comment>
    <comment ref="C27" authorId="0">
      <text>
        <r>
          <rPr>
            <sz val="10"/>
            <rFont val="Arial"/>
            <family val="2"/>
          </rPr>
          <t xml:space="preserve">Describe the hedge strategy in plain English. E.g. 'Protective Put on SPY ETF'</t>
        </r>
      </text>
    </comment>
    <comment ref="C28" authorId="0">
      <text>
        <r>
          <rPr>
            <sz val="10"/>
            <rFont val="Arial"/>
            <family val="2"/>
          </rPr>
          <t xml:space="preserve">The security being hedged. Must match a holding in Section 1.</t>
        </r>
      </text>
    </comment>
    <comment ref="C29" authorId="0">
      <text>
        <r>
          <rPr>
            <sz val="10"/>
            <rFont val="Arial"/>
            <family val="2"/>
          </rPr>
          <t xml:space="preserve">Put Option / Call Option / Futures Contract / Collar / Other</t>
        </r>
      </text>
    </comment>
    <comment ref="C30" authorId="0">
      <text>
        <r>
          <rPr>
            <sz val="10"/>
            <rFont val="Arial"/>
            <family val="2"/>
          </rPr>
          <t xml:space="preserve">Strike price of the option contract. State if ITM, ATM, or OTM.</t>
        </r>
      </text>
    </comment>
    <comment ref="C31" authorId="0">
      <text>
        <r>
          <rPr>
            <sz val="10"/>
            <rFont val="Arial"/>
            <family val="2"/>
          </rPr>
          <t xml:space="preserve">Option expiration date or contract duration.</t>
        </r>
      </text>
    </comment>
    <comment ref="C32" authorId="0">
      <text>
        <r>
          <rPr>
            <sz val="10"/>
            <rFont val="Arial"/>
            <family val="2"/>
          </rPr>
          <t xml:space="preserve">Total cost of the hedge. Source from FactSet options chain or current market.</t>
        </r>
      </text>
    </comment>
    <comment ref="C33" authorId="0">
      <text>
        <r>
          <rPr>
            <sz val="10"/>
            <rFont val="Arial"/>
            <family val="2"/>
          </rPr>
          <t xml:space="preserve">Hedge cost as a % of total portfolio value. Formula: cost / 500000</t>
        </r>
      </text>
    </comment>
    <comment ref="C34" authorId="0">
      <text>
        <r>
          <rPr>
            <sz val="10"/>
            <rFont val="Arial"/>
            <family val="2"/>
          </rPr>
          <t xml:space="preserve">The maximum loss after the hedge is applied. Must be within IPS drawdown limit.</t>
        </r>
      </text>
    </comment>
    <comment ref="C35" authorId="0">
      <text>
        <r>
          <rPr>
            <sz val="10"/>
            <rFont val="Arial"/>
            <family val="2"/>
          </rPr>
          <t xml:space="preserve">Portfolio Bear Case return after hedge payoff. Verify this passes IPS Tripwire.</t>
        </r>
      </text>
    </comment>
    <comment ref="C39" authorId="0">
      <text>
        <r>
          <rPr>
            <sz val="10"/>
            <rFont val="Arial"/>
            <family val="2"/>
          </rPr>
          <t xml:space="preserve">Example: Net credit received</t>
        </r>
      </text>
    </comment>
    <comment ref="C40" authorId="0">
      <text>
        <r>
          <rPr>
            <sz val="10"/>
            <rFont val="Arial"/>
            <family val="2"/>
          </rPr>
          <t xml:space="preserve">Example: Opportunity cost only</t>
        </r>
      </text>
    </comment>
    <comment ref="C45" authorId="0">
      <text>
        <r>
          <rPr>
            <sz val="10"/>
            <rFont val="Arial"/>
            <family val="2"/>
          </rPr>
          <t xml:space="preserve">Must match an entry in Section 1.</t>
        </r>
      </text>
    </comment>
    <comment ref="C46" authorId="0">
      <text>
        <r>
          <rPr>
            <sz val="10"/>
            <rFont val="Arial"/>
            <family val="2"/>
          </rPr>
          <t xml:space="preserve">Must match columns E and F in Section 1.</t>
        </r>
      </text>
    </comment>
    <comment ref="C47" authorId="0">
      <text>
        <r>
          <rPr>
            <sz val="10"/>
            <rFont val="Arial"/>
            <family val="2"/>
          </rPr>
          <t xml:space="preserve">Required: link to Phase 1 macro regime. E.g. 'In our Base Case (Soft Landing), earnings growth of 8% supports broad equity exposure via SPY.'</t>
        </r>
      </text>
    </comment>
    <comment ref="C48" authorId="0">
      <text>
        <r>
          <rPr>
            <sz val="10"/>
            <rFont val="Arial"/>
            <family val="2"/>
          </rPr>
          <t xml:space="preserve">Bottom-up reason beyond macro. E.g. valuation, dividend yield, duration match.</t>
        </r>
      </text>
    </comment>
    <comment ref="C49" authorId="0">
      <text>
        <r>
          <rPr>
            <sz val="10"/>
            <rFont val="Arial"/>
            <family val="2"/>
          </rPr>
          <t xml:space="preserve">Cite EVERY data point. Unverified AI data = Hallucination Clause violation.</t>
        </r>
      </text>
    </comment>
    <comment ref="C50" authorId="0">
      <text>
        <r>
          <rPr>
            <sz val="10"/>
            <rFont val="Arial"/>
            <family val="2"/>
          </rPr>
          <t xml:space="preserve">Must reference client's specific IPS constraints (Phase 2).</t>
        </r>
      </text>
    </comment>
    <comment ref="C51" authorId="0">
      <text>
        <r>
          <rPr>
            <sz val="10"/>
            <rFont val="Arial"/>
            <family val="2"/>
          </rPr>
          <t xml:space="preserve">Required if AI was used. State: tool used, prompt summary, and verification source.</t>
        </r>
      </text>
    </comment>
    <comment ref="C54" authorId="0">
      <text>
        <r>
          <rPr>
            <sz val="10"/>
            <rFont val="Arial"/>
            <family val="2"/>
          </rPr>
          <t xml:space="preserve">Must match an entry in Section 1.</t>
        </r>
      </text>
    </comment>
    <comment ref="C55" authorId="0">
      <text>
        <r>
          <rPr>
            <sz val="10"/>
            <rFont val="Arial"/>
            <family val="2"/>
          </rPr>
          <t xml:space="preserve">Must match columns E and F in Section 1.</t>
        </r>
      </text>
    </comment>
    <comment ref="C56" authorId="0">
      <text>
        <r>
          <rPr>
            <sz val="10"/>
            <rFont val="Arial"/>
            <family val="2"/>
          </rPr>
          <t xml:space="preserve">Required: link to Phase 1 macro regime. E.g. 'In our Base Case (Soft Landing), earnings growth of 8% supports broad equity exposure via SPY.'</t>
        </r>
      </text>
    </comment>
    <comment ref="C57" authorId="0">
      <text>
        <r>
          <rPr>
            <sz val="10"/>
            <rFont val="Arial"/>
            <family val="2"/>
          </rPr>
          <t xml:space="preserve">Bottom-up reason beyond macro. E.g. valuation, dividend yield, duration match.</t>
        </r>
      </text>
    </comment>
    <comment ref="C58" authorId="0">
      <text>
        <r>
          <rPr>
            <sz val="10"/>
            <rFont val="Arial"/>
            <family val="2"/>
          </rPr>
          <t xml:space="preserve">Cite EVERY data point. Unverified AI data = Hallucination Clause violation.</t>
        </r>
      </text>
    </comment>
    <comment ref="C59" authorId="0">
      <text>
        <r>
          <rPr>
            <sz val="10"/>
            <rFont val="Arial"/>
            <family val="2"/>
          </rPr>
          <t xml:space="preserve">Must reference client's specific IPS constraints (Phase 2).</t>
        </r>
      </text>
    </comment>
    <comment ref="C60" authorId="0">
      <text>
        <r>
          <rPr>
            <sz val="10"/>
            <rFont val="Arial"/>
            <family val="2"/>
          </rPr>
          <t xml:space="preserve">Required if AI was used. State: tool used, prompt summary, and verification source.</t>
        </r>
      </text>
    </comment>
    <comment ref="C63" authorId="0">
      <text>
        <r>
          <rPr>
            <sz val="10"/>
            <rFont val="Arial"/>
            <family val="2"/>
          </rPr>
          <t xml:space="preserve">Must match an entry in Section 1.</t>
        </r>
      </text>
    </comment>
    <comment ref="C64" authorId="0">
      <text>
        <r>
          <rPr>
            <sz val="10"/>
            <rFont val="Arial"/>
            <family val="2"/>
          </rPr>
          <t xml:space="preserve">Must match columns E and F in Section 1.</t>
        </r>
      </text>
    </comment>
    <comment ref="C65" authorId="0">
      <text>
        <r>
          <rPr>
            <sz val="10"/>
            <rFont val="Arial"/>
            <family val="2"/>
          </rPr>
          <t xml:space="preserve">Required: link to Phase 1 macro regime. E.g. 'In our Base Case (Soft Landing), earnings growth of 8% supports broad equity exposure via SPY.'</t>
        </r>
      </text>
    </comment>
    <comment ref="C66" authorId="0">
      <text>
        <r>
          <rPr>
            <sz val="10"/>
            <rFont val="Arial"/>
            <family val="2"/>
          </rPr>
          <t xml:space="preserve">Bottom-up reason beyond macro. E.g. valuation, dividend yield, duration match.</t>
        </r>
      </text>
    </comment>
    <comment ref="C67" authorId="0">
      <text>
        <r>
          <rPr>
            <sz val="10"/>
            <rFont val="Arial"/>
            <family val="2"/>
          </rPr>
          <t xml:space="preserve">Cite EVERY data point. Unverified AI data = Hallucination Clause violation.</t>
        </r>
      </text>
    </comment>
    <comment ref="C68" authorId="0">
      <text>
        <r>
          <rPr>
            <sz val="10"/>
            <rFont val="Arial"/>
            <family val="2"/>
          </rPr>
          <t xml:space="preserve">Must reference client's specific IPS constraints (Phase 2).</t>
        </r>
      </text>
    </comment>
    <comment ref="C69" authorId="0">
      <text>
        <r>
          <rPr>
            <sz val="10"/>
            <rFont val="Arial"/>
            <family val="2"/>
          </rPr>
          <t xml:space="preserve">Required if AI was used. State: tool used, prompt summary, and verification source.</t>
        </r>
      </text>
    </comment>
    <comment ref="C72" authorId="0">
      <text>
        <r>
          <rPr>
            <sz val="10"/>
            <rFont val="Arial"/>
            <family val="2"/>
          </rPr>
          <t xml:space="preserve">Must match an entry in Section 1.</t>
        </r>
      </text>
    </comment>
    <comment ref="C73" authorId="0">
      <text>
        <r>
          <rPr>
            <sz val="10"/>
            <rFont val="Arial"/>
            <family val="2"/>
          </rPr>
          <t xml:space="preserve">Must match columns E and F in Section 1.</t>
        </r>
      </text>
    </comment>
    <comment ref="C74" authorId="0">
      <text>
        <r>
          <rPr>
            <sz val="10"/>
            <rFont val="Arial"/>
            <family val="2"/>
          </rPr>
          <t xml:space="preserve">Required: link to Phase 1 macro regime. E.g. 'In our Base Case (Soft Landing), earnings growth of 8% supports broad equity exposure via SPY.'</t>
        </r>
      </text>
    </comment>
    <comment ref="C75" authorId="0">
      <text>
        <r>
          <rPr>
            <sz val="10"/>
            <rFont val="Arial"/>
            <family val="2"/>
          </rPr>
          <t xml:space="preserve">Bottom-up reason beyond macro. E.g. valuation, dividend yield, duration match.</t>
        </r>
      </text>
    </comment>
    <comment ref="C76" authorId="0">
      <text>
        <r>
          <rPr>
            <sz val="10"/>
            <rFont val="Arial"/>
            <family val="2"/>
          </rPr>
          <t xml:space="preserve">Cite EVERY data point. Unverified AI data = Hallucination Clause violation.</t>
        </r>
      </text>
    </comment>
    <comment ref="C77" authorId="0">
      <text>
        <r>
          <rPr>
            <sz val="10"/>
            <rFont val="Arial"/>
            <family val="2"/>
          </rPr>
          <t xml:space="preserve">Must reference client's specific IPS constraints (Phase 2).</t>
        </r>
      </text>
    </comment>
    <comment ref="C78" authorId="0">
      <text>
        <r>
          <rPr>
            <sz val="10"/>
            <rFont val="Arial"/>
            <family val="2"/>
          </rPr>
          <t xml:space="preserve">Required if AI was used. State: tool used, prompt summary, and verification source.</t>
        </r>
      </text>
    </comment>
    <comment ref="C81" authorId="0">
      <text>
        <r>
          <rPr>
            <sz val="10"/>
            <rFont val="Arial"/>
            <family val="2"/>
          </rPr>
          <t xml:space="preserve">Must match an entry in Section 1.</t>
        </r>
      </text>
    </comment>
    <comment ref="C82" authorId="0">
      <text>
        <r>
          <rPr>
            <sz val="10"/>
            <rFont val="Arial"/>
            <family val="2"/>
          </rPr>
          <t xml:space="preserve">Must match columns E and F in Section 1.</t>
        </r>
      </text>
    </comment>
    <comment ref="C83" authorId="0">
      <text>
        <r>
          <rPr>
            <sz val="10"/>
            <rFont val="Arial"/>
            <family val="2"/>
          </rPr>
          <t xml:space="preserve">Required: link to Phase 1 macro regime. E.g. 'In our Base Case (Soft Landing), earnings growth of 8% supports broad equity exposure via SPY.'</t>
        </r>
      </text>
    </comment>
    <comment ref="C84" authorId="0">
      <text>
        <r>
          <rPr>
            <sz val="10"/>
            <rFont val="Arial"/>
            <family val="2"/>
          </rPr>
          <t xml:space="preserve">Bottom-up reason beyond macro. E.g. valuation, dividend yield, duration match.</t>
        </r>
      </text>
    </comment>
    <comment ref="C85" authorId="0">
      <text>
        <r>
          <rPr>
            <sz val="10"/>
            <rFont val="Arial"/>
            <family val="2"/>
          </rPr>
          <t xml:space="preserve">Cite EVERY data point. Unverified AI data = Hallucination Clause violation.</t>
        </r>
      </text>
    </comment>
    <comment ref="C86" authorId="0">
      <text>
        <r>
          <rPr>
            <sz val="10"/>
            <rFont val="Arial"/>
            <family val="2"/>
          </rPr>
          <t xml:space="preserve">Must reference client's specific IPS constraints (Phase 2).</t>
        </r>
      </text>
    </comment>
    <comment ref="C87" authorId="0">
      <text>
        <r>
          <rPr>
            <sz val="10"/>
            <rFont val="Arial"/>
            <family val="2"/>
          </rPr>
          <t xml:space="preserve">Required if AI was used. State: tool used, prompt summary, and verification source.</t>
        </r>
      </text>
    </comment>
    <comment ref="D12" authorId="0">
      <text>
        <r>
          <rPr>
            <sz val="10"/>
            <rFont val="Arial"/>
            <family val="2"/>
          </rPr>
          <t xml:space="preserve">Full security or ETF name</t>
        </r>
      </text>
    </comment>
    <comment ref="D13" authorId="0">
      <text>
        <r>
          <rPr>
            <sz val="10"/>
            <rFont val="Arial"/>
            <family val="2"/>
          </rPr>
          <t xml:space="preserve">Full security or ETF name</t>
        </r>
      </text>
    </comment>
    <comment ref="D14" authorId="0">
      <text>
        <r>
          <rPr>
            <sz val="10"/>
            <rFont val="Arial"/>
            <family val="2"/>
          </rPr>
          <t xml:space="preserve">Full security or ETF name</t>
        </r>
      </text>
    </comment>
    <comment ref="D15" authorId="0">
      <text>
        <r>
          <rPr>
            <sz val="10"/>
            <rFont val="Arial"/>
            <family val="2"/>
          </rPr>
          <t xml:space="preserve">Full security or ETF name</t>
        </r>
      </text>
    </comment>
    <comment ref="D16" authorId="0">
      <text>
        <r>
          <rPr>
            <sz val="10"/>
            <rFont val="Arial"/>
            <family val="2"/>
          </rPr>
          <t xml:space="preserve">Full security or ETF name</t>
        </r>
      </text>
    </comment>
    <comment ref="D17" authorId="0">
      <text>
        <r>
          <rPr>
            <sz val="10"/>
            <rFont val="Arial"/>
            <family val="2"/>
          </rPr>
          <t xml:space="preserve">Full security or ETF name</t>
        </r>
      </text>
    </comment>
    <comment ref="D18" authorId="0">
      <text>
        <r>
          <rPr>
            <sz val="10"/>
            <rFont val="Arial"/>
            <family val="2"/>
          </rPr>
          <t xml:space="preserve">Full security or ETF name</t>
        </r>
      </text>
    </comment>
    <comment ref="D19" authorId="0">
      <text>
        <r>
          <rPr>
            <sz val="10"/>
            <rFont val="Arial"/>
            <family val="2"/>
          </rPr>
          <t xml:space="preserve">Full security or ETF name</t>
        </r>
      </text>
    </comment>
    <comment ref="D20" authorId="0">
      <text>
        <r>
          <rPr>
            <sz val="10"/>
            <rFont val="Arial"/>
            <family val="2"/>
          </rPr>
          <t xml:space="preserve">Full security or ETF name</t>
        </r>
      </text>
    </comment>
    <comment ref="D21" authorId="0">
      <text>
        <r>
          <rPr>
            <sz val="10"/>
            <rFont val="Arial"/>
            <family val="2"/>
          </rPr>
          <t xml:space="preserve">Full security or ETF name</t>
        </r>
      </text>
    </comment>
    <comment ref="E12" authorId="0">
      <text>
        <r>
          <rPr>
            <sz val="10"/>
            <rFont val="Arial"/>
            <family val="2"/>
          </rPr>
          <t xml:space="preserve">Select asset class from dropdown</t>
        </r>
      </text>
    </comment>
    <comment ref="E13" authorId="0">
      <text>
        <r>
          <rPr>
            <sz val="10"/>
            <rFont val="Arial"/>
            <family val="2"/>
          </rPr>
          <t xml:space="preserve">Select asset class from dropdown</t>
        </r>
      </text>
    </comment>
    <comment ref="E14" authorId="0">
      <text>
        <r>
          <rPr>
            <sz val="10"/>
            <rFont val="Arial"/>
            <family val="2"/>
          </rPr>
          <t xml:space="preserve">Select asset class from dropdown</t>
        </r>
      </text>
    </comment>
    <comment ref="E15" authorId="0">
      <text>
        <r>
          <rPr>
            <sz val="10"/>
            <rFont val="Arial"/>
            <family val="2"/>
          </rPr>
          <t xml:space="preserve">Select asset class from dropdown</t>
        </r>
      </text>
    </comment>
    <comment ref="E16" authorId="0">
      <text>
        <r>
          <rPr>
            <sz val="10"/>
            <rFont val="Arial"/>
            <family val="2"/>
          </rPr>
          <t xml:space="preserve">Select asset class from dropdown</t>
        </r>
      </text>
    </comment>
    <comment ref="E17" authorId="0">
      <text>
        <r>
          <rPr>
            <sz val="10"/>
            <rFont val="Arial"/>
            <family val="2"/>
          </rPr>
          <t xml:space="preserve">Select asset class from dropdown</t>
        </r>
      </text>
    </comment>
    <comment ref="E18" authorId="0">
      <text>
        <r>
          <rPr>
            <sz val="10"/>
            <rFont val="Arial"/>
            <family val="2"/>
          </rPr>
          <t xml:space="preserve">Select asset class from dropdown</t>
        </r>
      </text>
    </comment>
    <comment ref="E19" authorId="0">
      <text>
        <r>
          <rPr>
            <sz val="10"/>
            <rFont val="Arial"/>
            <family val="2"/>
          </rPr>
          <t xml:space="preserve">Select asset class from dropdown</t>
        </r>
      </text>
    </comment>
    <comment ref="E20" authorId="0">
      <text>
        <r>
          <rPr>
            <sz val="10"/>
            <rFont val="Arial"/>
            <family val="2"/>
          </rPr>
          <t xml:space="preserve">Select asset class from dropdown</t>
        </r>
      </text>
    </comment>
    <comment ref="E21" authorId="0">
      <text>
        <r>
          <rPr>
            <sz val="10"/>
            <rFont val="Arial"/>
            <family val="2"/>
          </rPr>
          <t xml:space="preserve">Select asset class from dropdown</t>
        </r>
      </text>
    </comment>
    <comment ref="F12" authorId="0">
      <text>
        <r>
          <rPr>
            <sz val="10"/>
            <rFont val="Arial"/>
            <family val="2"/>
          </rPr>
          <t xml:space="preserve">Select sector from dropdown</t>
        </r>
      </text>
    </comment>
    <comment ref="F13" authorId="0">
      <text>
        <r>
          <rPr>
            <sz val="10"/>
            <rFont val="Arial"/>
            <family val="2"/>
          </rPr>
          <t xml:space="preserve">Select sector from dropdown</t>
        </r>
      </text>
    </comment>
    <comment ref="F14" authorId="0">
      <text>
        <r>
          <rPr>
            <sz val="10"/>
            <rFont val="Arial"/>
            <family val="2"/>
          </rPr>
          <t xml:space="preserve">Select sector from dropdown</t>
        </r>
      </text>
    </comment>
    <comment ref="F15" authorId="0">
      <text>
        <r>
          <rPr>
            <sz val="10"/>
            <rFont val="Arial"/>
            <family val="2"/>
          </rPr>
          <t xml:space="preserve">Select sector from dropdown</t>
        </r>
      </text>
    </comment>
    <comment ref="F16" authorId="0">
      <text>
        <r>
          <rPr>
            <sz val="10"/>
            <rFont val="Arial"/>
            <family val="2"/>
          </rPr>
          <t xml:space="preserve">Select sector from dropdown</t>
        </r>
      </text>
    </comment>
    <comment ref="F17" authorId="0">
      <text>
        <r>
          <rPr>
            <sz val="10"/>
            <rFont val="Arial"/>
            <family val="2"/>
          </rPr>
          <t xml:space="preserve">Select sector from dropdown</t>
        </r>
      </text>
    </comment>
    <comment ref="F18" authorId="0">
      <text>
        <r>
          <rPr>
            <sz val="10"/>
            <rFont val="Arial"/>
            <family val="2"/>
          </rPr>
          <t xml:space="preserve">Select sector from dropdown</t>
        </r>
      </text>
    </comment>
    <comment ref="F19" authorId="0">
      <text>
        <r>
          <rPr>
            <sz val="10"/>
            <rFont val="Arial"/>
            <family val="2"/>
          </rPr>
          <t xml:space="preserve">Select sector from dropdown</t>
        </r>
      </text>
    </comment>
    <comment ref="F20" authorId="0">
      <text>
        <r>
          <rPr>
            <sz val="10"/>
            <rFont val="Arial"/>
            <family val="2"/>
          </rPr>
          <t xml:space="preserve">Select sector from dropdown</t>
        </r>
      </text>
    </comment>
    <comment ref="F21" authorId="0">
      <text>
        <r>
          <rPr>
            <sz val="10"/>
            <rFont val="Arial"/>
            <family val="2"/>
          </rPr>
          <t xml:space="preserve">Select sector from dropdown</t>
        </r>
      </text>
    </comment>
    <comment ref="F39" authorId="0">
      <text>
        <r>
          <rPr>
            <sz val="10"/>
            <rFont val="Arial"/>
            <family val="2"/>
          </rPr>
          <t xml:space="preserve">Example: Caps upside; no floor</t>
        </r>
      </text>
    </comment>
    <comment ref="F40" authorId="0">
      <text>
        <r>
          <rPr>
            <sz val="10"/>
            <rFont val="Arial"/>
            <family val="2"/>
          </rPr>
          <t xml:space="preserve">Example: Reduces equity exposure</t>
        </r>
      </text>
    </comment>
    <comment ref="G5" authorId="0">
      <text>
        <r>
          <rPr>
            <sz val="10"/>
            <rFont val="Arial"/>
            <family val="2"/>
          </rPr>
          <t xml:space="preserve">From Phase 2 IPS — client's required annual return</t>
        </r>
      </text>
    </comment>
    <comment ref="G12" authorId="0">
      <text>
        <r>
          <rPr>
            <sz val="10"/>
            <rFont val="Arial"/>
            <family val="2"/>
          </rPr>
          <t xml:space="preserve">Portfolio weight for this security. All weights must sum to 100%.</t>
        </r>
      </text>
    </comment>
    <comment ref="G13" authorId="0">
      <text>
        <r>
          <rPr>
            <sz val="10"/>
            <rFont val="Arial"/>
            <family val="2"/>
          </rPr>
          <t xml:space="preserve">Portfolio weight for this security. All weights must sum to 100%.</t>
        </r>
      </text>
    </comment>
    <comment ref="G14" authorId="0">
      <text>
        <r>
          <rPr>
            <sz val="10"/>
            <rFont val="Arial"/>
            <family val="2"/>
          </rPr>
          <t xml:space="preserve">Portfolio weight for this security. All weights must sum to 100%.</t>
        </r>
      </text>
    </comment>
    <comment ref="G15" authorId="0">
      <text>
        <r>
          <rPr>
            <sz val="10"/>
            <rFont val="Arial"/>
            <family val="2"/>
          </rPr>
          <t xml:space="preserve">Portfolio weight for this security. All weights must sum to 100%.</t>
        </r>
      </text>
    </comment>
    <comment ref="G16" authorId="0">
      <text>
        <r>
          <rPr>
            <sz val="10"/>
            <rFont val="Arial"/>
            <family val="2"/>
          </rPr>
          <t xml:space="preserve">Portfolio weight for this security. All weights must sum to 100%.</t>
        </r>
      </text>
    </comment>
    <comment ref="G17" authorId="0">
      <text>
        <r>
          <rPr>
            <sz val="10"/>
            <rFont val="Arial"/>
            <family val="2"/>
          </rPr>
          <t xml:space="preserve">Portfolio weight for this security. All weights must sum to 100%.</t>
        </r>
      </text>
    </comment>
    <comment ref="G18" authorId="0">
      <text>
        <r>
          <rPr>
            <sz val="10"/>
            <rFont val="Arial"/>
            <family val="2"/>
          </rPr>
          <t xml:space="preserve">Portfolio weight for this security. All weights must sum to 100%.</t>
        </r>
      </text>
    </comment>
    <comment ref="G19" authorId="0">
      <text>
        <r>
          <rPr>
            <sz val="10"/>
            <rFont val="Arial"/>
            <family val="2"/>
          </rPr>
          <t xml:space="preserve">Portfolio weight for this security. All weights must sum to 100%.</t>
        </r>
      </text>
    </comment>
    <comment ref="G20" authorId="0">
      <text>
        <r>
          <rPr>
            <sz val="10"/>
            <rFont val="Arial"/>
            <family val="2"/>
          </rPr>
          <t xml:space="preserve">Portfolio weight for this security. All weights must sum to 100%.</t>
        </r>
      </text>
    </comment>
    <comment ref="G21" authorId="0">
      <text>
        <r>
          <rPr>
            <sz val="10"/>
            <rFont val="Arial"/>
            <family val="2"/>
          </rPr>
          <t xml:space="preserve">Portfolio weight for this security. All weights must sum to 100%.</t>
        </r>
      </text>
    </comment>
    <comment ref="H39" authorId="0">
      <text>
        <r>
          <rPr>
            <sz val="10"/>
            <rFont val="Arial"/>
            <family val="2"/>
          </rPr>
          <t xml:space="preserve">Example: Lower cost but limits gains</t>
        </r>
      </text>
    </comment>
    <comment ref="H40" authorId="0">
      <text>
        <r>
          <rPr>
            <sz val="10"/>
            <rFont val="Arial"/>
            <family val="2"/>
          </rPr>
          <t xml:space="preserve">Example: Simpler but sacrifices return</t>
        </r>
      </text>
    </comment>
    <comment ref="I5" authorId="0">
      <text>
        <r>
          <rPr>
            <sz val="10"/>
            <rFont val="Arial"/>
            <family val="2"/>
          </rPr>
          <t xml:space="preserve">From Phase 2 IPS — maximum portfolio standard deviation allowed</t>
        </r>
      </text>
    </comment>
    <comment ref="I12" authorId="0">
      <text>
        <r>
          <rPr>
            <sz val="10"/>
            <rFont val="Arial"/>
            <family val="2"/>
          </rPr>
          <t xml:space="preserve">Estimated beta (vs. S&amp;P 500). Source from FactSet or Yahoo Finance.</t>
        </r>
      </text>
    </comment>
    <comment ref="I13" authorId="0">
      <text>
        <r>
          <rPr>
            <sz val="10"/>
            <rFont val="Arial"/>
            <family val="2"/>
          </rPr>
          <t xml:space="preserve">Estimated beta (vs. S&amp;P 500). Source from FactSet or Yahoo Finance.</t>
        </r>
      </text>
    </comment>
    <comment ref="I14" authorId="0">
      <text>
        <r>
          <rPr>
            <sz val="10"/>
            <rFont val="Arial"/>
            <family val="2"/>
          </rPr>
          <t xml:space="preserve">Estimated beta (vs. S&amp;P 500). Source from FactSet or Yahoo Finance.</t>
        </r>
      </text>
    </comment>
    <comment ref="I15" authorId="0">
      <text>
        <r>
          <rPr>
            <sz val="10"/>
            <rFont val="Arial"/>
            <family val="2"/>
          </rPr>
          <t xml:space="preserve">Estimated beta (vs. S&amp;P 500). Source from FactSet or Yahoo Finance.</t>
        </r>
      </text>
    </comment>
    <comment ref="I16" authorId="0">
      <text>
        <r>
          <rPr>
            <sz val="10"/>
            <rFont val="Arial"/>
            <family val="2"/>
          </rPr>
          <t xml:space="preserve">Estimated beta (vs. S&amp;P 500). Source from FactSet or Yahoo Finance.</t>
        </r>
      </text>
    </comment>
    <comment ref="I17" authorId="0">
      <text>
        <r>
          <rPr>
            <sz val="10"/>
            <rFont val="Arial"/>
            <family val="2"/>
          </rPr>
          <t xml:space="preserve">Estimated beta (vs. S&amp;P 500). Source from FactSet or Yahoo Finance.</t>
        </r>
      </text>
    </comment>
    <comment ref="I18" authorId="0">
      <text>
        <r>
          <rPr>
            <sz val="10"/>
            <rFont val="Arial"/>
            <family val="2"/>
          </rPr>
          <t xml:space="preserve">Estimated beta (vs. S&amp;P 500). Source from FactSet or Yahoo Finance.</t>
        </r>
      </text>
    </comment>
    <comment ref="I19" authorId="0">
      <text>
        <r>
          <rPr>
            <sz val="10"/>
            <rFont val="Arial"/>
            <family val="2"/>
          </rPr>
          <t xml:space="preserve">Estimated beta (vs. S&amp;P 500). Source from FactSet or Yahoo Finance.</t>
        </r>
      </text>
    </comment>
    <comment ref="I20" authorId="0">
      <text>
        <r>
          <rPr>
            <sz val="10"/>
            <rFont val="Arial"/>
            <family val="2"/>
          </rPr>
          <t xml:space="preserve">Estimated beta (vs. S&amp;P 500). Source from FactSet or Yahoo Finance.</t>
        </r>
      </text>
    </comment>
    <comment ref="I21" authorId="0">
      <text>
        <r>
          <rPr>
            <sz val="10"/>
            <rFont val="Arial"/>
            <family val="2"/>
          </rPr>
          <t xml:space="preserve">Estimated beta (vs. S&amp;P 500). Source from FactSet or Yahoo Finance.</t>
        </r>
      </text>
    </comment>
    <comment ref="J12" authorId="0">
      <text>
        <r>
          <rPr>
            <sz val="10"/>
            <rFont val="Arial"/>
            <family val="2"/>
          </rPr>
          <t xml:space="preserve">Does this security PASS your Phase 1 macro filter? Must be YES.</t>
        </r>
      </text>
    </comment>
    <comment ref="J13" authorId="0">
      <text>
        <r>
          <rPr>
            <sz val="10"/>
            <rFont val="Arial"/>
            <family val="2"/>
          </rPr>
          <t xml:space="preserve">Does this security PASS your Phase 1 macro filter? Must be YES.</t>
        </r>
      </text>
    </comment>
    <comment ref="J14" authorId="0">
      <text>
        <r>
          <rPr>
            <sz val="10"/>
            <rFont val="Arial"/>
            <family val="2"/>
          </rPr>
          <t xml:space="preserve">Does this security PASS your Phase 1 macro filter? Must be YES.</t>
        </r>
      </text>
    </comment>
    <comment ref="J15" authorId="0">
      <text>
        <r>
          <rPr>
            <sz val="10"/>
            <rFont val="Arial"/>
            <family val="2"/>
          </rPr>
          <t xml:space="preserve">Does this security PASS your Phase 1 macro filter? Must be YES.</t>
        </r>
      </text>
    </comment>
    <comment ref="J16" authorId="0">
      <text>
        <r>
          <rPr>
            <sz val="10"/>
            <rFont val="Arial"/>
            <family val="2"/>
          </rPr>
          <t xml:space="preserve">Does this security PASS your Phase 1 macro filter? Must be YES.</t>
        </r>
      </text>
    </comment>
    <comment ref="J17" authorId="0">
      <text>
        <r>
          <rPr>
            <sz val="10"/>
            <rFont val="Arial"/>
            <family val="2"/>
          </rPr>
          <t xml:space="preserve">Does this security PASS your Phase 1 macro filter? Must be YES.</t>
        </r>
      </text>
    </comment>
    <comment ref="J18" authorId="0">
      <text>
        <r>
          <rPr>
            <sz val="10"/>
            <rFont val="Arial"/>
            <family val="2"/>
          </rPr>
          <t xml:space="preserve">Does this security PASS your Phase 1 macro filter? Must be YES.</t>
        </r>
      </text>
    </comment>
    <comment ref="J19" authorId="0">
      <text>
        <r>
          <rPr>
            <sz val="10"/>
            <rFont val="Arial"/>
            <family val="2"/>
          </rPr>
          <t xml:space="preserve">Does this security PASS your Phase 1 macro filter? Must be YES.</t>
        </r>
      </text>
    </comment>
    <comment ref="J20" authorId="0">
      <text>
        <r>
          <rPr>
            <sz val="10"/>
            <rFont val="Arial"/>
            <family val="2"/>
          </rPr>
          <t xml:space="preserve">Does this security PASS your Phase 1 macro filter? Must be YES.</t>
        </r>
      </text>
    </comment>
    <comment ref="J21" authorId="0">
      <text>
        <r>
          <rPr>
            <sz val="10"/>
            <rFont val="Arial"/>
            <family val="2"/>
          </rPr>
          <t xml:space="preserve">Does this security PASS your Phase 1 macro filter? Must be YES.</t>
        </r>
      </text>
    </comment>
    <comment ref="K5" authorId="0">
      <text>
        <r>
          <rPr>
            <sz val="10"/>
            <rFont val="Arial"/>
            <family val="2"/>
          </rPr>
          <t xml:space="preserve">From Phase 1 — e.g. 'Late-Cycle / Base Case: Soft Landing'</t>
        </r>
      </text>
    </comment>
    <comment ref="K12" authorId="0">
      <text>
        <r>
          <rPr>
            <sz val="10"/>
            <rFont val="Arial"/>
            <family val="2"/>
          </rPr>
          <t xml:space="preserve">Reference number linking to your Investment Thesis Log (Section 3 of this tab). e.g. 1, 2, 3...</t>
        </r>
      </text>
    </comment>
    <comment ref="K13" authorId="0">
      <text>
        <r>
          <rPr>
            <sz val="10"/>
            <rFont val="Arial"/>
            <family val="2"/>
          </rPr>
          <t xml:space="preserve">Reference number linking to your Investment Thesis Log (Section 3 of this tab). e.g. 1, 2, 3...</t>
        </r>
      </text>
    </comment>
    <comment ref="K14" authorId="0">
      <text>
        <r>
          <rPr>
            <sz val="10"/>
            <rFont val="Arial"/>
            <family val="2"/>
          </rPr>
          <t xml:space="preserve">Reference number linking to your Investment Thesis Log (Section 3 of this tab). e.g. 1, 2, 3...</t>
        </r>
      </text>
    </comment>
    <comment ref="K15" authorId="0">
      <text>
        <r>
          <rPr>
            <sz val="10"/>
            <rFont val="Arial"/>
            <family val="2"/>
          </rPr>
          <t xml:space="preserve">Reference number linking to your Investment Thesis Log (Section 3 of this tab). e.g. 1, 2, 3...</t>
        </r>
      </text>
    </comment>
    <comment ref="K16" authorId="0">
      <text>
        <r>
          <rPr>
            <sz val="10"/>
            <rFont val="Arial"/>
            <family val="2"/>
          </rPr>
          <t xml:space="preserve">Reference number linking to your Investment Thesis Log (Section 3 of this tab). e.g. 1, 2, 3...</t>
        </r>
      </text>
    </comment>
    <comment ref="K17" authorId="0">
      <text>
        <r>
          <rPr>
            <sz val="10"/>
            <rFont val="Arial"/>
            <family val="2"/>
          </rPr>
          <t xml:space="preserve">Reference number linking to your Investment Thesis Log (Section 3 of this tab). e.g. 1, 2, 3...</t>
        </r>
      </text>
    </comment>
    <comment ref="K18" authorId="0">
      <text>
        <r>
          <rPr>
            <sz val="10"/>
            <rFont val="Arial"/>
            <family val="2"/>
          </rPr>
          <t xml:space="preserve">Reference number linking to your Investment Thesis Log (Section 3 of this tab). e.g. 1, 2, 3...</t>
        </r>
      </text>
    </comment>
    <comment ref="K19" authorId="0">
      <text>
        <r>
          <rPr>
            <sz val="10"/>
            <rFont val="Arial"/>
            <family val="2"/>
          </rPr>
          <t xml:space="preserve">Reference number linking to your Investment Thesis Log (Section 3 of this tab). e.g. 1, 2, 3...</t>
        </r>
      </text>
    </comment>
    <comment ref="K20" authorId="0">
      <text>
        <r>
          <rPr>
            <sz val="10"/>
            <rFont val="Arial"/>
            <family val="2"/>
          </rPr>
          <t xml:space="preserve">Reference number linking to your Investment Thesis Log (Section 3 of this tab). e.g. 1, 2, 3...</t>
        </r>
      </text>
    </comment>
    <comment ref="K21" authorId="0">
      <text>
        <r>
          <rPr>
            <sz val="10"/>
            <rFont val="Arial"/>
            <family val="2"/>
          </rPr>
          <t xml:space="preserve">Reference number linking to your Investment Thesis Log (Section 3 of this tab). e.g. 1, 2, 3...</t>
        </r>
      </text>
    </comment>
    <comment ref="K39" authorId="0">
      <text>
        <r>
          <rPr>
            <sz val="10"/>
            <rFont val="Arial"/>
            <family val="2"/>
          </rPr>
          <t xml:space="preserve">Example: Client needs upside participation</t>
        </r>
      </text>
    </comment>
    <comment ref="K40" authorId="0">
      <text>
        <r>
          <rPr>
            <sz val="10"/>
            <rFont val="Arial"/>
            <family val="2"/>
          </rPr>
          <t xml:space="preserve">Example: Below target E(R) with high cash</t>
        </r>
      </text>
    </comment>
    <comment ref="L12" authorId="0">
      <text>
        <r>
          <rPr>
            <sz val="10"/>
            <rFont val="Arial"/>
            <family val="2"/>
          </rPr>
          <t xml:space="preserve">Cite your source. E.g. "FactSet @ECO, 4/15/2025" or "SEC 10-K FY2024"</t>
        </r>
      </text>
    </comment>
    <comment ref="L13" authorId="0">
      <text>
        <r>
          <rPr>
            <sz val="10"/>
            <rFont val="Arial"/>
            <family val="2"/>
          </rPr>
          <t xml:space="preserve">Cite your source. E.g. "FactSet @ECO, 4/15/2025" or "SEC 10-K FY2024"</t>
        </r>
      </text>
    </comment>
    <comment ref="L14" authorId="0">
      <text>
        <r>
          <rPr>
            <sz val="10"/>
            <rFont val="Arial"/>
            <family val="2"/>
          </rPr>
          <t xml:space="preserve">Cite your source. E.g. "FactSet @ECO, 4/15/2025" or "SEC 10-K FY2024"</t>
        </r>
      </text>
    </comment>
    <comment ref="L15" authorId="0">
      <text>
        <r>
          <rPr>
            <sz val="10"/>
            <rFont val="Arial"/>
            <family val="2"/>
          </rPr>
          <t xml:space="preserve">Cite your source. E.g. "FactSet @ECO, 4/15/2025" or "SEC 10-K FY2024"</t>
        </r>
      </text>
    </comment>
    <comment ref="L16" authorId="0">
      <text>
        <r>
          <rPr>
            <sz val="10"/>
            <rFont val="Arial"/>
            <family val="2"/>
          </rPr>
          <t xml:space="preserve">Cite your source. E.g. "FactSet @ECO, 4/15/2025" or "SEC 10-K FY2024"</t>
        </r>
      </text>
    </comment>
    <comment ref="L17" authorId="0">
      <text>
        <r>
          <rPr>
            <sz val="10"/>
            <rFont val="Arial"/>
            <family val="2"/>
          </rPr>
          <t xml:space="preserve">Cite your source. E.g. "FactSet @ECO, 4/15/2025" or "SEC 10-K FY2024"</t>
        </r>
      </text>
    </comment>
    <comment ref="L18" authorId="0">
      <text>
        <r>
          <rPr>
            <sz val="10"/>
            <rFont val="Arial"/>
            <family val="2"/>
          </rPr>
          <t xml:space="preserve">Cite your source. E.g. "FactSet @ECO, 4/15/2025" or "SEC 10-K FY2024"</t>
        </r>
      </text>
    </comment>
    <comment ref="L19" authorId="0">
      <text>
        <r>
          <rPr>
            <sz val="10"/>
            <rFont val="Arial"/>
            <family val="2"/>
          </rPr>
          <t xml:space="preserve">Cite your source. E.g. "FactSet @ECO, 4/15/2025" or "SEC 10-K FY2024"</t>
        </r>
      </text>
    </comment>
    <comment ref="L20" authorId="0">
      <text>
        <r>
          <rPr>
            <sz val="10"/>
            <rFont val="Arial"/>
            <family val="2"/>
          </rPr>
          <t xml:space="preserve">Cite your source. E.g. "FactSet @ECO, 4/15/2025" or "SEC 10-K FY2024"</t>
        </r>
      </text>
    </comment>
    <comment ref="L21" authorId="0">
      <text>
        <r>
          <rPr>
            <sz val="10"/>
            <rFont val="Arial"/>
            <family val="2"/>
          </rPr>
          <t xml:space="preserve">Cite your source. E.g. "FactSet @ECO, 4/15/2025" or "SEC 10-K FY2024"</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39" authorId="0">
      <text>
        <r>
          <rPr>
            <sz val="10"/>
            <rFont val="Arial"/>
            <family val="2"/>
          </rPr>
          <t xml:space="preserve">Example: Covered Call</t>
        </r>
      </text>
    </comment>
    <comment ref="B40" authorId="0">
      <text>
        <r>
          <rPr>
            <sz val="10"/>
            <rFont val="Arial"/>
            <family val="2"/>
          </rPr>
          <t xml:space="preserve">Example: Increase Cash Allocation</t>
        </r>
      </text>
    </comment>
    <comment ref="C5" authorId="0">
      <text>
        <r>
          <rPr>
            <sz val="10"/>
            <rFont val="Arial"/>
            <family val="2"/>
          </rPr>
          <t xml:space="preserve">Enter client name or ID (e.g. Eleanor Vance — Client 1)</t>
        </r>
      </text>
    </comment>
    <comment ref="C12" authorId="0">
      <text>
        <r>
          <rPr>
            <sz val="10"/>
            <rFont val="Arial"/>
            <family val="2"/>
          </rPr>
          <t xml:space="preserve">Enter ticker symbol (e.g. AAPL, SPY, TLT)</t>
        </r>
      </text>
    </comment>
    <comment ref="C13" authorId="0">
      <text>
        <r>
          <rPr>
            <sz val="10"/>
            <rFont val="Arial"/>
            <family val="2"/>
          </rPr>
          <t xml:space="preserve">Enter ticker symbol (e.g. AAPL, SPY, TLT)</t>
        </r>
      </text>
    </comment>
    <comment ref="C14" authorId="0">
      <text>
        <r>
          <rPr>
            <sz val="10"/>
            <rFont val="Arial"/>
            <family val="2"/>
          </rPr>
          <t xml:space="preserve">Enter ticker symbol (e.g. AAPL, SPY, TLT)</t>
        </r>
      </text>
    </comment>
    <comment ref="C15" authorId="0">
      <text>
        <r>
          <rPr>
            <sz val="10"/>
            <rFont val="Arial"/>
            <family val="2"/>
          </rPr>
          <t xml:space="preserve">Enter ticker symbol (e.g. AAPL, SPY, TLT)</t>
        </r>
      </text>
    </comment>
    <comment ref="C16" authorId="0">
      <text>
        <r>
          <rPr>
            <sz val="10"/>
            <rFont val="Arial"/>
            <family val="2"/>
          </rPr>
          <t xml:space="preserve">Enter ticker symbol (e.g. AAPL, SPY, TLT)</t>
        </r>
      </text>
    </comment>
    <comment ref="C17" authorId="0">
      <text>
        <r>
          <rPr>
            <sz val="10"/>
            <rFont val="Arial"/>
            <family val="2"/>
          </rPr>
          <t xml:space="preserve">Enter ticker symbol (e.g. AAPL, SPY, TLT)</t>
        </r>
      </text>
    </comment>
    <comment ref="C18" authorId="0">
      <text>
        <r>
          <rPr>
            <sz val="10"/>
            <rFont val="Arial"/>
            <family val="2"/>
          </rPr>
          <t xml:space="preserve">Enter ticker symbol (e.g. AAPL, SPY, TLT)</t>
        </r>
      </text>
    </comment>
    <comment ref="C19" authorId="0">
      <text>
        <r>
          <rPr>
            <sz val="10"/>
            <rFont val="Arial"/>
            <family val="2"/>
          </rPr>
          <t xml:space="preserve">Enter ticker symbol (e.g. AAPL, SPY, TLT)</t>
        </r>
      </text>
    </comment>
    <comment ref="C20" authorId="0">
      <text>
        <r>
          <rPr>
            <sz val="10"/>
            <rFont val="Arial"/>
            <family val="2"/>
          </rPr>
          <t xml:space="preserve">Enter ticker symbol (e.g. AAPL, SPY, TLT)</t>
        </r>
      </text>
    </comment>
    <comment ref="C21" authorId="0">
      <text>
        <r>
          <rPr>
            <sz val="10"/>
            <rFont val="Arial"/>
            <family val="2"/>
          </rPr>
          <t xml:space="preserve">Enter ticker symbol (e.g. AAPL, SPY, TLT)</t>
        </r>
      </text>
    </comment>
    <comment ref="C27" authorId="0">
      <text>
        <r>
          <rPr>
            <sz val="10"/>
            <rFont val="Arial"/>
            <family val="2"/>
          </rPr>
          <t xml:space="preserve">Describe the hedge strategy in plain English. E.g. 'Protective Put on SPY ETF'</t>
        </r>
      </text>
    </comment>
    <comment ref="C28" authorId="0">
      <text>
        <r>
          <rPr>
            <sz val="10"/>
            <rFont val="Arial"/>
            <family val="2"/>
          </rPr>
          <t xml:space="preserve">The security being hedged. Must match a holding in Section 1.</t>
        </r>
      </text>
    </comment>
    <comment ref="C29" authorId="0">
      <text>
        <r>
          <rPr>
            <sz val="10"/>
            <rFont val="Arial"/>
            <family val="2"/>
          </rPr>
          <t xml:space="preserve">Put Option / Call Option / Futures Contract / Collar / Other</t>
        </r>
      </text>
    </comment>
    <comment ref="C30" authorId="0">
      <text>
        <r>
          <rPr>
            <sz val="10"/>
            <rFont val="Arial"/>
            <family val="2"/>
          </rPr>
          <t xml:space="preserve">Strike price of the option contract. State if ITM, ATM, or OTM.</t>
        </r>
      </text>
    </comment>
    <comment ref="C31" authorId="0">
      <text>
        <r>
          <rPr>
            <sz val="10"/>
            <rFont val="Arial"/>
            <family val="2"/>
          </rPr>
          <t xml:space="preserve">Option expiration date or contract duration.</t>
        </r>
      </text>
    </comment>
    <comment ref="C32" authorId="0">
      <text>
        <r>
          <rPr>
            <sz val="10"/>
            <rFont val="Arial"/>
            <family val="2"/>
          </rPr>
          <t xml:space="preserve">Total cost of the hedge. Source from FactSet options chain or current market.</t>
        </r>
      </text>
    </comment>
    <comment ref="C33" authorId="0">
      <text>
        <r>
          <rPr>
            <sz val="10"/>
            <rFont val="Arial"/>
            <family val="2"/>
          </rPr>
          <t xml:space="preserve">Hedge cost as a % of total portfolio value. Formula: cost / 500000</t>
        </r>
      </text>
    </comment>
    <comment ref="C34" authorId="0">
      <text>
        <r>
          <rPr>
            <sz val="10"/>
            <rFont val="Arial"/>
            <family val="2"/>
          </rPr>
          <t xml:space="preserve">The maximum loss after the hedge is applied. Must be within IPS drawdown limit.</t>
        </r>
      </text>
    </comment>
    <comment ref="C35" authorId="0">
      <text>
        <r>
          <rPr>
            <sz val="10"/>
            <rFont val="Arial"/>
            <family val="2"/>
          </rPr>
          <t xml:space="preserve">Portfolio Bear Case return after hedge payoff. Verify this passes IPS Tripwire.</t>
        </r>
      </text>
    </comment>
    <comment ref="C39" authorId="0">
      <text>
        <r>
          <rPr>
            <sz val="10"/>
            <rFont val="Arial"/>
            <family val="2"/>
          </rPr>
          <t xml:space="preserve">Example: Net credit received</t>
        </r>
      </text>
    </comment>
    <comment ref="C40" authorId="0">
      <text>
        <r>
          <rPr>
            <sz val="10"/>
            <rFont val="Arial"/>
            <family val="2"/>
          </rPr>
          <t xml:space="preserve">Example: Opportunity cost only</t>
        </r>
      </text>
    </comment>
    <comment ref="C45" authorId="0">
      <text>
        <r>
          <rPr>
            <sz val="10"/>
            <rFont val="Arial"/>
            <family val="2"/>
          </rPr>
          <t xml:space="preserve">Must match an entry in Section 1.</t>
        </r>
      </text>
    </comment>
    <comment ref="C46" authorId="0">
      <text>
        <r>
          <rPr>
            <sz val="10"/>
            <rFont val="Arial"/>
            <family val="2"/>
          </rPr>
          <t xml:space="preserve">Must match columns E and F in Section 1.</t>
        </r>
      </text>
    </comment>
    <comment ref="C47" authorId="0">
      <text>
        <r>
          <rPr>
            <sz val="10"/>
            <rFont val="Arial"/>
            <family val="2"/>
          </rPr>
          <t xml:space="preserve">Required: link to Phase 1 macro regime. E.g. 'In our Base Case (Soft Landing), earnings growth of 8% supports broad equity exposure via SPY.'</t>
        </r>
      </text>
    </comment>
    <comment ref="C48" authorId="0">
      <text>
        <r>
          <rPr>
            <sz val="10"/>
            <rFont val="Arial"/>
            <family val="2"/>
          </rPr>
          <t xml:space="preserve">Bottom-up reason beyond macro. E.g. valuation, dividend yield, duration match.</t>
        </r>
      </text>
    </comment>
    <comment ref="C49" authorId="0">
      <text>
        <r>
          <rPr>
            <sz val="10"/>
            <rFont val="Arial"/>
            <family val="2"/>
          </rPr>
          <t xml:space="preserve">Cite EVERY data point. Unverified AI data = Hallucination Clause violation.</t>
        </r>
      </text>
    </comment>
    <comment ref="C50" authorId="0">
      <text>
        <r>
          <rPr>
            <sz val="10"/>
            <rFont val="Arial"/>
            <family val="2"/>
          </rPr>
          <t xml:space="preserve">Must reference client's specific IPS constraints (Phase 2).</t>
        </r>
      </text>
    </comment>
    <comment ref="C51" authorId="0">
      <text>
        <r>
          <rPr>
            <sz val="10"/>
            <rFont val="Arial"/>
            <family val="2"/>
          </rPr>
          <t xml:space="preserve">Required if AI was used. State: tool used, prompt summary, and verification source.</t>
        </r>
      </text>
    </comment>
    <comment ref="C54" authorId="0">
      <text>
        <r>
          <rPr>
            <sz val="10"/>
            <rFont val="Arial"/>
            <family val="2"/>
          </rPr>
          <t xml:space="preserve">Must match an entry in Section 1.</t>
        </r>
      </text>
    </comment>
    <comment ref="C55" authorId="0">
      <text>
        <r>
          <rPr>
            <sz val="10"/>
            <rFont val="Arial"/>
            <family val="2"/>
          </rPr>
          <t xml:space="preserve">Must match columns E and F in Section 1.</t>
        </r>
      </text>
    </comment>
    <comment ref="C56" authorId="0">
      <text>
        <r>
          <rPr>
            <sz val="10"/>
            <rFont val="Arial"/>
            <family val="2"/>
          </rPr>
          <t xml:space="preserve">Required: link to Phase 1 macro regime. E.g. 'In our Base Case (Soft Landing), earnings growth of 8% supports broad equity exposure via SPY.'</t>
        </r>
      </text>
    </comment>
    <comment ref="C57" authorId="0">
      <text>
        <r>
          <rPr>
            <sz val="10"/>
            <rFont val="Arial"/>
            <family val="2"/>
          </rPr>
          <t xml:space="preserve">Bottom-up reason beyond macro. E.g. valuation, dividend yield, duration match.</t>
        </r>
      </text>
    </comment>
    <comment ref="C58" authorId="0">
      <text>
        <r>
          <rPr>
            <sz val="10"/>
            <rFont val="Arial"/>
            <family val="2"/>
          </rPr>
          <t xml:space="preserve">Cite EVERY data point. Unverified AI data = Hallucination Clause violation.</t>
        </r>
      </text>
    </comment>
    <comment ref="C59" authorId="0">
      <text>
        <r>
          <rPr>
            <sz val="10"/>
            <rFont val="Arial"/>
            <family val="2"/>
          </rPr>
          <t xml:space="preserve">Must reference client's specific IPS constraints (Phase 2).</t>
        </r>
      </text>
    </comment>
    <comment ref="C60" authorId="0">
      <text>
        <r>
          <rPr>
            <sz val="10"/>
            <rFont val="Arial"/>
            <family val="2"/>
          </rPr>
          <t xml:space="preserve">Required if AI was used. State: tool used, prompt summary, and verification source.</t>
        </r>
      </text>
    </comment>
    <comment ref="C63" authorId="0">
      <text>
        <r>
          <rPr>
            <sz val="10"/>
            <rFont val="Arial"/>
            <family val="2"/>
          </rPr>
          <t xml:space="preserve">Must match an entry in Section 1.</t>
        </r>
      </text>
    </comment>
    <comment ref="C64" authorId="0">
      <text>
        <r>
          <rPr>
            <sz val="10"/>
            <rFont val="Arial"/>
            <family val="2"/>
          </rPr>
          <t xml:space="preserve">Must match columns E and F in Section 1.</t>
        </r>
      </text>
    </comment>
    <comment ref="C65" authorId="0">
      <text>
        <r>
          <rPr>
            <sz val="10"/>
            <rFont val="Arial"/>
            <family val="2"/>
          </rPr>
          <t xml:space="preserve">Required: link to Phase 1 macro regime. E.g. 'In our Base Case (Soft Landing), earnings growth of 8% supports broad equity exposure via SPY.'</t>
        </r>
      </text>
    </comment>
    <comment ref="C66" authorId="0">
      <text>
        <r>
          <rPr>
            <sz val="10"/>
            <rFont val="Arial"/>
            <family val="2"/>
          </rPr>
          <t xml:space="preserve">Bottom-up reason beyond macro. E.g. valuation, dividend yield, duration match.</t>
        </r>
      </text>
    </comment>
    <comment ref="C67" authorId="0">
      <text>
        <r>
          <rPr>
            <sz val="10"/>
            <rFont val="Arial"/>
            <family val="2"/>
          </rPr>
          <t xml:space="preserve">Cite EVERY data point. Unverified AI data = Hallucination Clause violation.</t>
        </r>
      </text>
    </comment>
    <comment ref="C68" authorId="0">
      <text>
        <r>
          <rPr>
            <sz val="10"/>
            <rFont val="Arial"/>
            <family val="2"/>
          </rPr>
          <t xml:space="preserve">Must reference client's specific IPS constraints (Phase 2).</t>
        </r>
      </text>
    </comment>
    <comment ref="C69" authorId="0">
      <text>
        <r>
          <rPr>
            <sz val="10"/>
            <rFont val="Arial"/>
            <family val="2"/>
          </rPr>
          <t xml:space="preserve">Required if AI was used. State: tool used, prompt summary, and verification source.</t>
        </r>
      </text>
    </comment>
    <comment ref="C72" authorId="0">
      <text>
        <r>
          <rPr>
            <sz val="10"/>
            <rFont val="Arial"/>
            <family val="2"/>
          </rPr>
          <t xml:space="preserve">Must match an entry in Section 1.</t>
        </r>
      </text>
    </comment>
    <comment ref="C73" authorId="0">
      <text>
        <r>
          <rPr>
            <sz val="10"/>
            <rFont val="Arial"/>
            <family val="2"/>
          </rPr>
          <t xml:space="preserve">Must match columns E and F in Section 1.</t>
        </r>
      </text>
    </comment>
    <comment ref="C74" authorId="0">
      <text>
        <r>
          <rPr>
            <sz val="10"/>
            <rFont val="Arial"/>
            <family val="2"/>
          </rPr>
          <t xml:space="preserve">Required: link to Phase 1 macro regime. E.g. 'In our Base Case (Soft Landing), earnings growth of 8% supports broad equity exposure via SPY.'</t>
        </r>
      </text>
    </comment>
    <comment ref="C75" authorId="0">
      <text>
        <r>
          <rPr>
            <sz val="10"/>
            <rFont val="Arial"/>
            <family val="2"/>
          </rPr>
          <t xml:space="preserve">Bottom-up reason beyond macro. E.g. valuation, dividend yield, duration match.</t>
        </r>
      </text>
    </comment>
    <comment ref="C76" authorId="0">
      <text>
        <r>
          <rPr>
            <sz val="10"/>
            <rFont val="Arial"/>
            <family val="2"/>
          </rPr>
          <t xml:space="preserve">Cite EVERY data point. Unverified AI data = Hallucination Clause violation.</t>
        </r>
      </text>
    </comment>
    <comment ref="C77" authorId="0">
      <text>
        <r>
          <rPr>
            <sz val="10"/>
            <rFont val="Arial"/>
            <family val="2"/>
          </rPr>
          <t xml:space="preserve">Must reference client's specific IPS constraints (Phase 2).</t>
        </r>
      </text>
    </comment>
    <comment ref="C78" authorId="0">
      <text>
        <r>
          <rPr>
            <sz val="10"/>
            <rFont val="Arial"/>
            <family val="2"/>
          </rPr>
          <t xml:space="preserve">Required if AI was used. State: tool used, prompt summary, and verification source.</t>
        </r>
      </text>
    </comment>
    <comment ref="C81" authorId="0">
      <text>
        <r>
          <rPr>
            <sz val="10"/>
            <rFont val="Arial"/>
            <family val="2"/>
          </rPr>
          <t xml:space="preserve">Must match an entry in Section 1.</t>
        </r>
      </text>
    </comment>
    <comment ref="C82" authorId="0">
      <text>
        <r>
          <rPr>
            <sz val="10"/>
            <rFont val="Arial"/>
            <family val="2"/>
          </rPr>
          <t xml:space="preserve">Must match columns E and F in Section 1.</t>
        </r>
      </text>
    </comment>
    <comment ref="C83" authorId="0">
      <text>
        <r>
          <rPr>
            <sz val="10"/>
            <rFont val="Arial"/>
            <family val="2"/>
          </rPr>
          <t xml:space="preserve">Required: link to Phase 1 macro regime. E.g. 'In our Base Case (Soft Landing), earnings growth of 8% supports broad equity exposure via SPY.'</t>
        </r>
      </text>
    </comment>
    <comment ref="C84" authorId="0">
      <text>
        <r>
          <rPr>
            <sz val="10"/>
            <rFont val="Arial"/>
            <family val="2"/>
          </rPr>
          <t xml:space="preserve">Bottom-up reason beyond macro. E.g. valuation, dividend yield, duration match.</t>
        </r>
      </text>
    </comment>
    <comment ref="C85" authorId="0">
      <text>
        <r>
          <rPr>
            <sz val="10"/>
            <rFont val="Arial"/>
            <family val="2"/>
          </rPr>
          <t xml:space="preserve">Cite EVERY data point. Unverified AI data = Hallucination Clause violation.</t>
        </r>
      </text>
    </comment>
    <comment ref="C86" authorId="0">
      <text>
        <r>
          <rPr>
            <sz val="10"/>
            <rFont val="Arial"/>
            <family val="2"/>
          </rPr>
          <t xml:space="preserve">Must reference client's specific IPS constraints (Phase 2).</t>
        </r>
      </text>
    </comment>
    <comment ref="C87" authorId="0">
      <text>
        <r>
          <rPr>
            <sz val="10"/>
            <rFont val="Arial"/>
            <family val="2"/>
          </rPr>
          <t xml:space="preserve">Required if AI was used. State: tool used, prompt summary, and verification source.</t>
        </r>
      </text>
    </comment>
    <comment ref="D12" authorId="0">
      <text>
        <r>
          <rPr>
            <sz val="10"/>
            <rFont val="Arial"/>
            <family val="2"/>
          </rPr>
          <t xml:space="preserve">Full security or ETF name</t>
        </r>
      </text>
    </comment>
    <comment ref="D13" authorId="0">
      <text>
        <r>
          <rPr>
            <sz val="10"/>
            <rFont val="Arial"/>
            <family val="2"/>
          </rPr>
          <t xml:space="preserve">Full security or ETF name</t>
        </r>
      </text>
    </comment>
    <comment ref="D14" authorId="0">
      <text>
        <r>
          <rPr>
            <sz val="10"/>
            <rFont val="Arial"/>
            <family val="2"/>
          </rPr>
          <t xml:space="preserve">Full security or ETF name</t>
        </r>
      </text>
    </comment>
    <comment ref="D15" authorId="0">
      <text>
        <r>
          <rPr>
            <sz val="10"/>
            <rFont val="Arial"/>
            <family val="2"/>
          </rPr>
          <t xml:space="preserve">Full security or ETF name</t>
        </r>
      </text>
    </comment>
    <comment ref="D16" authorId="0">
      <text>
        <r>
          <rPr>
            <sz val="10"/>
            <rFont val="Arial"/>
            <family val="2"/>
          </rPr>
          <t xml:space="preserve">Full security or ETF name</t>
        </r>
      </text>
    </comment>
    <comment ref="D17" authorId="0">
      <text>
        <r>
          <rPr>
            <sz val="10"/>
            <rFont val="Arial"/>
            <family val="2"/>
          </rPr>
          <t xml:space="preserve">Full security or ETF name</t>
        </r>
      </text>
    </comment>
    <comment ref="D18" authorId="0">
      <text>
        <r>
          <rPr>
            <sz val="10"/>
            <rFont val="Arial"/>
            <family val="2"/>
          </rPr>
          <t xml:space="preserve">Full security or ETF name</t>
        </r>
      </text>
    </comment>
    <comment ref="D19" authorId="0">
      <text>
        <r>
          <rPr>
            <sz val="10"/>
            <rFont val="Arial"/>
            <family val="2"/>
          </rPr>
          <t xml:space="preserve">Full security or ETF name</t>
        </r>
      </text>
    </comment>
    <comment ref="D20" authorId="0">
      <text>
        <r>
          <rPr>
            <sz val="10"/>
            <rFont val="Arial"/>
            <family val="2"/>
          </rPr>
          <t xml:space="preserve">Full security or ETF name</t>
        </r>
      </text>
    </comment>
    <comment ref="D21" authorId="0">
      <text>
        <r>
          <rPr>
            <sz val="10"/>
            <rFont val="Arial"/>
            <family val="2"/>
          </rPr>
          <t xml:space="preserve">Full security or ETF name</t>
        </r>
      </text>
    </comment>
    <comment ref="E12" authorId="0">
      <text>
        <r>
          <rPr>
            <sz val="10"/>
            <rFont val="Arial"/>
            <family val="2"/>
          </rPr>
          <t xml:space="preserve">Select asset class from dropdown</t>
        </r>
      </text>
    </comment>
    <comment ref="E13" authorId="0">
      <text>
        <r>
          <rPr>
            <sz val="10"/>
            <rFont val="Arial"/>
            <family val="2"/>
          </rPr>
          <t xml:space="preserve">Select asset class from dropdown</t>
        </r>
      </text>
    </comment>
    <comment ref="E14" authorId="0">
      <text>
        <r>
          <rPr>
            <sz val="10"/>
            <rFont val="Arial"/>
            <family val="2"/>
          </rPr>
          <t xml:space="preserve">Select asset class from dropdown</t>
        </r>
      </text>
    </comment>
    <comment ref="E15" authorId="0">
      <text>
        <r>
          <rPr>
            <sz val="10"/>
            <rFont val="Arial"/>
            <family val="2"/>
          </rPr>
          <t xml:space="preserve">Select asset class from dropdown</t>
        </r>
      </text>
    </comment>
    <comment ref="E16" authorId="0">
      <text>
        <r>
          <rPr>
            <sz val="10"/>
            <rFont val="Arial"/>
            <family val="2"/>
          </rPr>
          <t xml:space="preserve">Select asset class from dropdown</t>
        </r>
      </text>
    </comment>
    <comment ref="E17" authorId="0">
      <text>
        <r>
          <rPr>
            <sz val="10"/>
            <rFont val="Arial"/>
            <family val="2"/>
          </rPr>
          <t xml:space="preserve">Select asset class from dropdown</t>
        </r>
      </text>
    </comment>
    <comment ref="E18" authorId="0">
      <text>
        <r>
          <rPr>
            <sz val="10"/>
            <rFont val="Arial"/>
            <family val="2"/>
          </rPr>
          <t xml:space="preserve">Select asset class from dropdown</t>
        </r>
      </text>
    </comment>
    <comment ref="E19" authorId="0">
      <text>
        <r>
          <rPr>
            <sz val="10"/>
            <rFont val="Arial"/>
            <family val="2"/>
          </rPr>
          <t xml:space="preserve">Select asset class from dropdown</t>
        </r>
      </text>
    </comment>
    <comment ref="E20" authorId="0">
      <text>
        <r>
          <rPr>
            <sz val="10"/>
            <rFont val="Arial"/>
            <family val="2"/>
          </rPr>
          <t xml:space="preserve">Select asset class from dropdown</t>
        </r>
      </text>
    </comment>
    <comment ref="E21" authorId="0">
      <text>
        <r>
          <rPr>
            <sz val="10"/>
            <rFont val="Arial"/>
            <family val="2"/>
          </rPr>
          <t xml:space="preserve">Select asset class from dropdown</t>
        </r>
      </text>
    </comment>
    <comment ref="F12" authorId="0">
      <text>
        <r>
          <rPr>
            <sz val="10"/>
            <rFont val="Arial"/>
            <family val="2"/>
          </rPr>
          <t xml:space="preserve">Select sector from dropdown</t>
        </r>
      </text>
    </comment>
    <comment ref="F13" authorId="0">
      <text>
        <r>
          <rPr>
            <sz val="10"/>
            <rFont val="Arial"/>
            <family val="2"/>
          </rPr>
          <t xml:space="preserve">Select sector from dropdown</t>
        </r>
      </text>
    </comment>
    <comment ref="F14" authorId="0">
      <text>
        <r>
          <rPr>
            <sz val="10"/>
            <rFont val="Arial"/>
            <family val="2"/>
          </rPr>
          <t xml:space="preserve">Select sector from dropdown</t>
        </r>
      </text>
    </comment>
    <comment ref="F15" authorId="0">
      <text>
        <r>
          <rPr>
            <sz val="10"/>
            <rFont val="Arial"/>
            <family val="2"/>
          </rPr>
          <t xml:space="preserve">Select sector from dropdown</t>
        </r>
      </text>
    </comment>
    <comment ref="F16" authorId="0">
      <text>
        <r>
          <rPr>
            <sz val="10"/>
            <rFont val="Arial"/>
            <family val="2"/>
          </rPr>
          <t xml:space="preserve">Select sector from dropdown</t>
        </r>
      </text>
    </comment>
    <comment ref="F17" authorId="0">
      <text>
        <r>
          <rPr>
            <sz val="10"/>
            <rFont val="Arial"/>
            <family val="2"/>
          </rPr>
          <t xml:space="preserve">Select sector from dropdown</t>
        </r>
      </text>
    </comment>
    <comment ref="F18" authorId="0">
      <text>
        <r>
          <rPr>
            <sz val="10"/>
            <rFont val="Arial"/>
            <family val="2"/>
          </rPr>
          <t xml:space="preserve">Select sector from dropdown</t>
        </r>
      </text>
    </comment>
    <comment ref="F19" authorId="0">
      <text>
        <r>
          <rPr>
            <sz val="10"/>
            <rFont val="Arial"/>
            <family val="2"/>
          </rPr>
          <t xml:space="preserve">Select sector from dropdown</t>
        </r>
      </text>
    </comment>
    <comment ref="F20" authorId="0">
      <text>
        <r>
          <rPr>
            <sz val="10"/>
            <rFont val="Arial"/>
            <family val="2"/>
          </rPr>
          <t xml:space="preserve">Select sector from dropdown</t>
        </r>
      </text>
    </comment>
    <comment ref="F21" authorId="0">
      <text>
        <r>
          <rPr>
            <sz val="10"/>
            <rFont val="Arial"/>
            <family val="2"/>
          </rPr>
          <t xml:space="preserve">Select sector from dropdown</t>
        </r>
      </text>
    </comment>
    <comment ref="F39" authorId="0">
      <text>
        <r>
          <rPr>
            <sz val="10"/>
            <rFont val="Arial"/>
            <family val="2"/>
          </rPr>
          <t xml:space="preserve">Example: Caps upside; no floor</t>
        </r>
      </text>
    </comment>
    <comment ref="F40" authorId="0">
      <text>
        <r>
          <rPr>
            <sz val="10"/>
            <rFont val="Arial"/>
            <family val="2"/>
          </rPr>
          <t xml:space="preserve">Example: Reduces equity exposure</t>
        </r>
      </text>
    </comment>
    <comment ref="G5" authorId="0">
      <text>
        <r>
          <rPr>
            <sz val="10"/>
            <rFont val="Arial"/>
            <family val="2"/>
          </rPr>
          <t xml:space="preserve">From Phase 2 IPS — client's required annual return</t>
        </r>
      </text>
    </comment>
    <comment ref="G12" authorId="0">
      <text>
        <r>
          <rPr>
            <sz val="10"/>
            <rFont val="Arial"/>
            <family val="2"/>
          </rPr>
          <t xml:space="preserve">Portfolio weight for this security. All weights must sum to 100%.</t>
        </r>
      </text>
    </comment>
    <comment ref="G13" authorId="0">
      <text>
        <r>
          <rPr>
            <sz val="10"/>
            <rFont val="Arial"/>
            <family val="2"/>
          </rPr>
          <t xml:space="preserve">Portfolio weight for this security. All weights must sum to 100%.</t>
        </r>
      </text>
    </comment>
    <comment ref="G14" authorId="0">
      <text>
        <r>
          <rPr>
            <sz val="10"/>
            <rFont val="Arial"/>
            <family val="2"/>
          </rPr>
          <t xml:space="preserve">Portfolio weight for this security. All weights must sum to 100%.</t>
        </r>
      </text>
    </comment>
    <comment ref="G15" authorId="0">
      <text>
        <r>
          <rPr>
            <sz val="10"/>
            <rFont val="Arial"/>
            <family val="2"/>
          </rPr>
          <t xml:space="preserve">Portfolio weight for this security. All weights must sum to 100%.</t>
        </r>
      </text>
    </comment>
    <comment ref="G16" authorId="0">
      <text>
        <r>
          <rPr>
            <sz val="10"/>
            <rFont val="Arial"/>
            <family val="2"/>
          </rPr>
          <t xml:space="preserve">Portfolio weight for this security. All weights must sum to 100%.</t>
        </r>
      </text>
    </comment>
    <comment ref="G17" authorId="0">
      <text>
        <r>
          <rPr>
            <sz val="10"/>
            <rFont val="Arial"/>
            <family val="2"/>
          </rPr>
          <t xml:space="preserve">Portfolio weight for this security. All weights must sum to 100%.</t>
        </r>
      </text>
    </comment>
    <comment ref="G18" authorId="0">
      <text>
        <r>
          <rPr>
            <sz val="10"/>
            <rFont val="Arial"/>
            <family val="2"/>
          </rPr>
          <t xml:space="preserve">Portfolio weight for this security. All weights must sum to 100%.</t>
        </r>
      </text>
    </comment>
    <comment ref="G19" authorId="0">
      <text>
        <r>
          <rPr>
            <sz val="10"/>
            <rFont val="Arial"/>
            <family val="2"/>
          </rPr>
          <t xml:space="preserve">Portfolio weight for this security. All weights must sum to 100%.</t>
        </r>
      </text>
    </comment>
    <comment ref="G20" authorId="0">
      <text>
        <r>
          <rPr>
            <sz val="10"/>
            <rFont val="Arial"/>
            <family val="2"/>
          </rPr>
          <t xml:space="preserve">Portfolio weight for this security. All weights must sum to 100%.</t>
        </r>
      </text>
    </comment>
    <comment ref="G21" authorId="0">
      <text>
        <r>
          <rPr>
            <sz val="10"/>
            <rFont val="Arial"/>
            <family val="2"/>
          </rPr>
          <t xml:space="preserve">Portfolio weight for this security. All weights must sum to 100%.</t>
        </r>
      </text>
    </comment>
    <comment ref="H39" authorId="0">
      <text>
        <r>
          <rPr>
            <sz val="10"/>
            <rFont val="Arial"/>
            <family val="2"/>
          </rPr>
          <t xml:space="preserve">Example: Lower cost but limits gains</t>
        </r>
      </text>
    </comment>
    <comment ref="H40" authorId="0">
      <text>
        <r>
          <rPr>
            <sz val="10"/>
            <rFont val="Arial"/>
            <family val="2"/>
          </rPr>
          <t xml:space="preserve">Example: Simpler but sacrifices return</t>
        </r>
      </text>
    </comment>
    <comment ref="I5" authorId="0">
      <text>
        <r>
          <rPr>
            <sz val="10"/>
            <rFont val="Arial"/>
            <family val="2"/>
          </rPr>
          <t xml:space="preserve">From Phase 2 IPS — maximum portfolio standard deviation allowed</t>
        </r>
      </text>
    </comment>
    <comment ref="I12" authorId="0">
      <text>
        <r>
          <rPr>
            <sz val="10"/>
            <rFont val="Arial"/>
            <family val="2"/>
          </rPr>
          <t xml:space="preserve">Estimated beta (vs. S&amp;P 500). Source from FactSet or Yahoo Finance.</t>
        </r>
      </text>
    </comment>
    <comment ref="I13" authorId="0">
      <text>
        <r>
          <rPr>
            <sz val="10"/>
            <rFont val="Arial"/>
            <family val="2"/>
          </rPr>
          <t xml:space="preserve">Estimated beta (vs. S&amp;P 500). Source from FactSet or Yahoo Finance.</t>
        </r>
      </text>
    </comment>
    <comment ref="I14" authorId="0">
      <text>
        <r>
          <rPr>
            <sz val="10"/>
            <rFont val="Arial"/>
            <family val="2"/>
          </rPr>
          <t xml:space="preserve">Estimated beta (vs. S&amp;P 500). Source from FactSet or Yahoo Finance.</t>
        </r>
      </text>
    </comment>
    <comment ref="I15" authorId="0">
      <text>
        <r>
          <rPr>
            <sz val="10"/>
            <rFont val="Arial"/>
            <family val="2"/>
          </rPr>
          <t xml:space="preserve">Estimated beta (vs. S&amp;P 500). Source from FactSet or Yahoo Finance.</t>
        </r>
      </text>
    </comment>
    <comment ref="I16" authorId="0">
      <text>
        <r>
          <rPr>
            <sz val="10"/>
            <rFont val="Arial"/>
            <family val="2"/>
          </rPr>
          <t xml:space="preserve">Estimated beta (vs. S&amp;P 500). Source from FactSet or Yahoo Finance.</t>
        </r>
      </text>
    </comment>
    <comment ref="I17" authorId="0">
      <text>
        <r>
          <rPr>
            <sz val="10"/>
            <rFont val="Arial"/>
            <family val="2"/>
          </rPr>
          <t xml:space="preserve">Estimated beta (vs. S&amp;P 500). Source from FactSet or Yahoo Finance.</t>
        </r>
      </text>
    </comment>
    <comment ref="I18" authorId="0">
      <text>
        <r>
          <rPr>
            <sz val="10"/>
            <rFont val="Arial"/>
            <family val="2"/>
          </rPr>
          <t xml:space="preserve">Estimated beta (vs. S&amp;P 500). Source from FactSet or Yahoo Finance.</t>
        </r>
      </text>
    </comment>
    <comment ref="I19" authorId="0">
      <text>
        <r>
          <rPr>
            <sz val="10"/>
            <rFont val="Arial"/>
            <family val="2"/>
          </rPr>
          <t xml:space="preserve">Estimated beta (vs. S&amp;P 500). Source from FactSet or Yahoo Finance.</t>
        </r>
      </text>
    </comment>
    <comment ref="I20" authorId="0">
      <text>
        <r>
          <rPr>
            <sz val="10"/>
            <rFont val="Arial"/>
            <family val="2"/>
          </rPr>
          <t xml:space="preserve">Estimated beta (vs. S&amp;P 500). Source from FactSet or Yahoo Finance.</t>
        </r>
      </text>
    </comment>
    <comment ref="I21" authorId="0">
      <text>
        <r>
          <rPr>
            <sz val="10"/>
            <rFont val="Arial"/>
            <family val="2"/>
          </rPr>
          <t xml:space="preserve">Estimated beta (vs. S&amp;P 500). Source from FactSet or Yahoo Finance.</t>
        </r>
      </text>
    </comment>
    <comment ref="J12" authorId="0">
      <text>
        <r>
          <rPr>
            <sz val="10"/>
            <rFont val="Arial"/>
            <family val="2"/>
          </rPr>
          <t xml:space="preserve">Does this security PASS your Phase 1 macro filter? Must be YES.</t>
        </r>
      </text>
    </comment>
    <comment ref="J13" authorId="0">
      <text>
        <r>
          <rPr>
            <sz val="10"/>
            <rFont val="Arial"/>
            <family val="2"/>
          </rPr>
          <t xml:space="preserve">Does this security PASS your Phase 1 macro filter? Must be YES.</t>
        </r>
      </text>
    </comment>
    <comment ref="J14" authorId="0">
      <text>
        <r>
          <rPr>
            <sz val="10"/>
            <rFont val="Arial"/>
            <family val="2"/>
          </rPr>
          <t xml:space="preserve">Does this security PASS your Phase 1 macro filter? Must be YES.</t>
        </r>
      </text>
    </comment>
    <comment ref="J15" authorId="0">
      <text>
        <r>
          <rPr>
            <sz val="10"/>
            <rFont val="Arial"/>
            <family val="2"/>
          </rPr>
          <t xml:space="preserve">Does this security PASS your Phase 1 macro filter? Must be YES.</t>
        </r>
      </text>
    </comment>
    <comment ref="J16" authorId="0">
      <text>
        <r>
          <rPr>
            <sz val="10"/>
            <rFont val="Arial"/>
            <family val="2"/>
          </rPr>
          <t xml:space="preserve">Does this security PASS your Phase 1 macro filter? Must be YES.</t>
        </r>
      </text>
    </comment>
    <comment ref="J17" authorId="0">
      <text>
        <r>
          <rPr>
            <sz val="10"/>
            <rFont val="Arial"/>
            <family val="2"/>
          </rPr>
          <t xml:space="preserve">Does this security PASS your Phase 1 macro filter? Must be YES.</t>
        </r>
      </text>
    </comment>
    <comment ref="J18" authorId="0">
      <text>
        <r>
          <rPr>
            <sz val="10"/>
            <rFont val="Arial"/>
            <family val="2"/>
          </rPr>
          <t xml:space="preserve">Does this security PASS your Phase 1 macro filter? Must be YES.</t>
        </r>
      </text>
    </comment>
    <comment ref="J19" authorId="0">
      <text>
        <r>
          <rPr>
            <sz val="10"/>
            <rFont val="Arial"/>
            <family val="2"/>
          </rPr>
          <t xml:space="preserve">Does this security PASS your Phase 1 macro filter? Must be YES.</t>
        </r>
      </text>
    </comment>
    <comment ref="J20" authorId="0">
      <text>
        <r>
          <rPr>
            <sz val="10"/>
            <rFont val="Arial"/>
            <family val="2"/>
          </rPr>
          <t xml:space="preserve">Does this security PASS your Phase 1 macro filter? Must be YES.</t>
        </r>
      </text>
    </comment>
    <comment ref="J21" authorId="0">
      <text>
        <r>
          <rPr>
            <sz val="10"/>
            <rFont val="Arial"/>
            <family val="2"/>
          </rPr>
          <t xml:space="preserve">Does this security PASS your Phase 1 macro filter? Must be YES.</t>
        </r>
      </text>
    </comment>
    <comment ref="K5" authorId="0">
      <text>
        <r>
          <rPr>
            <sz val="10"/>
            <rFont val="Arial"/>
            <family val="2"/>
          </rPr>
          <t xml:space="preserve">From Phase 1 — e.g. 'Late-Cycle / Base Case: Soft Landing'</t>
        </r>
      </text>
    </comment>
    <comment ref="K12" authorId="0">
      <text>
        <r>
          <rPr>
            <sz val="10"/>
            <rFont val="Arial"/>
            <family val="2"/>
          </rPr>
          <t xml:space="preserve">Reference number linking to your Investment Thesis Log (Section 3 of this tab). e.g. 1, 2, 3...</t>
        </r>
      </text>
    </comment>
    <comment ref="K13" authorId="0">
      <text>
        <r>
          <rPr>
            <sz val="10"/>
            <rFont val="Arial"/>
            <family val="2"/>
          </rPr>
          <t xml:space="preserve">Reference number linking to your Investment Thesis Log (Section 3 of this tab). e.g. 1, 2, 3...</t>
        </r>
      </text>
    </comment>
    <comment ref="K14" authorId="0">
      <text>
        <r>
          <rPr>
            <sz val="10"/>
            <rFont val="Arial"/>
            <family val="2"/>
          </rPr>
          <t xml:space="preserve">Reference number linking to your Investment Thesis Log (Section 3 of this tab). e.g. 1, 2, 3...</t>
        </r>
      </text>
    </comment>
    <comment ref="K15" authorId="0">
      <text>
        <r>
          <rPr>
            <sz val="10"/>
            <rFont val="Arial"/>
            <family val="2"/>
          </rPr>
          <t xml:space="preserve">Reference number linking to your Investment Thesis Log (Section 3 of this tab). e.g. 1, 2, 3...</t>
        </r>
      </text>
    </comment>
    <comment ref="K16" authorId="0">
      <text>
        <r>
          <rPr>
            <sz val="10"/>
            <rFont val="Arial"/>
            <family val="2"/>
          </rPr>
          <t xml:space="preserve">Reference number linking to your Investment Thesis Log (Section 3 of this tab). e.g. 1, 2, 3...</t>
        </r>
      </text>
    </comment>
    <comment ref="K17" authorId="0">
      <text>
        <r>
          <rPr>
            <sz val="10"/>
            <rFont val="Arial"/>
            <family val="2"/>
          </rPr>
          <t xml:space="preserve">Reference number linking to your Investment Thesis Log (Section 3 of this tab). e.g. 1, 2, 3...</t>
        </r>
      </text>
    </comment>
    <comment ref="K18" authorId="0">
      <text>
        <r>
          <rPr>
            <sz val="10"/>
            <rFont val="Arial"/>
            <family val="2"/>
          </rPr>
          <t xml:space="preserve">Reference number linking to your Investment Thesis Log (Section 3 of this tab). e.g. 1, 2, 3...</t>
        </r>
      </text>
    </comment>
    <comment ref="K19" authorId="0">
      <text>
        <r>
          <rPr>
            <sz val="10"/>
            <rFont val="Arial"/>
            <family val="2"/>
          </rPr>
          <t xml:space="preserve">Reference number linking to your Investment Thesis Log (Section 3 of this tab). e.g. 1, 2, 3...</t>
        </r>
      </text>
    </comment>
    <comment ref="K20" authorId="0">
      <text>
        <r>
          <rPr>
            <sz val="10"/>
            <rFont val="Arial"/>
            <family val="2"/>
          </rPr>
          <t xml:space="preserve">Reference number linking to your Investment Thesis Log (Section 3 of this tab). e.g. 1, 2, 3...</t>
        </r>
      </text>
    </comment>
    <comment ref="K21" authorId="0">
      <text>
        <r>
          <rPr>
            <sz val="10"/>
            <rFont val="Arial"/>
            <family val="2"/>
          </rPr>
          <t xml:space="preserve">Reference number linking to your Investment Thesis Log (Section 3 of this tab). e.g. 1, 2, 3...</t>
        </r>
      </text>
    </comment>
    <comment ref="K39" authorId="0">
      <text>
        <r>
          <rPr>
            <sz val="10"/>
            <rFont val="Arial"/>
            <family val="2"/>
          </rPr>
          <t xml:space="preserve">Example: Client needs upside participation</t>
        </r>
      </text>
    </comment>
    <comment ref="K40" authorId="0">
      <text>
        <r>
          <rPr>
            <sz val="10"/>
            <rFont val="Arial"/>
            <family val="2"/>
          </rPr>
          <t xml:space="preserve">Example: Below target E(R) with high cash</t>
        </r>
      </text>
    </comment>
    <comment ref="L12" authorId="0">
      <text>
        <r>
          <rPr>
            <sz val="10"/>
            <rFont val="Arial"/>
            <family val="2"/>
          </rPr>
          <t xml:space="preserve">Cite your source. E.g. "FactSet @ECO, 4/15/2025" or "SEC 10-K FY2024"</t>
        </r>
      </text>
    </comment>
    <comment ref="L13" authorId="0">
      <text>
        <r>
          <rPr>
            <sz val="10"/>
            <rFont val="Arial"/>
            <family val="2"/>
          </rPr>
          <t xml:space="preserve">Cite your source. E.g. "FactSet @ECO, 4/15/2025" or "SEC 10-K FY2024"</t>
        </r>
      </text>
    </comment>
    <comment ref="L14" authorId="0">
      <text>
        <r>
          <rPr>
            <sz val="10"/>
            <rFont val="Arial"/>
            <family val="2"/>
          </rPr>
          <t xml:space="preserve">Cite your source. E.g. "FactSet @ECO, 4/15/2025" or "SEC 10-K FY2024"</t>
        </r>
      </text>
    </comment>
    <comment ref="L15" authorId="0">
      <text>
        <r>
          <rPr>
            <sz val="10"/>
            <rFont val="Arial"/>
            <family val="2"/>
          </rPr>
          <t xml:space="preserve">Cite your source. E.g. "FactSet @ECO, 4/15/2025" or "SEC 10-K FY2024"</t>
        </r>
      </text>
    </comment>
    <comment ref="L16" authorId="0">
      <text>
        <r>
          <rPr>
            <sz val="10"/>
            <rFont val="Arial"/>
            <family val="2"/>
          </rPr>
          <t xml:space="preserve">Cite your source. E.g. "FactSet @ECO, 4/15/2025" or "SEC 10-K FY2024"</t>
        </r>
      </text>
    </comment>
    <comment ref="L17" authorId="0">
      <text>
        <r>
          <rPr>
            <sz val="10"/>
            <rFont val="Arial"/>
            <family val="2"/>
          </rPr>
          <t xml:space="preserve">Cite your source. E.g. "FactSet @ECO, 4/15/2025" or "SEC 10-K FY2024"</t>
        </r>
      </text>
    </comment>
    <comment ref="L18" authorId="0">
      <text>
        <r>
          <rPr>
            <sz val="10"/>
            <rFont val="Arial"/>
            <family val="2"/>
          </rPr>
          <t xml:space="preserve">Cite your source. E.g. "FactSet @ECO, 4/15/2025" or "SEC 10-K FY2024"</t>
        </r>
      </text>
    </comment>
    <comment ref="L19" authorId="0">
      <text>
        <r>
          <rPr>
            <sz val="10"/>
            <rFont val="Arial"/>
            <family val="2"/>
          </rPr>
          <t xml:space="preserve">Cite your source. E.g. "FactSet @ECO, 4/15/2025" or "SEC 10-K FY2024"</t>
        </r>
      </text>
    </comment>
    <comment ref="L20" authorId="0">
      <text>
        <r>
          <rPr>
            <sz val="10"/>
            <rFont val="Arial"/>
            <family val="2"/>
          </rPr>
          <t xml:space="preserve">Cite your source. E.g. "FactSet @ECO, 4/15/2025" or "SEC 10-K FY2024"</t>
        </r>
      </text>
    </comment>
    <comment ref="L21" authorId="0">
      <text>
        <r>
          <rPr>
            <sz val="10"/>
            <rFont val="Arial"/>
            <family val="2"/>
          </rPr>
          <t xml:space="preserve">Cite your source. E.g. "FactSet @ECO, 4/15/2025" or "SEC 10-K FY2024"</t>
        </r>
      </text>
    </comment>
  </commentList>
</comments>
</file>

<file path=xl/sharedStrings.xml><?xml version="1.0" encoding="utf-8"?>
<sst xmlns="http://schemas.openxmlformats.org/spreadsheetml/2006/main" count="349" uniqueCount="113">
  <si>
    <t xml:space="preserve">BUS 331 — Phase 4: Security Selection &amp; Risk Mitigation</t>
  </si>
  <si>
    <t xml:space="preserve">Student Template  |  Endicott College  |  Institutional Portfolio Management Project</t>
  </si>
  <si>
    <t xml:space="preserve">  Overview</t>
  </si>
  <si>
    <t xml:space="preserve">This workbook has four tabs: START HERE (instructions), Client 1, Client 2, and Client 3. Complete one client tab per assigned client. Each tab contains three sections: (1) Security Selection Table, (2) Derivative Hedge Summary, and (3) Investment Thesis Log.</t>
  </si>
  <si>
    <t xml:space="preserve">  Before You Start — Complete Phase 1 &amp; 2 First</t>
  </si>
  <si>
    <t xml:space="preserve">Your macro thesis (Phase 1) and IPS for each client (Phase 2) must be finalized before filling in any security data. The macro filter in column J checks every security against your Phase 1 thesis. The client info strip at the top of each tab pulls from Phase 2.</t>
  </si>
  <si>
    <t xml:space="preserve">  Section 1 — Security Selection Table</t>
  </si>
  <si>
    <t xml:space="preserve">Enter at least 10 securities per client (add rows as needed by copying an existing row). Weights in column G must sum to 100% — the total row turns green when correct. Column J (Macro Filter) must be YES for every holding. Link each security to a thesis number in column K.</t>
  </si>
  <si>
    <t xml:space="preserve">  Section 2 — Derivative Hedge Summary</t>
  </si>
  <si>
    <t xml:space="preserve">Every client needs at least one derivative hedge (e.g. Protective Put). Document the chosen strategy in full — cost, strike, expiration, and net Bear Case impact. Then complete the alternative comparison table for at least one other strategy you considered and explain why you rejected it.</t>
  </si>
  <si>
    <t xml:space="preserve">  Section 3 — Investment Thesis Log</t>
  </si>
  <si>
    <t xml:space="preserve">Complete one thesis block per security. Number must match column K in Section 1. Each block requires: macro connection, investment rationale, data citation, IPS suitability check, and an AI audit note if AI was used. Five blocks are pre-built; copy to add more.</t>
  </si>
  <si>
    <t xml:space="preserve">  AI Audit Log Reminder</t>
  </si>
  <si>
    <t xml:space="preserve">Any AI tool used to suggest securities, expected returns, or hedge parameters must be documented in your team's AI Audit Log. The Hallucination Clause applies: unverified AI data = professional negligence. Every number must trace to FactSet, FRED, or SEC.</t>
  </si>
  <si>
    <t xml:space="preserve">  Grading Notes</t>
  </si>
  <si>
    <t xml:space="preserve">Graders will check: (1) weights sum to 100%, (2) all macro filters = YES, (3) every security has a completed thesis block, (4) derivative hedge includes an alternative comparison, (5) data sources are cited, and (6) hedge passes the IPS Tripwire drawdown check.</t>
  </si>
  <si>
    <t xml:space="preserve">  PRE-SUBMISSION CHECKLIST</t>
  </si>
  <si>
    <t xml:space="preserve">☐  Weights sum to 100% on each client tab (total row is green)</t>
  </si>
  <si>
    <t xml:space="preserve">☐  Every Macro Filter cell = YES (no red cells in column J)</t>
  </si>
  <si>
    <t xml:space="preserve">☐  Minimum 10 securities entered per client</t>
  </si>
  <si>
    <t xml:space="preserve">☐  At least 3 distinct asset classes represented per client</t>
  </si>
  <si>
    <t xml:space="preserve">☐  Every security has a completed Investment Thesis block in Section 3</t>
  </si>
  <si>
    <t xml:space="preserve">☐  Thesis # in column K matches a thesis block in Section 3</t>
  </si>
  <si>
    <t xml:space="preserve">☐  Derivative hedge completed with cost, payoff, and Bear Case net return</t>
  </si>
  <si>
    <t xml:space="preserve">☐  At least 1 alternative hedge strategy documented and explained</t>
  </si>
  <si>
    <t xml:space="preserve">☐  Every data point has a source citation (FactSet / FRED / SEC)</t>
  </si>
  <si>
    <t xml:space="preserve">☐  AI Audit Log updated for any AI-assisted inputs</t>
  </si>
  <si>
    <t xml:space="preserve">☐  Hedge net Bear Case return is within IPS drawdown limit (Tripwire)</t>
  </si>
  <si>
    <t xml:space="preserve">Phase 4 Summary — All Clients</t>
  </si>
  <si>
    <t xml:space="preserve">Auto-linked from Client 1, 2, 3 tabs  |  Green = weights correct  |  Red = recheck</t>
  </si>
  <si>
    <t xml:space="preserve">This summary pulls key stats from each client tab. Verify all three weight totals are green (100%) and all portfolio betas are within the expected range for each client's risk profile before submitting.</t>
  </si>
  <si>
    <t xml:space="preserve">Metric</t>
  </si>
  <si>
    <t xml:space="preserve">Client 1</t>
  </si>
  <si>
    <t xml:space="preserve">Client 2</t>
  </si>
  <si>
    <t xml:space="preserve">Client 3</t>
  </si>
  <si>
    <t xml:space="preserve">Total Weight</t>
  </si>
  <si>
    <t xml:space="preserve">Total $ Invested</t>
  </si>
  <si>
    <t xml:space="preserve">Portfolio Beta (wtd)</t>
  </si>
  <si>
    <t xml:space="preserve">IPS Return Target</t>
  </si>
  <si>
    <t xml:space="preserve">IPS Max σ</t>
  </si>
  <si>
    <t xml:space="preserve">Phase 4 — Security Selection  |  Client 1</t>
  </si>
  <si>
    <t xml:space="preserve">BUS 331 Investments  |  Endicott College  |  Phase 4: Security Selection &amp; Risk Mitigation</t>
  </si>
  <si>
    <t xml:space="preserve">Client Name / ID:</t>
  </si>
  <si>
    <t xml:space="preserve">IPS Return Target:</t>
  </si>
  <si>
    <t xml:space="preserve">IPS Max σ:</t>
  </si>
  <si>
    <t xml:space="preserve">Macro Regime:</t>
  </si>
  <si>
    <t xml:space="preserve">⚠  MACRO FILTER (Phase 1 required): Every security below must survive your Phase 1 macro thesis. If your Base Case avoids a sector, you cannot hold it. Column J must be 'YES' for every row. Red = fails filter. Fix or remove the position.</t>
  </si>
  <si>
    <t xml:space="preserve">  SECTION 1 — SECURITY SELECTION TABLE</t>
  </si>
  <si>
    <t xml:space="preserve">Enter one security per row. Blue text = student input. Weights (column G) must sum to 100% — watch the live total in row below the table. Add rows as needed; the weight total formula auto-adjusts.</t>
  </si>
  <si>
    <t xml:space="preserve">#</t>
  </si>
  <si>
    <t xml:space="preserve">Ticker</t>
  </si>
  <si>
    <t xml:space="preserve">Security / ETF Name</t>
  </si>
  <si>
    <t xml:space="preserve">Asset Class</t>
  </si>
  <si>
    <t xml:space="preserve">Sector</t>
  </si>
  <si>
    <t xml:space="preserve">Weight
(%)</t>
  </si>
  <si>
    <t xml:space="preserve">$ Amount
(of $500K)</t>
  </si>
  <si>
    <t xml:space="preserve">Beta
(Est.)</t>
  </si>
  <si>
    <t xml:space="preserve">Macro
Filter ✓</t>
  </si>
  <si>
    <t xml:space="preserve">Thesis
Ref #</t>
  </si>
  <si>
    <t xml:space="preserve">Data Source
(FactSet / FRED / SEC)</t>
  </si>
  <si>
    <t xml:space="preserve">  TOTAL WEIGHT  (must equal 100%)</t>
  </si>
  <si>
    <t xml:space="preserve">Portfolio β (wtd. avg)</t>
  </si>
  <si>
    <t xml:space="preserve">  ← Green = weights sum to 100%   Red = recheck weights</t>
  </si>
  <si>
    <t xml:space="preserve">  SECTION 2 — DERIVATIVE HEDGE SUMMARY</t>
  </si>
  <si>
    <t xml:space="preserve">Mandatory: every client portfolio must include at least one derivative hedge strategy. Document the chosen hedge and compare it to at least one alternative. Source pricing from FactSet options screen or current market data.</t>
  </si>
  <si>
    <t xml:space="preserve">Hedge Strategy Chosen</t>
  </si>
  <si>
    <t xml:space="preserve">e.g. E.g. Protective Put on SPY — provides downside floor on equity sleeve</t>
  </si>
  <si>
    <t xml:space="preserve">Underlying Security / ETF</t>
  </si>
  <si>
    <t xml:space="preserve">e.g. E.g. SPY (SPDR S&amp;P 500 ETF)</t>
  </si>
  <si>
    <t xml:space="preserve">Contract Type</t>
  </si>
  <si>
    <t xml:space="preserve">e.g. E.g. Put Option</t>
  </si>
  <si>
    <t xml:space="preserve">Strike Price</t>
  </si>
  <si>
    <t xml:space="preserve">e.g. E.g. $480 (≈5% OTM)</t>
  </si>
  <si>
    <t xml:space="preserve">Expiration / Duration</t>
  </si>
  <si>
    <t xml:space="preserve">e.g. E.g. 12-month expiration (Dec 2026)</t>
  </si>
  <si>
    <t xml:space="preserve">Option Premium / Cost</t>
  </si>
  <si>
    <t xml:space="preserve">e.g. E.g. $12.50 per share × 100 contracts = $125,000</t>
  </si>
  <si>
    <t xml:space="preserve">% of Portfolio Cost</t>
  </si>
  <si>
    <t xml:space="preserve">e.g. E.g. 2.5% of $500,000 AUM</t>
  </si>
  <si>
    <t xml:space="preserve">Downside Protected To</t>
  </si>
  <si>
    <t xml:space="preserve">e.g. E.g. Portfolio loss floored at –8% in Bear Case</t>
  </si>
  <si>
    <t xml:space="preserve">Net Bear Case Return (hedged)</t>
  </si>
  <si>
    <t xml:space="preserve">e.g. E.g. –6.5% (vs. –14% unhedged)</t>
  </si>
  <si>
    <t xml:space="preserve">    Alternative Hedge Comparison  (required — compare to at least 1 alternative)</t>
  </si>
  <si>
    <t xml:space="preserve">Strategy</t>
  </si>
  <si>
    <t xml:space="preserve">Cost</t>
  </si>
  <si>
    <t xml:space="preserve">Max Downside Protected</t>
  </si>
  <si>
    <t xml:space="preserve">Trade-off vs. Chosen Hedge</t>
  </si>
  <si>
    <t xml:space="preserve">Why Rejected?</t>
  </si>
  <si>
    <t xml:space="preserve">  SECTION 3 — INVESTMENT THESIS LOG</t>
  </si>
  <si>
    <t xml:space="preserve">Complete one thesis block per security. Thesis # must match column K in Section 1. Each thesis must: (1) identify the macro connection to Phase 1, (2) cite a verifiable data source, and (3) confirm IPS suitability for this client.</t>
  </si>
  <si>
    <t xml:space="preserve">  Thesis #1</t>
  </si>
  <si>
    <t xml:space="preserve">Security (Ticker + Name)</t>
  </si>
  <si>
    <t xml:space="preserve">Asset Class / Sector</t>
  </si>
  <si>
    <t xml:space="preserve">Macro Connection</t>
  </si>
  <si>
    <t xml:space="preserve">Investment Rationale</t>
  </si>
  <si>
    <t xml:space="preserve">Data Source &amp; Citation</t>
  </si>
  <si>
    <t xml:space="preserve">IPS Suitability</t>
  </si>
  <si>
    <t xml:space="preserve">AI Audit Note</t>
  </si>
  <si>
    <t xml:space="preserve">  Thesis #2</t>
  </si>
  <si>
    <t xml:space="preserve">  Thesis #3</t>
  </si>
  <si>
    <t xml:space="preserve">  Thesis #4</t>
  </si>
  <si>
    <t xml:space="preserve">  Thesis #5</t>
  </si>
  <si>
    <t xml:space="preserve">  ▲ To add more thesis blocks: copy rows from any Thesis # block above and paste below. Update the Thesis # to match Section 1 column K.</t>
  </si>
  <si>
    <t xml:space="preserve">  LEGEND</t>
  </si>
  <si>
    <t xml:space="preserve">Sample</t>
  </si>
  <si>
    <t xml:space="preserve">Student Input — enter your data (blue text)</t>
  </si>
  <si>
    <t xml:space="preserve">Calculated Formula — do not edit (black text)</t>
  </si>
  <si>
    <t xml:space="preserve">Auto-generated / fixed value</t>
  </si>
  <si>
    <t xml:space="preserve">✓ PASS — constraint met</t>
  </si>
  <si>
    <t xml:space="preserve">⚠ CHECK — constraint violated or macro filter = NO</t>
  </si>
  <si>
    <t xml:space="preserve">Phase 4 — Security Selection  |  Client 2</t>
  </si>
  <si>
    <t xml:space="preserve">Phase 4 — Security Selection  |  Client 3</t>
  </si>
</sst>
</file>

<file path=xl/styles.xml><?xml version="1.0" encoding="utf-8"?>
<styleSheet xmlns="http://schemas.openxmlformats.org/spreadsheetml/2006/main">
  <numFmts count="6">
    <numFmt numFmtId="164" formatCode="General"/>
    <numFmt numFmtId="165" formatCode="0.0%"/>
    <numFmt numFmtId="166" formatCode="\$#,##0"/>
    <numFmt numFmtId="167" formatCode="0.00"/>
    <numFmt numFmtId="168" formatCode="General"/>
    <numFmt numFmtId="169" formatCode="0"/>
  </numFmts>
  <fonts count="2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A6A7E"/>
      <name val="Arial"/>
      <family val="0"/>
      <charset val="1"/>
    </font>
    <font>
      <b val="true"/>
      <sz val="10"/>
      <color rgb="FFFFFFFF"/>
      <name val="Arial"/>
      <family val="0"/>
      <charset val="1"/>
    </font>
    <font>
      <sz val="9"/>
      <color rgb="FF333333"/>
      <name val="Arial"/>
      <family val="0"/>
      <charset val="1"/>
    </font>
    <font>
      <sz val="9"/>
      <color rgb="FF5A6A7E"/>
      <name val="Arial"/>
      <family val="0"/>
      <charset val="1"/>
    </font>
    <font>
      <b val="true"/>
      <sz val="10"/>
      <color rgb="FF0A1628"/>
      <name val="Arial"/>
      <family val="0"/>
      <charset val="1"/>
    </font>
    <font>
      <sz val="10"/>
      <color rgb="FF008000"/>
      <name val="Arial"/>
      <family val="0"/>
      <charset val="1"/>
    </font>
    <font>
      <b val="true"/>
      <sz val="9"/>
      <color rgb="FF0A1628"/>
      <name val="Arial"/>
      <family val="0"/>
      <charset val="1"/>
    </font>
    <font>
      <sz val="10"/>
      <color rgb="FF0000FF"/>
      <name val="Arial"/>
      <family val="0"/>
      <charset val="1"/>
    </font>
    <font>
      <sz val="10"/>
      <color rgb="FF000000"/>
      <name val="Arial"/>
      <family val="0"/>
      <charset val="1"/>
    </font>
    <font>
      <sz val="9"/>
      <color rgb="FF0000FF"/>
      <name val="Arial"/>
      <family val="0"/>
      <charset val="1"/>
    </font>
    <font>
      <sz val="9"/>
      <color rgb="FF856404"/>
      <name val="Arial"/>
      <family val="0"/>
      <charset val="1"/>
    </font>
    <font>
      <b val="true"/>
      <sz val="9"/>
      <color rgb="FFFFFFFF"/>
      <name val="Arial"/>
      <family val="0"/>
      <charset val="1"/>
    </font>
    <font>
      <sz val="9"/>
      <color rgb="FF000000"/>
      <name val="Arial"/>
      <family val="0"/>
      <charset val="1"/>
    </font>
    <font>
      <b val="true"/>
      <sz val="11"/>
      <color rgb="FF000000"/>
      <name val="Arial"/>
      <family val="0"/>
      <charset val="1"/>
    </font>
    <font>
      <b val="true"/>
      <sz val="10"/>
      <color rgb="FF000000"/>
      <name val="Arial"/>
      <family val="0"/>
      <charset val="1"/>
    </font>
    <font>
      <b val="true"/>
      <sz val="8"/>
      <color rgb="FF5A6A7E"/>
      <name val="Arial"/>
      <family val="0"/>
      <charset val="1"/>
    </font>
    <font>
      <i val="true"/>
      <sz val="8"/>
      <color rgb="FF5A6A7E"/>
      <name val="Arial"/>
      <family val="0"/>
      <charset val="1"/>
    </font>
    <font>
      <b val="true"/>
      <sz val="10"/>
      <color rgb="FFC9A84C"/>
      <name val="Arial"/>
      <family val="0"/>
      <charset val="1"/>
    </font>
    <font>
      <sz val="9"/>
      <color rgb="FF155724"/>
      <name val="Arial"/>
      <family val="0"/>
      <charset val="1"/>
    </font>
    <font>
      <sz val="9"/>
      <color rgb="FF721C24"/>
      <name val="Arial"/>
      <family val="0"/>
      <charset val="1"/>
    </font>
    <font>
      <sz val="10"/>
      <name val="Arial"/>
      <family val="2"/>
    </font>
  </fonts>
  <fills count="12">
    <fill>
      <patternFill patternType="none"/>
    </fill>
    <fill>
      <patternFill patternType="gray125"/>
    </fill>
    <fill>
      <patternFill patternType="solid">
        <fgColor rgb="FF0A1628"/>
        <bgColor rgb="FF000000"/>
      </patternFill>
    </fill>
    <fill>
      <patternFill patternType="solid">
        <fgColor rgb="FFFFFFFF"/>
        <bgColor rgb="FFFFFDE7"/>
      </patternFill>
    </fill>
    <fill>
      <patternFill patternType="solid">
        <fgColor rgb="FFEBF3FA"/>
        <bgColor rgb="FFF4F7FB"/>
      </patternFill>
    </fill>
    <fill>
      <patternFill patternType="solid">
        <fgColor rgb="FFFFFDE7"/>
        <bgColor rgb="FFFFFFFF"/>
      </patternFill>
    </fill>
    <fill>
      <patternFill patternType="solid">
        <fgColor rgb="FFFFFF00"/>
        <bgColor rgb="FFFFFF00"/>
      </patternFill>
    </fill>
    <fill>
      <patternFill patternType="solid">
        <fgColor rgb="FFFFF3CD"/>
        <bgColor rgb="FFFFFDE7"/>
      </patternFill>
    </fill>
    <fill>
      <patternFill patternType="solid">
        <fgColor rgb="FFD6E4F0"/>
        <bgColor rgb="FFD4EDDA"/>
      </patternFill>
    </fill>
    <fill>
      <patternFill patternType="solid">
        <fgColor rgb="FFF4F7FB"/>
        <bgColor rgb="FFEBF3FA"/>
      </patternFill>
    </fill>
    <fill>
      <patternFill patternType="solid">
        <fgColor rgb="FFD4EDDA"/>
        <bgColor rgb="FFD6E4F0"/>
      </patternFill>
    </fill>
    <fill>
      <patternFill patternType="solid">
        <fgColor rgb="FFF8D7DA"/>
        <bgColor rgb="FFFFF3CD"/>
      </patternFill>
    </fill>
  </fills>
  <borders count="15">
    <border diagonalUp="false" diagonalDown="false">
      <left/>
      <right/>
      <top/>
      <bottom/>
      <diagonal/>
    </border>
    <border diagonalUp="false" diagonalDown="false">
      <left/>
      <right/>
      <top/>
      <bottom style="medium">
        <color rgb="FFC9A84C"/>
      </bottom>
      <diagonal/>
    </border>
    <border diagonalUp="false" diagonalDown="false">
      <left style="medium">
        <color rgb="FFC9A84C"/>
      </left>
      <right/>
      <top/>
      <bottom/>
      <diagonal/>
    </border>
    <border diagonalUp="false" diagonalDown="false">
      <left style="thin">
        <color rgb="FFCBD8E8"/>
      </left>
      <right/>
      <top style="thin">
        <color rgb="FFCBD8E8"/>
      </top>
      <bottom style="thin">
        <color rgb="FFCBD8E8"/>
      </bottom>
      <diagonal/>
    </border>
    <border diagonalUp="false" diagonalDown="false">
      <left style="medium">
        <color rgb="FFC9A84C"/>
      </left>
      <right/>
      <top/>
      <bottom style="medium">
        <color rgb="FFC9A84C"/>
      </bottom>
      <diagonal/>
    </border>
    <border diagonalUp="false" diagonalDown="false">
      <left/>
      <right/>
      <top style="medium">
        <color rgb="FFCBD8E8"/>
      </top>
      <bottom style="thin">
        <color rgb="FFCBD8E8"/>
      </bottom>
      <diagonal/>
    </border>
    <border diagonalUp="false" diagonalDown="false">
      <left style="thin">
        <color rgb="FF0A1628"/>
      </left>
      <right style="thin">
        <color rgb="FF0A1628"/>
      </right>
      <top style="thin">
        <color rgb="FF0A1628"/>
      </top>
      <bottom style="thin">
        <color rgb="FF0A1628"/>
      </bottom>
      <diagonal/>
    </border>
    <border diagonalUp="false" diagonalDown="false">
      <left style="thin">
        <color rgb="FFCBD8E8"/>
      </left>
      <right style="thin">
        <color rgb="FFCBD8E8"/>
      </right>
      <top style="thin">
        <color rgb="FFCBD8E8"/>
      </top>
      <bottom style="thin">
        <color rgb="FFCBD8E8"/>
      </bottom>
      <diagonal/>
    </border>
    <border diagonalUp="false" diagonalDown="false">
      <left style="thin">
        <color rgb="FFC9A84C"/>
      </left>
      <right style="thin">
        <color rgb="FFC9A84C"/>
      </right>
      <top style="thin">
        <color rgb="FFC9A84C"/>
      </top>
      <bottom style="thin">
        <color rgb="FFC9A84C"/>
      </bottom>
      <diagonal/>
    </border>
    <border diagonalUp="false" diagonalDown="false">
      <left style="thin">
        <color rgb="FFC9A84C"/>
      </left>
      <right/>
      <top style="thin">
        <color rgb="FFC9A84C"/>
      </top>
      <bottom style="thin">
        <color rgb="FFC9A84C"/>
      </bottom>
      <diagonal/>
    </border>
    <border diagonalUp="false" diagonalDown="false">
      <left/>
      <right/>
      <top style="medium">
        <color rgb="FFC9A84C"/>
      </top>
      <bottom style="thin">
        <color rgb="FFC9A84C"/>
      </bottom>
      <diagonal/>
    </border>
    <border diagonalUp="false" diagonalDown="false">
      <left style="medium">
        <color rgb="FFC9A84C"/>
      </left>
      <right/>
      <top style="thin">
        <color rgb="FF0A1628"/>
      </top>
      <bottom style="thin">
        <color rgb="FF0A1628"/>
      </bottom>
      <diagonal/>
    </border>
    <border diagonalUp="false" diagonalDown="false">
      <left/>
      <right/>
      <top style="medium">
        <color rgb="FFC9A84C"/>
      </top>
      <bottom style="medium">
        <color rgb="FFC9A84C"/>
      </bottom>
      <diagonal/>
    </border>
    <border diagonalUp="false" diagonalDown="false">
      <left style="thin">
        <color rgb="FF0A1628"/>
      </left>
      <right/>
      <top style="thin">
        <color rgb="FF0A1628"/>
      </top>
      <bottom style="thin">
        <color rgb="FF0A1628"/>
      </bottom>
      <diagonal/>
    </border>
    <border diagonalUp="false" diagonalDown="false">
      <left/>
      <right/>
      <top style="medium">
        <color rgb="FFC9A84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left" vertical="center" textRotation="0" wrapText="false" indent="0" shrinkToFit="false"/>
      <protection locked="true" hidden="false"/>
    </xf>
    <xf numFmtId="164" fontId="7" fillId="4" borderId="3" xfId="0" applyFont="true" applyBorder="true" applyAlignment="true" applyProtection="false">
      <alignment horizontal="left" vertical="center" textRotation="0" wrapText="true" indent="0" shrinkToFit="false"/>
      <protection locked="true" hidden="false"/>
    </xf>
    <xf numFmtId="164" fontId="6" fillId="2" borderId="4" xfId="0" applyFont="true" applyBorder="true" applyAlignment="true" applyProtection="false">
      <alignment horizontal="left" vertical="center" textRotation="0" wrapText="false" indent="0" shrinkToFit="false"/>
      <protection locked="true" hidden="false"/>
    </xf>
    <xf numFmtId="164" fontId="7" fillId="3" borderId="3" xfId="0" applyFont="true" applyBorder="true" applyAlignment="true" applyProtection="false">
      <alignment horizontal="left" vertical="center" textRotation="0" wrapText="false" indent="0" shrinkToFit="false"/>
      <protection locked="true" hidden="false"/>
    </xf>
    <xf numFmtId="164" fontId="8" fillId="4" borderId="5" xfId="0" applyFont="true" applyBorder="true" applyAlignment="true" applyProtection="false">
      <alignment horizontal="left" vertical="center" textRotation="0" wrapText="true" indent="0" shrinkToFit="false"/>
      <protection locked="true" hidden="false"/>
    </xf>
    <xf numFmtId="164" fontId="6" fillId="2" borderId="6" xfId="0" applyFont="true" applyBorder="true" applyAlignment="true" applyProtection="false">
      <alignment horizontal="center" vertical="center" textRotation="0" wrapText="false" indent="0" shrinkToFit="false"/>
      <protection locked="true" hidden="false"/>
    </xf>
    <xf numFmtId="164" fontId="9" fillId="4" borderId="7" xfId="0" applyFont="true" applyBorder="true" applyAlignment="true" applyProtection="false">
      <alignment horizontal="left" vertical="center" textRotation="0" wrapText="false" indent="0" shrinkToFit="false"/>
      <protection locked="true" hidden="false"/>
    </xf>
    <xf numFmtId="164" fontId="0" fillId="4" borderId="7" xfId="0" applyFont="false" applyBorder="true" applyAlignment="true" applyProtection="false">
      <alignment horizontal="general" vertical="bottom" textRotation="0" wrapText="false" indent="0" shrinkToFit="false"/>
      <protection locked="true" hidden="false"/>
    </xf>
    <xf numFmtId="165" fontId="10" fillId="5" borderId="8" xfId="0" applyFont="true" applyBorder="true" applyAlignment="true" applyProtection="false">
      <alignment horizontal="center" vertical="center" textRotation="0" wrapText="false" indent="0" shrinkToFit="false"/>
      <protection locked="true" hidden="false"/>
    </xf>
    <xf numFmtId="164" fontId="0" fillId="3" borderId="7" xfId="0" applyFont="false" applyBorder="true" applyAlignment="true" applyProtection="false">
      <alignment horizontal="general" vertical="bottom" textRotation="0" wrapText="false" indent="0" shrinkToFit="false"/>
      <protection locked="true" hidden="false"/>
    </xf>
    <xf numFmtId="164" fontId="9" fillId="3" borderId="7" xfId="0" applyFont="true" applyBorder="true" applyAlignment="true" applyProtection="false">
      <alignment horizontal="left" vertical="center" textRotation="0" wrapText="false" indent="0" shrinkToFit="false"/>
      <protection locked="true" hidden="false"/>
    </xf>
    <xf numFmtId="166" fontId="10" fillId="5" borderId="8" xfId="0" applyFont="true" applyBorder="true" applyAlignment="true" applyProtection="false">
      <alignment horizontal="center" vertical="center" textRotation="0" wrapText="false" indent="0" shrinkToFit="false"/>
      <protection locked="true" hidden="false"/>
    </xf>
    <xf numFmtId="167" fontId="10" fillId="5" borderId="8" xfId="0" applyFont="true" applyBorder="true" applyAlignment="true" applyProtection="false">
      <alignment horizontal="center" vertical="center" textRotation="0" wrapText="false" indent="0" shrinkToFit="false"/>
      <protection locked="true" hidden="false"/>
    </xf>
    <xf numFmtId="164" fontId="11" fillId="4" borderId="7" xfId="0" applyFont="true" applyBorder="true" applyAlignment="true" applyProtection="false">
      <alignment horizontal="left" vertical="center" textRotation="0" wrapText="false" indent="0" shrinkToFit="false"/>
      <protection locked="true" hidden="false"/>
    </xf>
    <xf numFmtId="164" fontId="12" fillId="6" borderId="8" xfId="0" applyFont="true" applyBorder="true" applyAlignment="true" applyProtection="false">
      <alignment horizontal="center" vertical="center" textRotation="0" wrapText="false" indent="0" shrinkToFit="false"/>
      <protection locked="true" hidden="false"/>
    </xf>
    <xf numFmtId="164" fontId="13" fillId="4" borderId="7" xfId="0" applyFont="true" applyBorder="true" applyAlignment="true" applyProtection="false">
      <alignment horizontal="left" vertical="center" textRotation="0" wrapText="false" indent="0" shrinkToFit="false"/>
      <protection locked="true" hidden="false"/>
    </xf>
    <xf numFmtId="165" fontId="12" fillId="6" borderId="8" xfId="0" applyFont="true" applyBorder="true" applyAlignment="true" applyProtection="false">
      <alignment horizontal="center" vertical="center" textRotation="0" wrapText="false" indent="0" shrinkToFit="false"/>
      <protection locked="true" hidden="false"/>
    </xf>
    <xf numFmtId="164" fontId="14" fillId="6" borderId="9" xfId="0" applyFont="true" applyBorder="true" applyAlignment="true" applyProtection="false">
      <alignment horizontal="left" vertical="center" textRotation="0" wrapText="true" indent="0" shrinkToFit="false"/>
      <protection locked="true" hidden="false"/>
    </xf>
    <xf numFmtId="164" fontId="15" fillId="7" borderId="10" xfId="0" applyFont="true" applyBorder="true" applyAlignment="true" applyProtection="false">
      <alignment horizontal="left" vertical="center" textRotation="0" wrapText="true" indent="0" shrinkToFit="false"/>
      <protection locked="true" hidden="false"/>
    </xf>
    <xf numFmtId="164" fontId="6" fillId="2" borderId="11" xfId="0" applyFont="true" applyBorder="true" applyAlignment="true" applyProtection="false">
      <alignment horizontal="left" vertical="center" textRotation="0" wrapText="false" indent="0" shrinkToFit="false"/>
      <protection locked="true" hidden="false"/>
    </xf>
    <xf numFmtId="164" fontId="16" fillId="2" borderId="6" xfId="0" applyFont="true" applyBorder="true" applyAlignment="true" applyProtection="false">
      <alignment horizontal="center" vertical="center" textRotation="0" wrapText="true" indent="0" shrinkToFit="false"/>
      <protection locked="true" hidden="false"/>
    </xf>
    <xf numFmtId="168" fontId="17" fillId="8" borderId="7" xfId="0" applyFont="true" applyBorder="true" applyAlignment="true" applyProtection="false">
      <alignment horizontal="center" vertical="center" textRotation="0" wrapText="false" indent="0" shrinkToFit="false"/>
      <protection locked="true" hidden="false"/>
    </xf>
    <xf numFmtId="164" fontId="12" fillId="6" borderId="8" xfId="0" applyFont="true" applyBorder="true" applyAlignment="true" applyProtection="false">
      <alignment horizontal="left" vertical="center" textRotation="0" wrapText="true" indent="0" shrinkToFit="false"/>
      <protection locked="true" hidden="false"/>
    </xf>
    <xf numFmtId="166" fontId="13" fillId="5" borderId="8" xfId="0" applyFont="true" applyBorder="true" applyAlignment="true" applyProtection="false">
      <alignment horizontal="center" vertical="center" textRotation="0" wrapText="false" indent="0" shrinkToFit="false"/>
      <protection locked="true" hidden="false"/>
    </xf>
    <xf numFmtId="167" fontId="12" fillId="6" borderId="8" xfId="0" applyFont="true" applyBorder="true" applyAlignment="true" applyProtection="false">
      <alignment horizontal="center" vertical="center" textRotation="0" wrapText="false" indent="0" shrinkToFit="false"/>
      <protection locked="true" hidden="false"/>
    </xf>
    <xf numFmtId="169" fontId="12" fillId="6" borderId="8" xfId="0" applyFont="true" applyBorder="true" applyAlignment="true" applyProtection="false">
      <alignment horizontal="center" vertical="center" textRotation="0" wrapText="false" indent="0" shrinkToFit="false"/>
      <protection locked="true" hidden="false"/>
    </xf>
    <xf numFmtId="164" fontId="6" fillId="2" borderId="12" xfId="0" applyFont="true" applyBorder="true" applyAlignment="true" applyProtection="false">
      <alignment horizontal="left" vertical="center" textRotation="0" wrapText="false" indent="0" shrinkToFit="false"/>
      <protection locked="true" hidden="false"/>
    </xf>
    <xf numFmtId="165" fontId="18" fillId="5" borderId="12" xfId="0" applyFont="true" applyBorder="true" applyAlignment="true" applyProtection="false">
      <alignment horizontal="center" vertical="center" textRotation="0" wrapText="false" indent="0" shrinkToFit="false"/>
      <protection locked="true" hidden="false"/>
    </xf>
    <xf numFmtId="166" fontId="19" fillId="5" borderId="12" xfId="0" applyFont="true" applyBorder="true" applyAlignment="true" applyProtection="false">
      <alignment horizontal="center" vertical="center" textRotation="0" wrapText="false" indent="0" shrinkToFit="false"/>
      <protection locked="true" hidden="false"/>
    </xf>
    <xf numFmtId="167" fontId="19" fillId="5" borderId="12" xfId="0" applyFont="true" applyBorder="true" applyAlignment="true" applyProtection="false">
      <alignment horizontal="center" vertical="center" textRotation="0" wrapText="false" indent="0" shrinkToFit="false"/>
      <protection locked="true" hidden="false"/>
    </xf>
    <xf numFmtId="164" fontId="20" fillId="8" borderId="7" xfId="0" applyFont="true" applyBorder="true" applyAlignment="true" applyProtection="false">
      <alignment horizontal="left" vertical="center" textRotation="0" wrapText="false" indent="0" shrinkToFit="false"/>
      <protection locked="true" hidden="false"/>
    </xf>
    <xf numFmtId="164" fontId="5" fillId="4" borderId="3" xfId="0" applyFont="true" applyBorder="true" applyAlignment="true" applyProtection="false">
      <alignment horizontal="left" vertical="center" textRotation="0" wrapText="false" indent="0" shrinkToFit="false"/>
      <protection locked="true" hidden="false"/>
    </xf>
    <xf numFmtId="164" fontId="21" fillId="9" borderId="3" xfId="0" applyFont="true" applyBorder="true" applyAlignment="true" applyProtection="false">
      <alignment horizontal="left" vertical="center" textRotation="0" wrapText="false" indent="0" shrinkToFit="false"/>
      <protection locked="true" hidden="false"/>
    </xf>
    <xf numFmtId="164" fontId="16" fillId="2" borderId="13" xfId="0" applyFont="true" applyBorder="true" applyAlignment="true" applyProtection="false">
      <alignment horizontal="center" vertical="center" textRotation="0" wrapText="true" indent="0" shrinkToFit="false"/>
      <protection locked="true" hidden="false"/>
    </xf>
    <xf numFmtId="164" fontId="22" fillId="2" borderId="2" xfId="0" applyFont="true" applyBorder="true" applyAlignment="true" applyProtection="false">
      <alignment horizontal="left" vertical="center" textRotation="0" wrapText="false" indent="0" shrinkToFit="false"/>
      <protection locked="true" hidden="false"/>
    </xf>
    <xf numFmtId="164" fontId="11" fillId="4" borderId="7" xfId="0" applyFont="true" applyBorder="true" applyAlignment="true" applyProtection="false">
      <alignment horizontal="left" vertical="center" textRotation="0" wrapText="true" indent="0" shrinkToFit="false"/>
      <protection locked="true" hidden="false"/>
    </xf>
    <xf numFmtId="164" fontId="5" fillId="7" borderId="14" xfId="0" applyFont="true" applyBorder="true" applyAlignment="true" applyProtection="false">
      <alignment horizontal="left" vertical="center" textRotation="0" wrapText="false" indent="0" shrinkToFit="false"/>
      <protection locked="true" hidden="false"/>
    </xf>
    <xf numFmtId="164" fontId="14" fillId="6" borderId="8" xfId="0" applyFont="true" applyBorder="true" applyAlignment="true" applyProtection="false">
      <alignment horizontal="center" vertical="center" textRotation="0" wrapText="false" indent="0" shrinkToFit="false"/>
      <protection locked="true" hidden="false"/>
    </xf>
    <xf numFmtId="164" fontId="17" fillId="5" borderId="8" xfId="0" applyFont="true" applyBorder="true" applyAlignment="true" applyProtection="false">
      <alignment horizontal="center" vertical="center" textRotation="0" wrapText="false" indent="0" shrinkToFit="false"/>
      <protection locked="true" hidden="false"/>
    </xf>
    <xf numFmtId="164" fontId="17" fillId="8" borderId="8" xfId="0" applyFont="true" applyBorder="true" applyAlignment="true" applyProtection="false">
      <alignment horizontal="center" vertical="center" textRotation="0" wrapText="false" indent="0" shrinkToFit="false"/>
      <protection locked="true" hidden="false"/>
    </xf>
    <xf numFmtId="164" fontId="23" fillId="10"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55724"/>
      </font>
      <fill>
        <patternFill>
          <bgColor rgb="FFD4EDDA"/>
        </patternFill>
      </fill>
    </dxf>
    <dxf>
      <font>
        <name val="Arial"/>
        <charset val="1"/>
        <family val="0"/>
        <b val="1"/>
        <color rgb="FF721C24"/>
      </font>
      <fill>
        <patternFill>
          <bgColor rgb="FFF8D7DA"/>
        </patternFill>
      </fill>
    </dxf>
  </dxfs>
  <colors>
    <indexedColors>
      <rgbColor rgb="FF000000"/>
      <rgbColor rgb="FFFFFFFF"/>
      <rgbColor rgb="FFFF0000"/>
      <rgbColor rgb="FF00FF00"/>
      <rgbColor rgb="FF0000FF"/>
      <rgbColor rgb="FFFFFF00"/>
      <rgbColor rgb="FFFF00FF"/>
      <rgbColor rgb="FF00FFFF"/>
      <rgbColor rgb="FF721C24"/>
      <rgbColor rgb="FF008000"/>
      <rgbColor rgb="FF000080"/>
      <rgbColor rgb="FF856404"/>
      <rgbColor rgb="FF800080"/>
      <rgbColor rgb="FF1F6B3A"/>
      <rgbColor rgb="FFF4F7FB"/>
      <rgbColor rgb="FF808080"/>
      <rgbColor rgb="FF9999FF"/>
      <rgbColor rgb="FF993366"/>
      <rgbColor rgb="FFFFFDE7"/>
      <rgbColor rgb="FFEBF3FA"/>
      <rgbColor rgb="FF660066"/>
      <rgbColor rgb="FFFF8080"/>
      <rgbColor rgb="FF0066CC"/>
      <rgbColor rgb="FFCBD8E8"/>
      <rgbColor rgb="FF000080"/>
      <rgbColor rgb="FFFF00FF"/>
      <rgbColor rgb="FFFFFF00"/>
      <rgbColor rgb="FF00FFFF"/>
      <rgbColor rgb="FF800080"/>
      <rgbColor rgb="FF800000"/>
      <rgbColor rgb="FF008080"/>
      <rgbColor rgb="FF0000FF"/>
      <rgbColor rgb="FF00CCFF"/>
      <rgbColor rgb="FFD6E4F0"/>
      <rgbColor rgb="FFD4EDDA"/>
      <rgbColor rgb="FFFFF3CD"/>
      <rgbColor rgb="FF99CCFF"/>
      <rgbColor rgb="FFFF99CC"/>
      <rgbColor rgb="FFCC99FF"/>
      <rgbColor rgb="FFF8D7DA"/>
      <rgbColor rgb="FF3366FF"/>
      <rgbColor rgb="FF33CCCC"/>
      <rgbColor rgb="FF99CC00"/>
      <rgbColor rgb="FFFFCC00"/>
      <rgbColor rgb="FFFF9900"/>
      <rgbColor rgb="FFFF6600"/>
      <rgbColor rgb="FF5A6A7E"/>
      <rgbColor rgb="FFC9A84C"/>
      <rgbColor rgb="FF003366"/>
      <rgbColor rgb="FF339966"/>
      <rgbColor rgb="FF0A1628"/>
      <rgbColor rgb="FF155724"/>
      <rgbColor rgb="FF8B1A1A"/>
      <rgbColor rgb="FF993366"/>
      <rgbColor rgb="FF1A3A8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628"/>
    <pageSetUpPr fitToPage="false"/>
  </sheetPr>
  <dimension ref="A1: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2"/>
    <col collapsed="false" customWidth="true" hidden="false" outlineLevel="0" max="3" min="3" style="1" width="52"/>
    <col collapsed="false" customWidth="true" hidden="false" outlineLevel="0" max="4" min="4" style="1" width="2"/>
  </cols>
  <sheetData>
    <row r="1" customFormat="false" ht="6" hidden="false" customHeight="true" outlineLevel="0" collapsed="false"/>
    <row r="2" customFormat="false" ht="37.5" hidden="false" customHeight="true" outlineLevel="0" collapsed="false">
      <c r="A2" s="2" t="s">
        <v>0</v>
      </c>
      <c r="B2" s="2"/>
      <c r="C2" s="2"/>
    </row>
    <row r="3" customFormat="false" ht="18" hidden="false" customHeight="true" outlineLevel="0" collapsed="false">
      <c r="A3" s="3" t="s">
        <v>1</v>
      </c>
      <c r="B3" s="3"/>
      <c r="C3" s="3"/>
    </row>
    <row r="4" customFormat="false" ht="7.5" hidden="false" customHeight="true" outlineLevel="0" collapsed="false"/>
    <row r="5" customFormat="false" ht="19.5" hidden="false" customHeight="true" outlineLevel="0" collapsed="false">
      <c r="B5" s="4" t="s">
        <v>2</v>
      </c>
    </row>
    <row r="6" customFormat="false" ht="45.75" hidden="false" customHeight="true" outlineLevel="0" collapsed="false">
      <c r="B6" s="5" t="s">
        <v>3</v>
      </c>
      <c r="C6" s="5"/>
    </row>
    <row r="7" customFormat="false" ht="7.5" hidden="false" customHeight="true" outlineLevel="0" collapsed="false"/>
    <row r="8" customFormat="false" ht="19.5" hidden="false" customHeight="true" outlineLevel="0" collapsed="false">
      <c r="B8" s="4" t="s">
        <v>4</v>
      </c>
    </row>
    <row r="9" customFormat="false" ht="45.75" hidden="false" customHeight="true" outlineLevel="0" collapsed="false">
      <c r="B9" s="5" t="s">
        <v>5</v>
      </c>
      <c r="C9" s="5"/>
    </row>
    <row r="10" customFormat="false" ht="7.5" hidden="false" customHeight="true" outlineLevel="0" collapsed="false"/>
    <row r="11" customFormat="false" ht="19.5" hidden="false" customHeight="true" outlineLevel="0" collapsed="false">
      <c r="B11" s="4" t="s">
        <v>6</v>
      </c>
    </row>
    <row r="12" customFormat="false" ht="45.75" hidden="false" customHeight="true" outlineLevel="0" collapsed="false">
      <c r="B12" s="5" t="s">
        <v>7</v>
      </c>
      <c r="C12" s="5"/>
    </row>
    <row r="13" customFormat="false" ht="7.5" hidden="false" customHeight="true" outlineLevel="0" collapsed="false"/>
    <row r="14" customFormat="false" ht="19.5" hidden="false" customHeight="true" outlineLevel="0" collapsed="false">
      <c r="B14" s="4" t="s">
        <v>8</v>
      </c>
    </row>
    <row r="15" customFormat="false" ht="45.75" hidden="false" customHeight="true" outlineLevel="0" collapsed="false">
      <c r="B15" s="5" t="s">
        <v>9</v>
      </c>
      <c r="C15" s="5"/>
    </row>
    <row r="16" customFormat="false" ht="7.5" hidden="false" customHeight="true" outlineLevel="0" collapsed="false"/>
    <row r="17" customFormat="false" ht="19.5" hidden="false" customHeight="true" outlineLevel="0" collapsed="false">
      <c r="B17" s="4" t="s">
        <v>10</v>
      </c>
    </row>
    <row r="18" customFormat="false" ht="45.75" hidden="false" customHeight="true" outlineLevel="0" collapsed="false">
      <c r="B18" s="5" t="s">
        <v>11</v>
      </c>
      <c r="C18" s="5"/>
    </row>
    <row r="19" customFormat="false" ht="7.5" hidden="false" customHeight="true" outlineLevel="0" collapsed="false"/>
    <row r="20" customFormat="false" ht="19.5" hidden="false" customHeight="true" outlineLevel="0" collapsed="false">
      <c r="B20" s="4" t="s">
        <v>12</v>
      </c>
    </row>
    <row r="21" customFormat="false" ht="45.75" hidden="false" customHeight="true" outlineLevel="0" collapsed="false">
      <c r="B21" s="5" t="s">
        <v>13</v>
      </c>
      <c r="C21" s="5"/>
    </row>
    <row r="22" customFormat="false" ht="7.5" hidden="false" customHeight="true" outlineLevel="0" collapsed="false"/>
    <row r="23" customFormat="false" ht="19.5" hidden="false" customHeight="true" outlineLevel="0" collapsed="false">
      <c r="B23" s="4" t="s">
        <v>14</v>
      </c>
    </row>
    <row r="24" customFormat="false" ht="45.75" hidden="false" customHeight="true" outlineLevel="0" collapsed="false">
      <c r="B24" s="5" t="s">
        <v>15</v>
      </c>
      <c r="C24" s="5"/>
    </row>
    <row r="26" customFormat="false" ht="19.5" hidden="false" customHeight="true" outlineLevel="0" collapsed="false">
      <c r="B26" s="6" t="s">
        <v>16</v>
      </c>
    </row>
    <row r="27" customFormat="false" ht="18" hidden="false" customHeight="true" outlineLevel="0" collapsed="false">
      <c r="B27" s="7" t="s">
        <v>17</v>
      </c>
      <c r="C27" s="7"/>
    </row>
    <row r="28" customFormat="false" ht="18" hidden="false" customHeight="true" outlineLevel="0" collapsed="false">
      <c r="B28" s="7" t="s">
        <v>18</v>
      </c>
      <c r="C28" s="7"/>
    </row>
    <row r="29" customFormat="false" ht="18" hidden="false" customHeight="true" outlineLevel="0" collapsed="false">
      <c r="B29" s="7" t="s">
        <v>19</v>
      </c>
      <c r="C29" s="7"/>
    </row>
    <row r="30" customFormat="false" ht="18" hidden="false" customHeight="true" outlineLevel="0" collapsed="false">
      <c r="B30" s="7" t="s">
        <v>20</v>
      </c>
      <c r="C30" s="7"/>
    </row>
    <row r="31" customFormat="false" ht="18" hidden="false" customHeight="true" outlineLevel="0" collapsed="false">
      <c r="B31" s="7" t="s">
        <v>21</v>
      </c>
      <c r="C31" s="7"/>
    </row>
    <row r="32" customFormat="false" ht="18" hidden="false" customHeight="true" outlineLevel="0" collapsed="false">
      <c r="B32" s="7" t="s">
        <v>22</v>
      </c>
      <c r="C32" s="7"/>
    </row>
    <row r="33" customFormat="false" ht="18" hidden="false" customHeight="true" outlineLevel="0" collapsed="false">
      <c r="B33" s="7" t="s">
        <v>23</v>
      </c>
      <c r="C33" s="7"/>
    </row>
    <row r="34" customFormat="false" ht="18" hidden="false" customHeight="true" outlineLevel="0" collapsed="false">
      <c r="B34" s="7" t="s">
        <v>24</v>
      </c>
      <c r="C34" s="7"/>
    </row>
    <row r="35" customFormat="false" ht="18" hidden="false" customHeight="true" outlineLevel="0" collapsed="false">
      <c r="B35" s="7" t="s">
        <v>25</v>
      </c>
      <c r="C35" s="7"/>
    </row>
    <row r="36" customFormat="false" ht="18" hidden="false" customHeight="true" outlineLevel="0" collapsed="false">
      <c r="B36" s="7" t="s">
        <v>26</v>
      </c>
      <c r="C36" s="7"/>
    </row>
    <row r="37" customFormat="false" ht="18" hidden="false" customHeight="true" outlineLevel="0" collapsed="false">
      <c r="B37" s="7" t="s">
        <v>27</v>
      </c>
      <c r="C37" s="7"/>
    </row>
  </sheetData>
  <mergeCells count="20">
    <mergeCell ref="A2:C2"/>
    <mergeCell ref="A3:C3"/>
    <mergeCell ref="B6:C6"/>
    <mergeCell ref="B9:C9"/>
    <mergeCell ref="B12:C12"/>
    <mergeCell ref="B15:C15"/>
    <mergeCell ref="B18:C18"/>
    <mergeCell ref="B21:C21"/>
    <mergeCell ref="B24:C24"/>
    <mergeCell ref="B27:C27"/>
    <mergeCell ref="B28:C28"/>
    <mergeCell ref="B29:C29"/>
    <mergeCell ref="B30:C30"/>
    <mergeCell ref="B31:C31"/>
    <mergeCell ref="B32:C32"/>
    <mergeCell ref="B33:C33"/>
    <mergeCell ref="B34:C34"/>
    <mergeCell ref="B35:C35"/>
    <mergeCell ref="B36:C36"/>
    <mergeCell ref="B37:C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A84C"/>
    <pageSetUpPr fitToPage="false"/>
  </sheetPr>
  <dimension ref="A1:I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0"/>
    <col collapsed="false" customWidth="true" hidden="false" outlineLevel="0" max="5" min="3" style="1" width="16"/>
    <col collapsed="false" customWidth="true" hidden="false" outlineLevel="0" max="9" min="6" style="1" width="14"/>
    <col collapsed="false" customWidth="true" hidden="false" outlineLevel="0" max="10" min="10" style="1" width="2"/>
  </cols>
  <sheetData>
    <row r="1" customFormat="false" ht="6" hidden="false" customHeight="true" outlineLevel="0" collapsed="false"/>
    <row r="2" customFormat="false" ht="37.5" hidden="false" customHeight="true" outlineLevel="0" collapsed="false">
      <c r="A2" s="2" t="s">
        <v>28</v>
      </c>
      <c r="B2" s="2"/>
      <c r="C2" s="2"/>
      <c r="D2" s="2"/>
      <c r="E2" s="2"/>
      <c r="F2" s="2"/>
      <c r="G2" s="2"/>
      <c r="H2" s="2"/>
      <c r="I2" s="2"/>
    </row>
    <row r="3" customFormat="false" ht="18" hidden="false" customHeight="true" outlineLevel="0" collapsed="false">
      <c r="A3" s="3" t="s">
        <v>29</v>
      </c>
      <c r="B3" s="3"/>
      <c r="C3" s="3"/>
      <c r="D3" s="3"/>
      <c r="E3" s="3"/>
      <c r="F3" s="3"/>
      <c r="G3" s="3"/>
      <c r="H3" s="3"/>
      <c r="I3" s="3"/>
    </row>
    <row r="4" customFormat="false" ht="30" hidden="false" customHeight="true" outlineLevel="0" collapsed="false">
      <c r="A4" s="8" t="s">
        <v>30</v>
      </c>
      <c r="B4" s="8"/>
      <c r="C4" s="8"/>
      <c r="D4" s="8"/>
      <c r="E4" s="8"/>
      <c r="F4" s="8"/>
      <c r="G4" s="8"/>
      <c r="H4" s="8"/>
      <c r="I4" s="8"/>
    </row>
    <row r="5" customFormat="false" ht="7.5" hidden="false" customHeight="true" outlineLevel="0" collapsed="false"/>
    <row r="6" customFormat="false" ht="30" hidden="false" customHeight="true" outlineLevel="0" collapsed="false">
      <c r="B6" s="9" t="s">
        <v>31</v>
      </c>
      <c r="D6" s="9" t="s">
        <v>32</v>
      </c>
      <c r="F6" s="9" t="s">
        <v>33</v>
      </c>
      <c r="H6" s="9" t="s">
        <v>34</v>
      </c>
    </row>
    <row r="7" customFormat="false" ht="21.75" hidden="false" customHeight="true" outlineLevel="0" collapsed="false">
      <c r="B7" s="10" t="s">
        <v>35</v>
      </c>
      <c r="C7" s="11"/>
      <c r="D7" s="12" t="n">
        <f aca="false">'Client 1'!G22</f>
        <v>0</v>
      </c>
      <c r="E7" s="11"/>
      <c r="F7" s="12" t="n">
        <f aca="false">'Client 2'!G22</f>
        <v>0</v>
      </c>
      <c r="G7" s="11"/>
      <c r="H7" s="12" t="n">
        <f aca="false">'Client 3'!G22</f>
        <v>0</v>
      </c>
      <c r="I7" s="13"/>
    </row>
    <row r="8" customFormat="false" ht="21.75" hidden="false" customHeight="true" outlineLevel="0" collapsed="false">
      <c r="B8" s="14" t="s">
        <v>36</v>
      </c>
      <c r="C8" s="13"/>
      <c r="D8" s="15" t="n">
        <f aca="false">'Client 1'!H22</f>
        <v>0</v>
      </c>
      <c r="E8" s="13"/>
      <c r="F8" s="15" t="n">
        <f aca="false">'Client 2'!H22</f>
        <v>0</v>
      </c>
      <c r="G8" s="13"/>
      <c r="H8" s="15" t="n">
        <f aca="false">'Client 3'!H22</f>
        <v>0</v>
      </c>
      <c r="I8" s="13"/>
    </row>
    <row r="9" customFormat="false" ht="21.75" hidden="false" customHeight="true" outlineLevel="0" collapsed="false">
      <c r="B9" s="10" t="s">
        <v>37</v>
      </c>
      <c r="C9" s="11"/>
      <c r="D9" s="16" t="str">
        <f aca="false">'Client 1'!I22</f>
        <v/>
      </c>
      <c r="E9" s="11"/>
      <c r="F9" s="16" t="str">
        <f aca="false">'Client 2'!I22</f>
        <v/>
      </c>
      <c r="G9" s="11"/>
      <c r="H9" s="16" t="str">
        <f aca="false">'Client 3'!I22</f>
        <v/>
      </c>
      <c r="I9" s="13"/>
    </row>
    <row r="10" customFormat="false" ht="21.75" hidden="false" customHeight="true" outlineLevel="0" collapsed="false">
      <c r="B10" s="14" t="s">
        <v>38</v>
      </c>
      <c r="C10" s="13"/>
      <c r="D10" s="12" t="n">
        <f aca="false">'Client 1'!G5</f>
        <v>0</v>
      </c>
      <c r="E10" s="13"/>
      <c r="F10" s="12" t="n">
        <f aca="false">'Client 2'!G5</f>
        <v>0</v>
      </c>
      <c r="G10" s="13"/>
      <c r="H10" s="12" t="n">
        <f aca="false">'Client 3'!G5</f>
        <v>0</v>
      </c>
      <c r="I10" s="13"/>
    </row>
    <row r="11" customFormat="false" ht="21.75" hidden="false" customHeight="true" outlineLevel="0" collapsed="false">
      <c r="B11" s="10" t="s">
        <v>39</v>
      </c>
      <c r="C11" s="11"/>
      <c r="D11" s="12" t="n">
        <f aca="false">'Client 1'!I5</f>
        <v>0</v>
      </c>
      <c r="E11" s="11"/>
      <c r="F11" s="12" t="n">
        <f aca="false">'Client 2'!I5</f>
        <v>0</v>
      </c>
      <c r="G11" s="11"/>
      <c r="H11" s="12" t="n">
        <f aca="false">'Client 3'!I5</f>
        <v>0</v>
      </c>
      <c r="I11" s="13"/>
    </row>
  </sheetData>
  <mergeCells count="3">
    <mergeCell ref="A2:I2"/>
    <mergeCell ref="A3:I3"/>
    <mergeCell ref="A4:I4"/>
  </mergeCells>
  <conditionalFormatting sqref="D7">
    <cfRule type="cellIs" priority="2" operator="equal" aboveAverage="0" equalAverage="0" bottom="0" percent="0" rank="0" text="" dxfId="0">
      <formula>1</formula>
    </cfRule>
    <cfRule type="cellIs" priority="3" operator="notEqual" aboveAverage="0" equalAverage="0" bottom="0" percent="0" rank="0" text="" dxfId="1">
      <formula>1</formula>
    </cfRule>
  </conditionalFormatting>
  <conditionalFormatting sqref="F7">
    <cfRule type="cellIs" priority="4" operator="equal" aboveAverage="0" equalAverage="0" bottom="0" percent="0" rank="0" text="" dxfId="0">
      <formula>1</formula>
    </cfRule>
    <cfRule type="cellIs" priority="5" operator="notEqual" aboveAverage="0" equalAverage="0" bottom="0" percent="0" rank="0" text="" dxfId="1">
      <formula>1</formula>
    </cfRule>
  </conditionalFormatting>
  <conditionalFormatting sqref="H7">
    <cfRule type="cellIs" priority="6" operator="equal" aboveAverage="0" equalAverage="0" bottom="0" percent="0" rank="0" text="" dxfId="0">
      <formula>1</formula>
    </cfRule>
    <cfRule type="cellIs" priority="7" operator="notEqual"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B3A"/>
    <pageSetUpPr fitToPage="false"/>
  </sheetPr>
  <dimension ref="A1:M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10"/>
    <col collapsed="false" customWidth="true" hidden="false" outlineLevel="0" max="4" min="4" style="1" width="28"/>
    <col collapsed="false" customWidth="true" hidden="false" outlineLevel="0" max="6" min="5" style="1" width="18"/>
    <col collapsed="false" customWidth="true" hidden="false" outlineLevel="0" max="7" min="7" style="1" width="10"/>
    <col collapsed="false" customWidth="true" hidden="false" outlineLevel="0" max="8" min="8" style="1" width="14"/>
    <col collapsed="false" customWidth="true" hidden="false" outlineLevel="0" max="9" min="9" style="1" width="9"/>
    <col collapsed="false" customWidth="true" hidden="false" outlineLevel="0" max="10" min="10" style="1" width="14"/>
    <col collapsed="false" customWidth="true" hidden="false" outlineLevel="0" max="11" min="11" style="1" width="22"/>
    <col collapsed="false" customWidth="true" hidden="false" outlineLevel="0" max="12" min="12" style="1" width="24"/>
    <col collapsed="false" customWidth="true" hidden="false" outlineLevel="0" max="13" min="13" style="1" width="2"/>
  </cols>
  <sheetData>
    <row r="1" customFormat="false" ht="6" hidden="false" customHeight="true" outlineLevel="0" collapsed="false"/>
    <row r="2" customFormat="false" ht="37.5" hidden="false" customHeight="true" outlineLevel="0" collapsed="false">
      <c r="A2" s="2" t="s">
        <v>40</v>
      </c>
      <c r="B2" s="2"/>
      <c r="C2" s="2"/>
      <c r="D2" s="2"/>
      <c r="E2" s="2"/>
      <c r="F2" s="2"/>
      <c r="G2" s="2"/>
      <c r="H2" s="2"/>
      <c r="I2" s="2"/>
      <c r="J2" s="2"/>
      <c r="K2" s="2"/>
      <c r="L2" s="2"/>
      <c r="M2" s="2"/>
    </row>
    <row r="3" customFormat="false" ht="18" hidden="false" customHeight="true" outlineLevel="0" collapsed="false">
      <c r="A3" s="3" t="s">
        <v>41</v>
      </c>
      <c r="B3" s="3"/>
      <c r="C3" s="3"/>
      <c r="D3" s="3"/>
      <c r="E3" s="3"/>
      <c r="F3" s="3"/>
      <c r="G3" s="3"/>
      <c r="H3" s="3"/>
      <c r="I3" s="3"/>
      <c r="J3" s="3"/>
      <c r="K3" s="3"/>
      <c r="L3" s="3"/>
      <c r="M3" s="3"/>
    </row>
    <row r="4" customFormat="false" ht="6" hidden="false" customHeight="true" outlineLevel="0" collapsed="false"/>
    <row r="5" customFormat="false" ht="21.75" hidden="false" customHeight="true" outlineLevel="0" collapsed="false">
      <c r="B5" s="17" t="s">
        <v>42</v>
      </c>
      <c r="C5" s="18"/>
      <c r="D5" s="19"/>
      <c r="F5" s="17" t="s">
        <v>43</v>
      </c>
      <c r="G5" s="20"/>
      <c r="H5" s="17" t="s">
        <v>44</v>
      </c>
      <c r="I5" s="20"/>
      <c r="J5" s="17" t="s">
        <v>45</v>
      </c>
      <c r="K5" s="21"/>
      <c r="L5" s="21"/>
    </row>
    <row r="6" customFormat="false" ht="6" hidden="false" customHeight="true" outlineLevel="0" collapsed="false"/>
    <row r="7" customFormat="false" ht="30" hidden="false" customHeight="true" outlineLevel="0" collapsed="false">
      <c r="A7" s="22" t="s">
        <v>46</v>
      </c>
      <c r="B7" s="22"/>
      <c r="C7" s="22"/>
      <c r="D7" s="22"/>
      <c r="E7" s="22"/>
      <c r="F7" s="22"/>
      <c r="G7" s="22"/>
      <c r="H7" s="22"/>
      <c r="I7" s="22"/>
      <c r="J7" s="22"/>
      <c r="K7" s="22"/>
      <c r="L7" s="22"/>
      <c r="M7" s="22"/>
    </row>
    <row r="8" customFormat="false" ht="7.5" hidden="false" customHeight="true" outlineLevel="0" collapsed="false"/>
    <row r="9" customFormat="false" ht="19.5" hidden="false" customHeight="true" outlineLevel="0" collapsed="false">
      <c r="A9" s="23" t="s">
        <v>47</v>
      </c>
      <c r="B9" s="23"/>
      <c r="C9" s="23"/>
      <c r="D9" s="23"/>
      <c r="E9" s="23"/>
      <c r="F9" s="23"/>
      <c r="G9" s="23"/>
      <c r="H9" s="23"/>
      <c r="I9" s="23"/>
      <c r="J9" s="23"/>
      <c r="K9" s="23"/>
      <c r="L9" s="23"/>
      <c r="M9" s="23"/>
    </row>
    <row r="10" customFormat="false" ht="30" hidden="false" customHeight="true" outlineLevel="0" collapsed="false">
      <c r="A10" s="8" t="s">
        <v>48</v>
      </c>
      <c r="B10" s="8"/>
      <c r="C10" s="8"/>
      <c r="D10" s="8"/>
      <c r="E10" s="8"/>
      <c r="F10" s="8"/>
      <c r="G10" s="8"/>
      <c r="H10" s="8"/>
      <c r="I10" s="8"/>
      <c r="J10" s="8"/>
      <c r="K10" s="8"/>
      <c r="L10" s="8"/>
      <c r="M10" s="8"/>
    </row>
    <row r="11" customFormat="false" ht="36" hidden="false" customHeight="true" outlineLevel="0" collapsed="false">
      <c r="B11" s="24" t="s">
        <v>49</v>
      </c>
      <c r="C11" s="24" t="s">
        <v>50</v>
      </c>
      <c r="D11" s="24" t="s">
        <v>51</v>
      </c>
      <c r="E11" s="24" t="s">
        <v>52</v>
      </c>
      <c r="F11" s="24" t="s">
        <v>53</v>
      </c>
      <c r="G11" s="24" t="s">
        <v>54</v>
      </c>
      <c r="H11" s="24" t="s">
        <v>55</v>
      </c>
      <c r="I11" s="24" t="s">
        <v>56</v>
      </c>
      <c r="J11" s="24" t="s">
        <v>57</v>
      </c>
      <c r="K11" s="24" t="s">
        <v>58</v>
      </c>
      <c r="L11" s="24" t="s">
        <v>59</v>
      </c>
    </row>
    <row r="12" customFormat="false" ht="21.75" hidden="false" customHeight="true" outlineLevel="0" collapsed="false">
      <c r="B12" s="25" t="n">
        <f aca="false">1</f>
        <v>1</v>
      </c>
      <c r="C12" s="18"/>
      <c r="D12" s="26"/>
      <c r="E12" s="18"/>
      <c r="F12" s="18"/>
      <c r="G12" s="20"/>
      <c r="H12" s="27" t="str">
        <f aca="false">IF(G12&lt;&gt;"",G12*500000,"")</f>
        <v/>
      </c>
      <c r="I12" s="28"/>
      <c r="J12" s="18"/>
      <c r="K12" s="29"/>
      <c r="L12" s="26"/>
    </row>
    <row r="13" customFormat="false" ht="21.75" hidden="false" customHeight="true" outlineLevel="0" collapsed="false">
      <c r="B13" s="25" t="n">
        <f aca="false">2</f>
        <v>2</v>
      </c>
      <c r="C13" s="18"/>
      <c r="D13" s="26"/>
      <c r="E13" s="18"/>
      <c r="F13" s="18"/>
      <c r="G13" s="20"/>
      <c r="H13" s="27" t="str">
        <f aca="false">IF(G13&lt;&gt;"",G13*500000,"")</f>
        <v/>
      </c>
      <c r="I13" s="28"/>
      <c r="J13" s="18"/>
      <c r="K13" s="29"/>
      <c r="L13" s="26"/>
    </row>
    <row r="14" customFormat="false" ht="21.75" hidden="false" customHeight="true" outlineLevel="0" collapsed="false">
      <c r="B14" s="25" t="n">
        <f aca="false">3</f>
        <v>3</v>
      </c>
      <c r="C14" s="18"/>
      <c r="D14" s="26"/>
      <c r="E14" s="18"/>
      <c r="F14" s="18"/>
      <c r="G14" s="20"/>
      <c r="H14" s="27" t="str">
        <f aca="false">IF(G14&lt;&gt;"",G14*500000,"")</f>
        <v/>
      </c>
      <c r="I14" s="28"/>
      <c r="J14" s="18"/>
      <c r="K14" s="29"/>
      <c r="L14" s="26"/>
    </row>
    <row r="15" customFormat="false" ht="21.75" hidden="false" customHeight="true" outlineLevel="0" collapsed="false">
      <c r="B15" s="25" t="n">
        <f aca="false">4</f>
        <v>4</v>
      </c>
      <c r="C15" s="18"/>
      <c r="D15" s="26"/>
      <c r="E15" s="18"/>
      <c r="F15" s="18"/>
      <c r="G15" s="20"/>
      <c r="H15" s="27" t="str">
        <f aca="false">IF(G15&lt;&gt;"",G15*500000,"")</f>
        <v/>
      </c>
      <c r="I15" s="28"/>
      <c r="J15" s="18"/>
      <c r="K15" s="29"/>
      <c r="L15" s="26"/>
    </row>
    <row r="16" customFormat="false" ht="21.75" hidden="false" customHeight="true" outlineLevel="0" collapsed="false">
      <c r="B16" s="25" t="n">
        <f aca="false">5</f>
        <v>5</v>
      </c>
      <c r="C16" s="18"/>
      <c r="D16" s="26"/>
      <c r="E16" s="18"/>
      <c r="F16" s="18"/>
      <c r="G16" s="20"/>
      <c r="H16" s="27" t="str">
        <f aca="false">IF(G16&lt;&gt;"",G16*500000,"")</f>
        <v/>
      </c>
      <c r="I16" s="28"/>
      <c r="J16" s="18"/>
      <c r="K16" s="29"/>
      <c r="L16" s="26"/>
    </row>
    <row r="17" customFormat="false" ht="21.75" hidden="false" customHeight="true" outlineLevel="0" collapsed="false">
      <c r="B17" s="25" t="n">
        <f aca="false">6</f>
        <v>6</v>
      </c>
      <c r="C17" s="18"/>
      <c r="D17" s="26"/>
      <c r="E17" s="18"/>
      <c r="F17" s="18"/>
      <c r="G17" s="20"/>
      <c r="H17" s="27" t="str">
        <f aca="false">IF(G17&lt;&gt;"",G17*500000,"")</f>
        <v/>
      </c>
      <c r="I17" s="28"/>
      <c r="J17" s="18"/>
      <c r="K17" s="29"/>
      <c r="L17" s="26"/>
    </row>
    <row r="18" customFormat="false" ht="21.75" hidden="false" customHeight="true" outlineLevel="0" collapsed="false">
      <c r="B18" s="25" t="n">
        <f aca="false">7</f>
        <v>7</v>
      </c>
      <c r="C18" s="18"/>
      <c r="D18" s="26"/>
      <c r="E18" s="18"/>
      <c r="F18" s="18"/>
      <c r="G18" s="20"/>
      <c r="H18" s="27" t="str">
        <f aca="false">IF(G18&lt;&gt;"",G18*500000,"")</f>
        <v/>
      </c>
      <c r="I18" s="28"/>
      <c r="J18" s="18"/>
      <c r="K18" s="29"/>
      <c r="L18" s="26"/>
    </row>
    <row r="19" customFormat="false" ht="21.75" hidden="false" customHeight="true" outlineLevel="0" collapsed="false">
      <c r="B19" s="25" t="n">
        <f aca="false">8</f>
        <v>8</v>
      </c>
      <c r="C19" s="18"/>
      <c r="D19" s="26"/>
      <c r="E19" s="18"/>
      <c r="F19" s="18"/>
      <c r="G19" s="20"/>
      <c r="H19" s="27" t="str">
        <f aca="false">IF(G19&lt;&gt;"",G19*500000,"")</f>
        <v/>
      </c>
      <c r="I19" s="28"/>
      <c r="J19" s="18"/>
      <c r="K19" s="29"/>
      <c r="L19" s="26"/>
    </row>
    <row r="20" customFormat="false" ht="21.75" hidden="false" customHeight="true" outlineLevel="0" collapsed="false">
      <c r="B20" s="25" t="n">
        <f aca="false">9</f>
        <v>9</v>
      </c>
      <c r="C20" s="18"/>
      <c r="D20" s="26"/>
      <c r="E20" s="18"/>
      <c r="F20" s="18"/>
      <c r="G20" s="20"/>
      <c r="H20" s="27" t="str">
        <f aca="false">IF(G20&lt;&gt;"",G20*500000,"")</f>
        <v/>
      </c>
      <c r="I20" s="28"/>
      <c r="J20" s="18"/>
      <c r="K20" s="29"/>
      <c r="L20" s="26"/>
    </row>
    <row r="21" customFormat="false" ht="21.75" hidden="false" customHeight="true" outlineLevel="0" collapsed="false">
      <c r="B21" s="25" t="n">
        <f aca="false">10</f>
        <v>10</v>
      </c>
      <c r="C21" s="18"/>
      <c r="D21" s="26"/>
      <c r="E21" s="18"/>
      <c r="F21" s="18"/>
      <c r="G21" s="20"/>
      <c r="H21" s="27" t="str">
        <f aca="false">IF(G21&lt;&gt;"",G21*500000,"")</f>
        <v/>
      </c>
      <c r="I21" s="28"/>
      <c r="J21" s="18"/>
      <c r="K21" s="29"/>
      <c r="L21" s="26"/>
    </row>
    <row r="22" customFormat="false" ht="21.75" hidden="false" customHeight="true" outlineLevel="0" collapsed="false">
      <c r="A22" s="30" t="s">
        <v>60</v>
      </c>
      <c r="B22" s="30"/>
      <c r="C22" s="30"/>
      <c r="D22" s="30"/>
      <c r="E22" s="30"/>
      <c r="F22" s="30"/>
      <c r="G22" s="31" t="n">
        <f aca="false">IFERROR(SUM(G12:G71),0)</f>
        <v>0</v>
      </c>
      <c r="H22" s="32" t="n">
        <f aca="false">IFERROR(SUMIF(G12:G71,"&lt;&gt;",H12:H71),0)</f>
        <v>0</v>
      </c>
      <c r="I22" s="33" t="str">
        <f aca="false">IFERROR(SUMPRODUCT((G12:G71)*IF(ISNUMBER(I12:I71),I12:I71,0))/IFERROR(SUM(G12:G71),1),"")</f>
        <v/>
      </c>
      <c r="J22" s="34" t="s">
        <v>61</v>
      </c>
      <c r="K22" s="35" t="s">
        <v>62</v>
      </c>
      <c r="L22" s="35"/>
      <c r="M22" s="35"/>
    </row>
    <row r="24" customFormat="false" ht="9.75" hidden="false" customHeight="true" outlineLevel="0" collapsed="false"/>
    <row r="25" customFormat="false" ht="19.5" hidden="false" customHeight="true" outlineLevel="0" collapsed="false">
      <c r="A25" s="23" t="s">
        <v>63</v>
      </c>
      <c r="B25" s="23"/>
      <c r="C25" s="23"/>
      <c r="D25" s="23"/>
      <c r="E25" s="23"/>
      <c r="F25" s="23"/>
      <c r="G25" s="23"/>
      <c r="H25" s="23"/>
      <c r="I25" s="23"/>
      <c r="J25" s="23"/>
      <c r="K25" s="23"/>
      <c r="L25" s="23"/>
      <c r="M25" s="23"/>
    </row>
    <row r="26" customFormat="false" ht="30" hidden="false" customHeight="true" outlineLevel="0" collapsed="false">
      <c r="A26" s="22" t="s">
        <v>64</v>
      </c>
      <c r="B26" s="22"/>
      <c r="C26" s="22"/>
      <c r="D26" s="22"/>
      <c r="E26" s="22"/>
      <c r="F26" s="22"/>
      <c r="G26" s="22"/>
      <c r="H26" s="22"/>
      <c r="I26" s="22"/>
      <c r="J26" s="22"/>
      <c r="K26" s="22"/>
      <c r="L26" s="22"/>
      <c r="M26" s="22"/>
    </row>
    <row r="27" customFormat="false" ht="21.75" hidden="false" customHeight="true" outlineLevel="0" collapsed="false">
      <c r="B27" s="17" t="s">
        <v>65</v>
      </c>
      <c r="C27" s="21"/>
      <c r="D27" s="21"/>
      <c r="E27" s="21"/>
      <c r="F27" s="21"/>
      <c r="G27" s="21"/>
      <c r="H27" s="21"/>
      <c r="I27" s="21"/>
      <c r="J27" s="36" t="s">
        <v>66</v>
      </c>
      <c r="K27" s="36"/>
      <c r="L27" s="36"/>
      <c r="M27" s="36"/>
    </row>
    <row r="28" customFormat="false" ht="21.75" hidden="false" customHeight="true" outlineLevel="0" collapsed="false">
      <c r="B28" s="17" t="s">
        <v>67</v>
      </c>
      <c r="C28" s="21"/>
      <c r="D28" s="21"/>
      <c r="E28" s="21"/>
      <c r="F28" s="21"/>
      <c r="G28" s="21"/>
      <c r="H28" s="21"/>
      <c r="I28" s="21"/>
      <c r="J28" s="36" t="s">
        <v>68</v>
      </c>
      <c r="K28" s="36"/>
      <c r="L28" s="36"/>
      <c r="M28" s="36"/>
    </row>
    <row r="29" customFormat="false" ht="21.75" hidden="false" customHeight="true" outlineLevel="0" collapsed="false">
      <c r="B29" s="17" t="s">
        <v>69</v>
      </c>
      <c r="C29" s="21"/>
      <c r="D29" s="21"/>
      <c r="E29" s="21"/>
      <c r="F29" s="21"/>
      <c r="G29" s="21"/>
      <c r="H29" s="21"/>
      <c r="I29" s="21"/>
      <c r="J29" s="36" t="s">
        <v>70</v>
      </c>
      <c r="K29" s="36"/>
      <c r="L29" s="36"/>
      <c r="M29" s="36"/>
    </row>
    <row r="30" customFormat="false" ht="21.75" hidden="false" customHeight="true" outlineLevel="0" collapsed="false">
      <c r="B30" s="17" t="s">
        <v>71</v>
      </c>
      <c r="C30" s="21"/>
      <c r="D30" s="21"/>
      <c r="E30" s="21"/>
      <c r="F30" s="21"/>
      <c r="G30" s="21"/>
      <c r="H30" s="21"/>
      <c r="I30" s="21"/>
      <c r="J30" s="36" t="s">
        <v>72</v>
      </c>
      <c r="K30" s="36"/>
      <c r="L30" s="36"/>
      <c r="M30" s="36"/>
    </row>
    <row r="31" customFormat="false" ht="21.75" hidden="false" customHeight="true" outlineLevel="0" collapsed="false">
      <c r="B31" s="17" t="s">
        <v>73</v>
      </c>
      <c r="C31" s="21"/>
      <c r="D31" s="21"/>
      <c r="E31" s="21"/>
      <c r="F31" s="21"/>
      <c r="G31" s="21"/>
      <c r="H31" s="21"/>
      <c r="I31" s="21"/>
      <c r="J31" s="36" t="s">
        <v>74</v>
      </c>
      <c r="K31" s="36"/>
      <c r="L31" s="36"/>
      <c r="M31" s="36"/>
    </row>
    <row r="32" customFormat="false" ht="21.75" hidden="false" customHeight="true" outlineLevel="0" collapsed="false">
      <c r="B32" s="17" t="s">
        <v>75</v>
      </c>
      <c r="C32" s="21"/>
      <c r="D32" s="21"/>
      <c r="E32" s="21"/>
      <c r="F32" s="21"/>
      <c r="G32" s="21"/>
      <c r="H32" s="21"/>
      <c r="I32" s="21"/>
      <c r="J32" s="36" t="s">
        <v>76</v>
      </c>
      <c r="K32" s="36"/>
      <c r="L32" s="36"/>
      <c r="M32" s="36"/>
    </row>
    <row r="33" customFormat="false" ht="21.75" hidden="false" customHeight="true" outlineLevel="0" collapsed="false">
      <c r="B33" s="17" t="s">
        <v>77</v>
      </c>
      <c r="C33" s="21"/>
      <c r="D33" s="21"/>
      <c r="E33" s="21"/>
      <c r="F33" s="21"/>
      <c r="G33" s="21"/>
      <c r="H33" s="21"/>
      <c r="I33" s="21"/>
      <c r="J33" s="36" t="s">
        <v>78</v>
      </c>
      <c r="K33" s="36"/>
      <c r="L33" s="36"/>
      <c r="M33" s="36"/>
    </row>
    <row r="34" customFormat="false" ht="21.75" hidden="false" customHeight="true" outlineLevel="0" collapsed="false">
      <c r="B34" s="17" t="s">
        <v>79</v>
      </c>
      <c r="C34" s="21"/>
      <c r="D34" s="21"/>
      <c r="E34" s="21"/>
      <c r="F34" s="21"/>
      <c r="G34" s="21"/>
      <c r="H34" s="21"/>
      <c r="I34" s="21"/>
      <c r="J34" s="36" t="s">
        <v>80</v>
      </c>
      <c r="K34" s="36"/>
      <c r="L34" s="36"/>
      <c r="M34" s="36"/>
    </row>
    <row r="35" customFormat="false" ht="21.75" hidden="false" customHeight="true" outlineLevel="0" collapsed="false">
      <c r="B35" s="17" t="s">
        <v>81</v>
      </c>
      <c r="C35" s="21"/>
      <c r="D35" s="21"/>
      <c r="E35" s="21"/>
      <c r="F35" s="21"/>
      <c r="G35" s="21"/>
      <c r="H35" s="21"/>
      <c r="I35" s="21"/>
      <c r="J35" s="36" t="s">
        <v>82</v>
      </c>
      <c r="K35" s="36"/>
      <c r="L35" s="36"/>
      <c r="M35" s="36"/>
    </row>
    <row r="36" customFormat="false" ht="9.75" hidden="false" customHeight="true" outlineLevel="0" collapsed="false"/>
    <row r="37" customFormat="false" ht="19.5" hidden="false" customHeight="true" outlineLevel="0" collapsed="false">
      <c r="B37" s="23" t="s">
        <v>83</v>
      </c>
      <c r="C37" s="23"/>
      <c r="D37" s="23"/>
      <c r="E37" s="23"/>
      <c r="F37" s="23"/>
      <c r="G37" s="23"/>
      <c r="H37" s="23"/>
      <c r="I37" s="23"/>
      <c r="J37" s="23"/>
      <c r="K37" s="23"/>
      <c r="L37" s="23"/>
      <c r="M37" s="23"/>
    </row>
    <row r="38" customFormat="false" ht="30" hidden="false" customHeight="true" outlineLevel="0" collapsed="false">
      <c r="B38" s="24" t="s">
        <v>84</v>
      </c>
      <c r="C38" s="37" t="s">
        <v>85</v>
      </c>
      <c r="D38" s="37"/>
      <c r="E38" s="37"/>
      <c r="F38" s="37" t="s">
        <v>86</v>
      </c>
      <c r="G38" s="37"/>
      <c r="H38" s="37" t="s">
        <v>87</v>
      </c>
      <c r="I38" s="37"/>
      <c r="J38" s="37"/>
      <c r="K38" s="37" t="s">
        <v>88</v>
      </c>
      <c r="L38" s="37"/>
    </row>
    <row r="39" customFormat="false" ht="21.75" hidden="false" customHeight="true" outlineLevel="0" collapsed="false">
      <c r="B39" s="18"/>
      <c r="C39" s="21"/>
      <c r="D39" s="21"/>
      <c r="E39" s="21"/>
      <c r="F39" s="21"/>
      <c r="G39" s="21"/>
      <c r="H39" s="21"/>
      <c r="I39" s="21"/>
      <c r="J39" s="21"/>
      <c r="K39" s="21"/>
      <c r="L39" s="21"/>
    </row>
    <row r="40" customFormat="false" ht="21.75" hidden="false" customHeight="true" outlineLevel="0" collapsed="false">
      <c r="B40" s="18"/>
      <c r="C40" s="21"/>
      <c r="D40" s="21"/>
      <c r="E40" s="21"/>
      <c r="F40" s="21"/>
      <c r="G40" s="21"/>
      <c r="H40" s="21"/>
      <c r="I40" s="21"/>
      <c r="J40" s="21"/>
      <c r="K40" s="21"/>
      <c r="L40" s="21"/>
    </row>
    <row r="41" customFormat="false" ht="9.75" hidden="false" customHeight="true" outlineLevel="0" collapsed="false"/>
    <row r="42" customFormat="false" ht="19.5" hidden="false" customHeight="true" outlineLevel="0" collapsed="false">
      <c r="A42" s="23" t="s">
        <v>89</v>
      </c>
      <c r="B42" s="23"/>
      <c r="C42" s="23"/>
      <c r="D42" s="23"/>
      <c r="E42" s="23"/>
      <c r="F42" s="23"/>
      <c r="G42" s="23"/>
      <c r="H42" s="23"/>
      <c r="I42" s="23"/>
      <c r="J42" s="23"/>
      <c r="K42" s="23"/>
      <c r="L42" s="23"/>
      <c r="M42" s="23"/>
    </row>
    <row r="43" customFormat="false" ht="30" hidden="false" customHeight="true" outlineLevel="0" collapsed="false">
      <c r="A43" s="8" t="s">
        <v>90</v>
      </c>
      <c r="B43" s="8"/>
      <c r="C43" s="8"/>
      <c r="D43" s="8"/>
      <c r="E43" s="8"/>
      <c r="F43" s="8"/>
      <c r="G43" s="8"/>
      <c r="H43" s="8"/>
      <c r="I43" s="8"/>
      <c r="J43" s="8"/>
      <c r="K43" s="8"/>
      <c r="L43" s="8"/>
      <c r="M43" s="8"/>
    </row>
    <row r="44" customFormat="false" ht="19.5" hidden="false" customHeight="true" outlineLevel="0" collapsed="false">
      <c r="A44" s="38" t="s">
        <v>91</v>
      </c>
      <c r="B44" s="38"/>
      <c r="C44" s="38"/>
      <c r="D44" s="38"/>
      <c r="E44" s="38"/>
      <c r="F44" s="38"/>
      <c r="G44" s="38"/>
      <c r="H44" s="38"/>
      <c r="I44" s="38"/>
      <c r="J44" s="38"/>
      <c r="K44" s="38"/>
      <c r="L44" s="38"/>
      <c r="M44" s="38"/>
    </row>
    <row r="45" customFormat="false" ht="25.5" hidden="false" customHeight="true" outlineLevel="0" collapsed="false">
      <c r="B45" s="39" t="s">
        <v>92</v>
      </c>
      <c r="C45" s="21"/>
      <c r="D45" s="21"/>
      <c r="E45" s="21"/>
      <c r="F45" s="21"/>
      <c r="G45" s="21"/>
      <c r="H45" s="21"/>
      <c r="I45" s="21"/>
      <c r="J45" s="21"/>
      <c r="K45" s="21"/>
      <c r="L45" s="21"/>
      <c r="M45" s="21"/>
    </row>
    <row r="46" customFormat="false" ht="25.5" hidden="false" customHeight="true" outlineLevel="0" collapsed="false">
      <c r="B46" s="39" t="s">
        <v>93</v>
      </c>
      <c r="C46" s="21"/>
      <c r="D46" s="21"/>
      <c r="E46" s="21"/>
      <c r="F46" s="21"/>
      <c r="G46" s="21"/>
      <c r="H46" s="21"/>
      <c r="I46" s="21"/>
      <c r="J46" s="21"/>
      <c r="K46" s="21"/>
      <c r="L46" s="21"/>
      <c r="M46" s="21"/>
    </row>
    <row r="47" customFormat="false" ht="25.5" hidden="false" customHeight="true" outlineLevel="0" collapsed="false">
      <c r="B47" s="39" t="s">
        <v>94</v>
      </c>
      <c r="C47" s="21"/>
      <c r="D47" s="21"/>
      <c r="E47" s="21"/>
      <c r="F47" s="21"/>
      <c r="G47" s="21"/>
      <c r="H47" s="21"/>
      <c r="I47" s="21"/>
      <c r="J47" s="21"/>
      <c r="K47" s="21"/>
      <c r="L47" s="21"/>
      <c r="M47" s="21"/>
    </row>
    <row r="48" customFormat="false" ht="25.5" hidden="false" customHeight="true" outlineLevel="0" collapsed="false">
      <c r="B48" s="39" t="s">
        <v>95</v>
      </c>
      <c r="C48" s="21"/>
      <c r="D48" s="21"/>
      <c r="E48" s="21"/>
      <c r="F48" s="21"/>
      <c r="G48" s="21"/>
      <c r="H48" s="21"/>
      <c r="I48" s="21"/>
      <c r="J48" s="21"/>
      <c r="K48" s="21"/>
      <c r="L48" s="21"/>
      <c r="M48" s="21"/>
    </row>
    <row r="49" customFormat="false" ht="25.5" hidden="false" customHeight="true" outlineLevel="0" collapsed="false">
      <c r="B49" s="39" t="s">
        <v>96</v>
      </c>
      <c r="C49" s="21"/>
      <c r="D49" s="21"/>
      <c r="E49" s="21"/>
      <c r="F49" s="21"/>
      <c r="G49" s="21"/>
      <c r="H49" s="21"/>
      <c r="I49" s="21"/>
      <c r="J49" s="21"/>
      <c r="K49" s="21"/>
      <c r="L49" s="21"/>
      <c r="M49" s="21"/>
    </row>
    <row r="50" customFormat="false" ht="25.5" hidden="false" customHeight="true" outlineLevel="0" collapsed="false">
      <c r="B50" s="39" t="s">
        <v>97</v>
      </c>
      <c r="C50" s="21"/>
      <c r="D50" s="21"/>
      <c r="E50" s="21"/>
      <c r="F50" s="21"/>
      <c r="G50" s="21"/>
      <c r="H50" s="21"/>
      <c r="I50" s="21"/>
      <c r="J50" s="21"/>
      <c r="K50" s="21"/>
      <c r="L50" s="21"/>
      <c r="M50" s="21"/>
    </row>
    <row r="51" customFormat="false" ht="25.5" hidden="false" customHeight="true" outlineLevel="0" collapsed="false">
      <c r="B51" s="39" t="s">
        <v>98</v>
      </c>
      <c r="C51" s="21"/>
      <c r="D51" s="21"/>
      <c r="E51" s="21"/>
      <c r="F51" s="21"/>
      <c r="G51" s="21"/>
      <c r="H51" s="21"/>
      <c r="I51" s="21"/>
      <c r="J51" s="21"/>
      <c r="K51" s="21"/>
      <c r="L51" s="21"/>
      <c r="M51" s="21"/>
    </row>
    <row r="52" customFormat="false" ht="6" hidden="false" customHeight="true" outlineLevel="0" collapsed="false"/>
    <row r="53" customFormat="false" ht="19.5" hidden="false" customHeight="true" outlineLevel="0" collapsed="false">
      <c r="A53" s="38" t="s">
        <v>99</v>
      </c>
      <c r="B53" s="38"/>
      <c r="C53" s="38"/>
      <c r="D53" s="38"/>
      <c r="E53" s="38"/>
      <c r="F53" s="38"/>
      <c r="G53" s="38"/>
      <c r="H53" s="38"/>
      <c r="I53" s="38"/>
      <c r="J53" s="38"/>
      <c r="K53" s="38"/>
      <c r="L53" s="38"/>
      <c r="M53" s="38"/>
    </row>
    <row r="54" customFormat="false" ht="25.5" hidden="false" customHeight="true" outlineLevel="0" collapsed="false">
      <c r="B54" s="39" t="s">
        <v>92</v>
      </c>
      <c r="C54" s="21"/>
      <c r="D54" s="21"/>
      <c r="E54" s="21"/>
      <c r="F54" s="21"/>
      <c r="G54" s="21"/>
      <c r="H54" s="21"/>
      <c r="I54" s="21"/>
      <c r="J54" s="21"/>
      <c r="K54" s="21"/>
      <c r="L54" s="21"/>
      <c r="M54" s="21"/>
    </row>
    <row r="55" customFormat="false" ht="25.5" hidden="false" customHeight="true" outlineLevel="0" collapsed="false">
      <c r="B55" s="39" t="s">
        <v>93</v>
      </c>
      <c r="C55" s="21"/>
      <c r="D55" s="21"/>
      <c r="E55" s="21"/>
      <c r="F55" s="21"/>
      <c r="G55" s="21"/>
      <c r="H55" s="21"/>
      <c r="I55" s="21"/>
      <c r="J55" s="21"/>
      <c r="K55" s="21"/>
      <c r="L55" s="21"/>
      <c r="M55" s="21"/>
    </row>
    <row r="56" customFormat="false" ht="25.5" hidden="false" customHeight="true" outlineLevel="0" collapsed="false">
      <c r="B56" s="39" t="s">
        <v>94</v>
      </c>
      <c r="C56" s="21"/>
      <c r="D56" s="21"/>
      <c r="E56" s="21"/>
      <c r="F56" s="21"/>
      <c r="G56" s="21"/>
      <c r="H56" s="21"/>
      <c r="I56" s="21"/>
      <c r="J56" s="21"/>
      <c r="K56" s="21"/>
      <c r="L56" s="21"/>
      <c r="M56" s="21"/>
    </row>
    <row r="57" customFormat="false" ht="25.5" hidden="false" customHeight="true" outlineLevel="0" collapsed="false">
      <c r="B57" s="39" t="s">
        <v>95</v>
      </c>
      <c r="C57" s="21"/>
      <c r="D57" s="21"/>
      <c r="E57" s="21"/>
      <c r="F57" s="21"/>
      <c r="G57" s="21"/>
      <c r="H57" s="21"/>
      <c r="I57" s="21"/>
      <c r="J57" s="21"/>
      <c r="K57" s="21"/>
      <c r="L57" s="21"/>
      <c r="M57" s="21"/>
    </row>
    <row r="58" customFormat="false" ht="25.5" hidden="false" customHeight="true" outlineLevel="0" collapsed="false">
      <c r="B58" s="39" t="s">
        <v>96</v>
      </c>
      <c r="C58" s="21"/>
      <c r="D58" s="21"/>
      <c r="E58" s="21"/>
      <c r="F58" s="21"/>
      <c r="G58" s="21"/>
      <c r="H58" s="21"/>
      <c r="I58" s="21"/>
      <c r="J58" s="21"/>
      <c r="K58" s="21"/>
      <c r="L58" s="21"/>
      <c r="M58" s="21"/>
    </row>
    <row r="59" customFormat="false" ht="25.5" hidden="false" customHeight="true" outlineLevel="0" collapsed="false">
      <c r="B59" s="39" t="s">
        <v>97</v>
      </c>
      <c r="C59" s="21"/>
      <c r="D59" s="21"/>
      <c r="E59" s="21"/>
      <c r="F59" s="21"/>
      <c r="G59" s="21"/>
      <c r="H59" s="21"/>
      <c r="I59" s="21"/>
      <c r="J59" s="21"/>
      <c r="K59" s="21"/>
      <c r="L59" s="21"/>
      <c r="M59" s="21"/>
    </row>
    <row r="60" customFormat="false" ht="25.5" hidden="false" customHeight="true" outlineLevel="0" collapsed="false">
      <c r="B60" s="39" t="s">
        <v>98</v>
      </c>
      <c r="C60" s="21"/>
      <c r="D60" s="21"/>
      <c r="E60" s="21"/>
      <c r="F60" s="21"/>
      <c r="G60" s="21"/>
      <c r="H60" s="21"/>
      <c r="I60" s="21"/>
      <c r="J60" s="21"/>
      <c r="K60" s="21"/>
      <c r="L60" s="21"/>
      <c r="M60" s="21"/>
    </row>
    <row r="61" customFormat="false" ht="6" hidden="false" customHeight="true" outlineLevel="0" collapsed="false"/>
    <row r="62" customFormat="false" ht="19.5" hidden="false" customHeight="true" outlineLevel="0" collapsed="false">
      <c r="A62" s="38" t="s">
        <v>100</v>
      </c>
      <c r="B62" s="38"/>
      <c r="C62" s="38"/>
      <c r="D62" s="38"/>
      <c r="E62" s="38"/>
      <c r="F62" s="38"/>
      <c r="G62" s="38"/>
      <c r="H62" s="38"/>
      <c r="I62" s="38"/>
      <c r="J62" s="38"/>
      <c r="K62" s="38"/>
      <c r="L62" s="38"/>
      <c r="M62" s="38"/>
    </row>
    <row r="63" customFormat="false" ht="25.5" hidden="false" customHeight="true" outlineLevel="0" collapsed="false">
      <c r="B63" s="39" t="s">
        <v>92</v>
      </c>
      <c r="C63" s="21"/>
      <c r="D63" s="21"/>
      <c r="E63" s="21"/>
      <c r="F63" s="21"/>
      <c r="G63" s="21"/>
      <c r="H63" s="21"/>
      <c r="I63" s="21"/>
      <c r="J63" s="21"/>
      <c r="K63" s="21"/>
      <c r="L63" s="21"/>
      <c r="M63" s="21"/>
    </row>
    <row r="64" customFormat="false" ht="25.5" hidden="false" customHeight="true" outlineLevel="0" collapsed="false">
      <c r="B64" s="39" t="s">
        <v>93</v>
      </c>
      <c r="C64" s="21"/>
      <c r="D64" s="21"/>
      <c r="E64" s="21"/>
      <c r="F64" s="21"/>
      <c r="G64" s="21"/>
      <c r="H64" s="21"/>
      <c r="I64" s="21"/>
      <c r="J64" s="21"/>
      <c r="K64" s="21"/>
      <c r="L64" s="21"/>
      <c r="M64" s="21"/>
    </row>
    <row r="65" customFormat="false" ht="25.5" hidden="false" customHeight="true" outlineLevel="0" collapsed="false">
      <c r="B65" s="39" t="s">
        <v>94</v>
      </c>
      <c r="C65" s="21"/>
      <c r="D65" s="21"/>
      <c r="E65" s="21"/>
      <c r="F65" s="21"/>
      <c r="G65" s="21"/>
      <c r="H65" s="21"/>
      <c r="I65" s="21"/>
      <c r="J65" s="21"/>
      <c r="K65" s="21"/>
      <c r="L65" s="21"/>
      <c r="M65" s="21"/>
    </row>
    <row r="66" customFormat="false" ht="25.5" hidden="false" customHeight="true" outlineLevel="0" collapsed="false">
      <c r="B66" s="39" t="s">
        <v>95</v>
      </c>
      <c r="C66" s="21"/>
      <c r="D66" s="21"/>
      <c r="E66" s="21"/>
      <c r="F66" s="21"/>
      <c r="G66" s="21"/>
      <c r="H66" s="21"/>
      <c r="I66" s="21"/>
      <c r="J66" s="21"/>
      <c r="K66" s="21"/>
      <c r="L66" s="21"/>
      <c r="M66" s="21"/>
    </row>
    <row r="67" customFormat="false" ht="25.5" hidden="false" customHeight="true" outlineLevel="0" collapsed="false">
      <c r="B67" s="39" t="s">
        <v>96</v>
      </c>
      <c r="C67" s="21"/>
      <c r="D67" s="21"/>
      <c r="E67" s="21"/>
      <c r="F67" s="21"/>
      <c r="G67" s="21"/>
      <c r="H67" s="21"/>
      <c r="I67" s="21"/>
      <c r="J67" s="21"/>
      <c r="K67" s="21"/>
      <c r="L67" s="21"/>
      <c r="M67" s="21"/>
    </row>
    <row r="68" customFormat="false" ht="25.5" hidden="false" customHeight="true" outlineLevel="0" collapsed="false">
      <c r="B68" s="39" t="s">
        <v>97</v>
      </c>
      <c r="C68" s="21"/>
      <c r="D68" s="21"/>
      <c r="E68" s="21"/>
      <c r="F68" s="21"/>
      <c r="G68" s="21"/>
      <c r="H68" s="21"/>
      <c r="I68" s="21"/>
      <c r="J68" s="21"/>
      <c r="K68" s="21"/>
      <c r="L68" s="21"/>
      <c r="M68" s="21"/>
    </row>
    <row r="69" customFormat="false" ht="25.5" hidden="false" customHeight="true" outlineLevel="0" collapsed="false">
      <c r="B69" s="39" t="s">
        <v>98</v>
      </c>
      <c r="C69" s="21"/>
      <c r="D69" s="21"/>
      <c r="E69" s="21"/>
      <c r="F69" s="21"/>
      <c r="G69" s="21"/>
      <c r="H69" s="21"/>
      <c r="I69" s="21"/>
      <c r="J69" s="21"/>
      <c r="K69" s="21"/>
      <c r="L69" s="21"/>
      <c r="M69" s="21"/>
    </row>
    <row r="70" customFormat="false" ht="6" hidden="false" customHeight="true" outlineLevel="0" collapsed="false"/>
    <row r="71" customFormat="false" ht="19.5" hidden="false" customHeight="true" outlineLevel="0" collapsed="false">
      <c r="A71" s="38" t="s">
        <v>101</v>
      </c>
      <c r="B71" s="38"/>
      <c r="C71" s="38"/>
      <c r="D71" s="38"/>
      <c r="E71" s="38"/>
      <c r="F71" s="38"/>
      <c r="G71" s="38"/>
      <c r="H71" s="38"/>
      <c r="I71" s="38"/>
      <c r="J71" s="38"/>
      <c r="K71" s="38"/>
      <c r="L71" s="38"/>
      <c r="M71" s="38"/>
    </row>
    <row r="72" customFormat="false" ht="25.5" hidden="false" customHeight="true" outlineLevel="0" collapsed="false">
      <c r="B72" s="39" t="s">
        <v>92</v>
      </c>
      <c r="C72" s="21"/>
      <c r="D72" s="21"/>
      <c r="E72" s="21"/>
      <c r="F72" s="21"/>
      <c r="G72" s="21"/>
      <c r="H72" s="21"/>
      <c r="I72" s="21"/>
      <c r="J72" s="21"/>
      <c r="K72" s="21"/>
      <c r="L72" s="21"/>
      <c r="M72" s="21"/>
    </row>
    <row r="73" customFormat="false" ht="25.5" hidden="false" customHeight="true" outlineLevel="0" collapsed="false">
      <c r="B73" s="39" t="s">
        <v>93</v>
      </c>
      <c r="C73" s="21"/>
      <c r="D73" s="21"/>
      <c r="E73" s="21"/>
      <c r="F73" s="21"/>
      <c r="G73" s="21"/>
      <c r="H73" s="21"/>
      <c r="I73" s="21"/>
      <c r="J73" s="21"/>
      <c r="K73" s="21"/>
      <c r="L73" s="21"/>
      <c r="M73" s="21"/>
    </row>
    <row r="74" customFormat="false" ht="25.5" hidden="false" customHeight="true" outlineLevel="0" collapsed="false">
      <c r="B74" s="39" t="s">
        <v>94</v>
      </c>
      <c r="C74" s="21"/>
      <c r="D74" s="21"/>
      <c r="E74" s="21"/>
      <c r="F74" s="21"/>
      <c r="G74" s="21"/>
      <c r="H74" s="21"/>
      <c r="I74" s="21"/>
      <c r="J74" s="21"/>
      <c r="K74" s="21"/>
      <c r="L74" s="21"/>
      <c r="M74" s="21"/>
    </row>
    <row r="75" customFormat="false" ht="25.5" hidden="false" customHeight="true" outlineLevel="0" collapsed="false">
      <c r="B75" s="39" t="s">
        <v>95</v>
      </c>
      <c r="C75" s="21"/>
      <c r="D75" s="21"/>
      <c r="E75" s="21"/>
      <c r="F75" s="21"/>
      <c r="G75" s="21"/>
      <c r="H75" s="21"/>
      <c r="I75" s="21"/>
      <c r="J75" s="21"/>
      <c r="K75" s="21"/>
      <c r="L75" s="21"/>
      <c r="M75" s="21"/>
    </row>
    <row r="76" customFormat="false" ht="25.5" hidden="false" customHeight="true" outlineLevel="0" collapsed="false">
      <c r="B76" s="39" t="s">
        <v>96</v>
      </c>
      <c r="C76" s="21"/>
      <c r="D76" s="21"/>
      <c r="E76" s="21"/>
      <c r="F76" s="21"/>
      <c r="G76" s="21"/>
      <c r="H76" s="21"/>
      <c r="I76" s="21"/>
      <c r="J76" s="21"/>
      <c r="K76" s="21"/>
      <c r="L76" s="21"/>
      <c r="M76" s="21"/>
    </row>
    <row r="77" customFormat="false" ht="25.5" hidden="false" customHeight="true" outlineLevel="0" collapsed="false">
      <c r="B77" s="39" t="s">
        <v>97</v>
      </c>
      <c r="C77" s="21"/>
      <c r="D77" s="21"/>
      <c r="E77" s="21"/>
      <c r="F77" s="21"/>
      <c r="G77" s="21"/>
      <c r="H77" s="21"/>
      <c r="I77" s="21"/>
      <c r="J77" s="21"/>
      <c r="K77" s="21"/>
      <c r="L77" s="21"/>
      <c r="M77" s="21"/>
    </row>
    <row r="78" customFormat="false" ht="25.5" hidden="false" customHeight="true" outlineLevel="0" collapsed="false">
      <c r="B78" s="39" t="s">
        <v>98</v>
      </c>
      <c r="C78" s="21"/>
      <c r="D78" s="21"/>
      <c r="E78" s="21"/>
      <c r="F78" s="21"/>
      <c r="G78" s="21"/>
      <c r="H78" s="21"/>
      <c r="I78" s="21"/>
      <c r="J78" s="21"/>
      <c r="K78" s="21"/>
      <c r="L78" s="21"/>
      <c r="M78" s="21"/>
    </row>
    <row r="79" customFormat="false" ht="6" hidden="false" customHeight="true" outlineLevel="0" collapsed="false"/>
    <row r="80" customFormat="false" ht="19.5" hidden="false" customHeight="true" outlineLevel="0" collapsed="false">
      <c r="A80" s="38" t="s">
        <v>102</v>
      </c>
      <c r="B80" s="38"/>
      <c r="C80" s="38"/>
      <c r="D80" s="38"/>
      <c r="E80" s="38"/>
      <c r="F80" s="38"/>
      <c r="G80" s="38"/>
      <c r="H80" s="38"/>
      <c r="I80" s="38"/>
      <c r="J80" s="38"/>
      <c r="K80" s="38"/>
      <c r="L80" s="38"/>
      <c r="M80" s="38"/>
    </row>
    <row r="81" customFormat="false" ht="25.5" hidden="false" customHeight="true" outlineLevel="0" collapsed="false">
      <c r="B81" s="39" t="s">
        <v>92</v>
      </c>
      <c r="C81" s="21"/>
      <c r="D81" s="21"/>
      <c r="E81" s="21"/>
      <c r="F81" s="21"/>
      <c r="G81" s="21"/>
      <c r="H81" s="21"/>
      <c r="I81" s="21"/>
      <c r="J81" s="21"/>
      <c r="K81" s="21"/>
      <c r="L81" s="21"/>
      <c r="M81" s="21"/>
    </row>
    <row r="82" customFormat="false" ht="25.5" hidden="false" customHeight="true" outlineLevel="0" collapsed="false">
      <c r="B82" s="39" t="s">
        <v>93</v>
      </c>
      <c r="C82" s="21"/>
      <c r="D82" s="21"/>
      <c r="E82" s="21"/>
      <c r="F82" s="21"/>
      <c r="G82" s="21"/>
      <c r="H82" s="21"/>
      <c r="I82" s="21"/>
      <c r="J82" s="21"/>
      <c r="K82" s="21"/>
      <c r="L82" s="21"/>
      <c r="M82" s="21"/>
    </row>
    <row r="83" customFormat="false" ht="25.5" hidden="false" customHeight="true" outlineLevel="0" collapsed="false">
      <c r="B83" s="39" t="s">
        <v>94</v>
      </c>
      <c r="C83" s="21"/>
      <c r="D83" s="21"/>
      <c r="E83" s="21"/>
      <c r="F83" s="21"/>
      <c r="G83" s="21"/>
      <c r="H83" s="21"/>
      <c r="I83" s="21"/>
      <c r="J83" s="21"/>
      <c r="K83" s="21"/>
      <c r="L83" s="21"/>
      <c r="M83" s="21"/>
    </row>
    <row r="84" customFormat="false" ht="25.5" hidden="false" customHeight="true" outlineLevel="0" collapsed="false">
      <c r="B84" s="39" t="s">
        <v>95</v>
      </c>
      <c r="C84" s="21"/>
      <c r="D84" s="21"/>
      <c r="E84" s="21"/>
      <c r="F84" s="21"/>
      <c r="G84" s="21"/>
      <c r="H84" s="21"/>
      <c r="I84" s="21"/>
      <c r="J84" s="21"/>
      <c r="K84" s="21"/>
      <c r="L84" s="21"/>
      <c r="M84" s="21"/>
    </row>
    <row r="85" customFormat="false" ht="25.5" hidden="false" customHeight="true" outlineLevel="0" collapsed="false">
      <c r="B85" s="39" t="s">
        <v>96</v>
      </c>
      <c r="C85" s="21"/>
      <c r="D85" s="21"/>
      <c r="E85" s="21"/>
      <c r="F85" s="21"/>
      <c r="G85" s="21"/>
      <c r="H85" s="21"/>
      <c r="I85" s="21"/>
      <c r="J85" s="21"/>
      <c r="K85" s="21"/>
      <c r="L85" s="21"/>
      <c r="M85" s="21"/>
    </row>
    <row r="86" customFormat="false" ht="25.5" hidden="false" customHeight="true" outlineLevel="0" collapsed="false">
      <c r="B86" s="39" t="s">
        <v>97</v>
      </c>
      <c r="C86" s="21"/>
      <c r="D86" s="21"/>
      <c r="E86" s="21"/>
      <c r="F86" s="21"/>
      <c r="G86" s="21"/>
      <c r="H86" s="21"/>
      <c r="I86" s="21"/>
      <c r="J86" s="21"/>
      <c r="K86" s="21"/>
      <c r="L86" s="21"/>
      <c r="M86" s="21"/>
    </row>
    <row r="87" customFormat="false" ht="25.5" hidden="false" customHeight="true" outlineLevel="0" collapsed="false">
      <c r="B87" s="39" t="s">
        <v>98</v>
      </c>
      <c r="C87" s="21"/>
      <c r="D87" s="21"/>
      <c r="E87" s="21"/>
      <c r="F87" s="21"/>
      <c r="G87" s="21"/>
      <c r="H87" s="21"/>
      <c r="I87" s="21"/>
      <c r="J87" s="21"/>
      <c r="K87" s="21"/>
      <c r="L87" s="21"/>
      <c r="M87" s="21"/>
    </row>
    <row r="88" customFormat="false" ht="6" hidden="false" customHeight="true" outlineLevel="0" collapsed="false"/>
    <row r="89" customFormat="false" ht="27.75" hidden="false" customHeight="true" outlineLevel="0" collapsed="false">
      <c r="A89" s="40" t="s">
        <v>103</v>
      </c>
      <c r="B89" s="40"/>
      <c r="C89" s="40"/>
      <c r="D89" s="40"/>
      <c r="E89" s="40"/>
      <c r="F89" s="40"/>
      <c r="G89" s="40"/>
      <c r="H89" s="40"/>
      <c r="I89" s="40"/>
      <c r="J89" s="40"/>
      <c r="K89" s="40"/>
      <c r="L89" s="40"/>
      <c r="M89" s="40"/>
    </row>
    <row r="91" customFormat="false" ht="9.75" hidden="false" customHeight="true" outlineLevel="0" collapsed="false"/>
    <row r="92" customFormat="false" ht="19.5" hidden="false" customHeight="true" outlineLevel="0" collapsed="false">
      <c r="A92" s="23" t="s">
        <v>104</v>
      </c>
      <c r="B92" s="23"/>
      <c r="C92" s="23"/>
      <c r="D92" s="23"/>
      <c r="E92" s="23"/>
      <c r="F92" s="23"/>
      <c r="G92" s="23"/>
      <c r="H92" s="23"/>
      <c r="I92" s="23"/>
      <c r="J92" s="23"/>
      <c r="K92" s="23"/>
      <c r="L92" s="23"/>
      <c r="M92" s="23"/>
    </row>
    <row r="93" customFormat="false" ht="18" hidden="false" customHeight="true" outlineLevel="0" collapsed="false">
      <c r="B93" s="41" t="s">
        <v>105</v>
      </c>
      <c r="C93" s="7" t="s">
        <v>106</v>
      </c>
      <c r="D93" s="7"/>
      <c r="E93" s="7"/>
      <c r="F93" s="7"/>
      <c r="G93" s="7"/>
      <c r="H93" s="7"/>
      <c r="I93" s="7"/>
      <c r="J93" s="7"/>
      <c r="K93" s="7"/>
      <c r="L93" s="7"/>
      <c r="M93" s="7"/>
    </row>
    <row r="94" customFormat="false" ht="18" hidden="false" customHeight="true" outlineLevel="0" collapsed="false">
      <c r="B94" s="42" t="s">
        <v>105</v>
      </c>
      <c r="C94" s="7" t="s">
        <v>107</v>
      </c>
      <c r="D94" s="7"/>
      <c r="E94" s="7"/>
      <c r="F94" s="7"/>
      <c r="G94" s="7"/>
      <c r="H94" s="7"/>
      <c r="I94" s="7"/>
      <c r="J94" s="7"/>
      <c r="K94" s="7"/>
      <c r="L94" s="7"/>
      <c r="M94" s="7"/>
    </row>
    <row r="95" customFormat="false" ht="18" hidden="false" customHeight="true" outlineLevel="0" collapsed="false">
      <c r="B95" s="43" t="s">
        <v>105</v>
      </c>
      <c r="C95" s="7" t="s">
        <v>108</v>
      </c>
      <c r="D95" s="7"/>
      <c r="E95" s="7"/>
      <c r="F95" s="7"/>
      <c r="G95" s="7"/>
      <c r="H95" s="7"/>
      <c r="I95" s="7"/>
      <c r="J95" s="7"/>
      <c r="K95" s="7"/>
      <c r="L95" s="7"/>
      <c r="M95" s="7"/>
    </row>
    <row r="96" customFormat="false" ht="18" hidden="false" customHeight="true" outlineLevel="0" collapsed="false">
      <c r="B96" s="44" t="s">
        <v>105</v>
      </c>
      <c r="C96" s="7" t="s">
        <v>109</v>
      </c>
      <c r="D96" s="7"/>
      <c r="E96" s="7"/>
      <c r="F96" s="7"/>
      <c r="G96" s="7"/>
      <c r="H96" s="7"/>
      <c r="I96" s="7"/>
      <c r="J96" s="7"/>
      <c r="K96" s="7"/>
      <c r="L96" s="7"/>
      <c r="M96" s="7"/>
    </row>
    <row r="97" customFormat="false" ht="18" hidden="false" customHeight="true" outlineLevel="0" collapsed="false">
      <c r="B97" s="45" t="s">
        <v>105</v>
      </c>
      <c r="C97" s="7" t="s">
        <v>110</v>
      </c>
      <c r="D97" s="7"/>
      <c r="E97" s="7"/>
      <c r="F97" s="7"/>
      <c r="G97" s="7"/>
      <c r="H97" s="7"/>
      <c r="I97" s="7"/>
      <c r="J97" s="7"/>
      <c r="K97" s="7"/>
      <c r="L97" s="7"/>
      <c r="M97" s="7"/>
    </row>
  </sheetData>
  <mergeCells count="90">
    <mergeCell ref="A2:M2"/>
    <mergeCell ref="A3:M3"/>
    <mergeCell ref="K5:L5"/>
    <mergeCell ref="A7:M7"/>
    <mergeCell ref="A9:M9"/>
    <mergeCell ref="A10:M10"/>
    <mergeCell ref="A22:F22"/>
    <mergeCell ref="K22:M22"/>
    <mergeCell ref="A25:M25"/>
    <mergeCell ref="A26:M26"/>
    <mergeCell ref="C27:I27"/>
    <mergeCell ref="J27:M27"/>
    <mergeCell ref="C28:I28"/>
    <mergeCell ref="J28:M28"/>
    <mergeCell ref="C29:I29"/>
    <mergeCell ref="J29:M29"/>
    <mergeCell ref="C30:I30"/>
    <mergeCell ref="J30:M30"/>
    <mergeCell ref="C31:I31"/>
    <mergeCell ref="J31:M31"/>
    <mergeCell ref="C32:I32"/>
    <mergeCell ref="J32:M32"/>
    <mergeCell ref="C33:I33"/>
    <mergeCell ref="J33:M33"/>
    <mergeCell ref="C34:I34"/>
    <mergeCell ref="J34:M34"/>
    <mergeCell ref="C35:I35"/>
    <mergeCell ref="J35:M35"/>
    <mergeCell ref="B37:M37"/>
    <mergeCell ref="C38:E38"/>
    <mergeCell ref="F38:G38"/>
    <mergeCell ref="H38:J38"/>
    <mergeCell ref="K38:L38"/>
    <mergeCell ref="C39:E39"/>
    <mergeCell ref="F39:G39"/>
    <mergeCell ref="H39:J39"/>
    <mergeCell ref="K39:L39"/>
    <mergeCell ref="C40:E40"/>
    <mergeCell ref="F40:G40"/>
    <mergeCell ref="H40:J40"/>
    <mergeCell ref="K40:L40"/>
    <mergeCell ref="A42:M42"/>
    <mergeCell ref="A43:M43"/>
    <mergeCell ref="A44:M44"/>
    <mergeCell ref="C45:M45"/>
    <mergeCell ref="C46:M46"/>
    <mergeCell ref="C47:M47"/>
    <mergeCell ref="C48:M48"/>
    <mergeCell ref="C49:M49"/>
    <mergeCell ref="C50:M50"/>
    <mergeCell ref="C51:M51"/>
    <mergeCell ref="A53:M53"/>
    <mergeCell ref="C54:M54"/>
    <mergeCell ref="C55:M55"/>
    <mergeCell ref="C56:M56"/>
    <mergeCell ref="C57:M57"/>
    <mergeCell ref="C58:M58"/>
    <mergeCell ref="C59:M59"/>
    <mergeCell ref="C60:M60"/>
    <mergeCell ref="A62:M62"/>
    <mergeCell ref="C63:M63"/>
    <mergeCell ref="C64:M64"/>
    <mergeCell ref="C65:M65"/>
    <mergeCell ref="C66:M66"/>
    <mergeCell ref="C67:M67"/>
    <mergeCell ref="C68:M68"/>
    <mergeCell ref="C69:M69"/>
    <mergeCell ref="A71:M71"/>
    <mergeCell ref="C72:M72"/>
    <mergeCell ref="C73:M73"/>
    <mergeCell ref="C74:M74"/>
    <mergeCell ref="C75:M75"/>
    <mergeCell ref="C76:M76"/>
    <mergeCell ref="C77:M77"/>
    <mergeCell ref="C78:M78"/>
    <mergeCell ref="A80:M80"/>
    <mergeCell ref="C81:M81"/>
    <mergeCell ref="C82:M82"/>
    <mergeCell ref="C83:M83"/>
    <mergeCell ref="C84:M84"/>
    <mergeCell ref="C85:M85"/>
    <mergeCell ref="C86:M86"/>
    <mergeCell ref="C87:M87"/>
    <mergeCell ref="A89:M89"/>
    <mergeCell ref="A92:M92"/>
    <mergeCell ref="C93:M93"/>
    <mergeCell ref="C94:M94"/>
    <mergeCell ref="C95:M95"/>
    <mergeCell ref="C96:M96"/>
    <mergeCell ref="C97:M97"/>
  </mergeCells>
  <conditionalFormatting sqref="J12">
    <cfRule type="expression" priority="2" aboveAverage="0" equalAverage="0" bottom="0" percent="0" rank="0" text="" dxfId="1">
      <formula>J12="NO"</formula>
    </cfRule>
    <cfRule type="expression" priority="3" aboveAverage="0" equalAverage="0" bottom="0" percent="0" rank="0" text="" dxfId="0">
      <formula>J12="YES"</formula>
    </cfRule>
  </conditionalFormatting>
  <conditionalFormatting sqref="J13">
    <cfRule type="expression" priority="4" aboveAverage="0" equalAverage="0" bottom="0" percent="0" rank="0" text="" dxfId="1">
      <formula>J13="NO"</formula>
    </cfRule>
    <cfRule type="expression" priority="5" aboveAverage="0" equalAverage="0" bottom="0" percent="0" rank="0" text="" dxfId="0">
      <formula>J13="YES"</formula>
    </cfRule>
  </conditionalFormatting>
  <conditionalFormatting sqref="J14">
    <cfRule type="expression" priority="6" aboveAverage="0" equalAverage="0" bottom="0" percent="0" rank="0" text="" dxfId="1">
      <formula>J14="NO"</formula>
    </cfRule>
    <cfRule type="expression" priority="7" aboveAverage="0" equalAverage="0" bottom="0" percent="0" rank="0" text="" dxfId="0">
      <formula>J14="YES"</formula>
    </cfRule>
  </conditionalFormatting>
  <conditionalFormatting sqref="J15">
    <cfRule type="expression" priority="8" aboveAverage="0" equalAverage="0" bottom="0" percent="0" rank="0" text="" dxfId="1">
      <formula>J15="NO"</formula>
    </cfRule>
    <cfRule type="expression" priority="9" aboveAverage="0" equalAverage="0" bottom="0" percent="0" rank="0" text="" dxfId="0">
      <formula>J15="YES"</formula>
    </cfRule>
  </conditionalFormatting>
  <conditionalFormatting sqref="J16">
    <cfRule type="expression" priority="10" aboveAverage="0" equalAverage="0" bottom="0" percent="0" rank="0" text="" dxfId="1">
      <formula>J16="NO"</formula>
    </cfRule>
    <cfRule type="expression" priority="11" aboveAverage="0" equalAverage="0" bottom="0" percent="0" rank="0" text="" dxfId="0">
      <formula>J16="YES"</formula>
    </cfRule>
  </conditionalFormatting>
  <conditionalFormatting sqref="J17">
    <cfRule type="expression" priority="12" aboveAverage="0" equalAverage="0" bottom="0" percent="0" rank="0" text="" dxfId="1">
      <formula>J17="NO"</formula>
    </cfRule>
    <cfRule type="expression" priority="13" aboveAverage="0" equalAverage="0" bottom="0" percent="0" rank="0" text="" dxfId="0">
      <formula>J17="YES"</formula>
    </cfRule>
  </conditionalFormatting>
  <conditionalFormatting sqref="J18">
    <cfRule type="expression" priority="14" aboveAverage="0" equalAverage="0" bottom="0" percent="0" rank="0" text="" dxfId="1">
      <formula>J18="NO"</formula>
    </cfRule>
    <cfRule type="expression" priority="15" aboveAverage="0" equalAverage="0" bottom="0" percent="0" rank="0" text="" dxfId="0">
      <formula>J18="YES"</formula>
    </cfRule>
  </conditionalFormatting>
  <conditionalFormatting sqref="J19">
    <cfRule type="expression" priority="16" aboveAverage="0" equalAverage="0" bottom="0" percent="0" rank="0" text="" dxfId="1">
      <formula>J19="NO"</formula>
    </cfRule>
    <cfRule type="expression" priority="17" aboveAverage="0" equalAverage="0" bottom="0" percent="0" rank="0" text="" dxfId="0">
      <formula>J19="YES"</formula>
    </cfRule>
  </conditionalFormatting>
  <conditionalFormatting sqref="J20">
    <cfRule type="expression" priority="18" aboveAverage="0" equalAverage="0" bottom="0" percent="0" rank="0" text="" dxfId="1">
      <formula>J20="NO"</formula>
    </cfRule>
    <cfRule type="expression" priority="19" aboveAverage="0" equalAverage="0" bottom="0" percent="0" rank="0" text="" dxfId="0">
      <formula>J20="YES"</formula>
    </cfRule>
  </conditionalFormatting>
  <conditionalFormatting sqref="J21">
    <cfRule type="expression" priority="20" aboveAverage="0" equalAverage="0" bottom="0" percent="0" rank="0" text="" dxfId="1">
      <formula>J21="NO"</formula>
    </cfRule>
    <cfRule type="expression" priority="21" aboveAverage="0" equalAverage="0" bottom="0" percent="0" rank="0" text="" dxfId="0">
      <formula>J21="YES"</formula>
    </cfRule>
  </conditionalFormatting>
  <conditionalFormatting sqref="G22">
    <cfRule type="cellIs" priority="22" operator="equal" aboveAverage="0" equalAverage="0" bottom="0" percent="0" rank="0" text="" dxfId="0">
      <formula>1</formula>
    </cfRule>
    <cfRule type="cellIs" priority="23" operator="notEqual" aboveAverage="0" equalAverage="0" bottom="0" percent="0" rank="0" text="" dxfId="1">
      <formula>1</formula>
    </cfRule>
  </conditionalFormatting>
  <dataValidations count="3">
    <dataValidation allowBlank="true" error="Select from dropdown list." errorStyle="stop" errorTitle="Invalid" operator="between" showDropDown="false" showErrorMessage="true" showInputMessage="false" sqref="E12:E21" type="list">
      <formula1>"U.S. Equities,Fixed Income,Cash / Equiv.,International Equity,Real Estate / REIT,Commodities,Derivatives,Other"</formula1>
      <formula2>0</formula2>
    </dataValidation>
    <dataValidation allowBlank="true" error="Select from dropdown list." errorStyle="stop" errorTitle="Invalid" operator="between" showDropDown="false" showErrorMessage="true" showInputMessage="false" sqref="F12:F21" type="list">
      <formula1>"Technology,Healthcare,Financials,Consumer Disc.,Consumer Staples,Energy,Industrials,Materials,Utilities,Real Estate,Communication Svcs.,Government Bond,Corporate Bond,Municipal Bond,Money Market,Commodity,N/A"</formula1>
      <formula2>0</formula2>
    </dataValidation>
    <dataValidation allowBlank="false" error="Must be YES or NO." errorStyle="stop" errorTitle="Required" operator="between" showDropDown="false" showErrorMessage="true" showInputMessage="false" sqref="J12:J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1A1A"/>
    <pageSetUpPr fitToPage="false"/>
  </sheetPr>
  <dimension ref="A1:M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10"/>
    <col collapsed="false" customWidth="true" hidden="false" outlineLevel="0" max="4" min="4" style="1" width="28"/>
    <col collapsed="false" customWidth="true" hidden="false" outlineLevel="0" max="6" min="5" style="1" width="18"/>
    <col collapsed="false" customWidth="true" hidden="false" outlineLevel="0" max="7" min="7" style="1" width="10"/>
    <col collapsed="false" customWidth="true" hidden="false" outlineLevel="0" max="8" min="8" style="1" width="14"/>
    <col collapsed="false" customWidth="true" hidden="false" outlineLevel="0" max="9" min="9" style="1" width="9"/>
    <col collapsed="false" customWidth="true" hidden="false" outlineLevel="0" max="10" min="10" style="1" width="14"/>
    <col collapsed="false" customWidth="true" hidden="false" outlineLevel="0" max="11" min="11" style="1" width="22"/>
    <col collapsed="false" customWidth="true" hidden="false" outlineLevel="0" max="12" min="12" style="1" width="24"/>
    <col collapsed="false" customWidth="true" hidden="false" outlineLevel="0" max="13" min="13" style="1" width="2"/>
  </cols>
  <sheetData>
    <row r="1" customFormat="false" ht="6" hidden="false" customHeight="true" outlineLevel="0" collapsed="false"/>
    <row r="2" customFormat="false" ht="37.5" hidden="false" customHeight="true" outlineLevel="0" collapsed="false">
      <c r="A2" s="2" t="s">
        <v>111</v>
      </c>
      <c r="B2" s="2"/>
      <c r="C2" s="2"/>
      <c r="D2" s="2"/>
      <c r="E2" s="2"/>
      <c r="F2" s="2"/>
      <c r="G2" s="2"/>
      <c r="H2" s="2"/>
      <c r="I2" s="2"/>
      <c r="J2" s="2"/>
      <c r="K2" s="2"/>
      <c r="L2" s="2"/>
      <c r="M2" s="2"/>
    </row>
    <row r="3" customFormat="false" ht="18" hidden="false" customHeight="true" outlineLevel="0" collapsed="false">
      <c r="A3" s="3" t="s">
        <v>41</v>
      </c>
      <c r="B3" s="3"/>
      <c r="C3" s="3"/>
      <c r="D3" s="3"/>
      <c r="E3" s="3"/>
      <c r="F3" s="3"/>
      <c r="G3" s="3"/>
      <c r="H3" s="3"/>
      <c r="I3" s="3"/>
      <c r="J3" s="3"/>
      <c r="K3" s="3"/>
      <c r="L3" s="3"/>
      <c r="M3" s="3"/>
    </row>
    <row r="4" customFormat="false" ht="6" hidden="false" customHeight="true" outlineLevel="0" collapsed="false"/>
    <row r="5" customFormat="false" ht="21.75" hidden="false" customHeight="true" outlineLevel="0" collapsed="false">
      <c r="B5" s="17" t="s">
        <v>42</v>
      </c>
      <c r="C5" s="18"/>
      <c r="D5" s="19"/>
      <c r="F5" s="17" t="s">
        <v>43</v>
      </c>
      <c r="G5" s="20"/>
      <c r="H5" s="17" t="s">
        <v>44</v>
      </c>
      <c r="I5" s="20"/>
      <c r="J5" s="17" t="s">
        <v>45</v>
      </c>
      <c r="K5" s="21"/>
      <c r="L5" s="21"/>
    </row>
    <row r="6" customFormat="false" ht="6" hidden="false" customHeight="true" outlineLevel="0" collapsed="false"/>
    <row r="7" customFormat="false" ht="30" hidden="false" customHeight="true" outlineLevel="0" collapsed="false">
      <c r="A7" s="22" t="s">
        <v>46</v>
      </c>
      <c r="B7" s="22"/>
      <c r="C7" s="22"/>
      <c r="D7" s="22"/>
      <c r="E7" s="22"/>
      <c r="F7" s="22"/>
      <c r="G7" s="22"/>
      <c r="H7" s="22"/>
      <c r="I7" s="22"/>
      <c r="J7" s="22"/>
      <c r="K7" s="22"/>
      <c r="L7" s="22"/>
      <c r="M7" s="22"/>
    </row>
    <row r="8" customFormat="false" ht="7.5" hidden="false" customHeight="true" outlineLevel="0" collapsed="false"/>
    <row r="9" customFormat="false" ht="19.5" hidden="false" customHeight="true" outlineLevel="0" collapsed="false">
      <c r="A9" s="23" t="s">
        <v>47</v>
      </c>
      <c r="B9" s="23"/>
      <c r="C9" s="23"/>
      <c r="D9" s="23"/>
      <c r="E9" s="23"/>
      <c r="F9" s="23"/>
      <c r="G9" s="23"/>
      <c r="H9" s="23"/>
      <c r="I9" s="23"/>
      <c r="J9" s="23"/>
      <c r="K9" s="23"/>
      <c r="L9" s="23"/>
      <c r="M9" s="23"/>
    </row>
    <row r="10" customFormat="false" ht="30" hidden="false" customHeight="true" outlineLevel="0" collapsed="false">
      <c r="A10" s="8" t="s">
        <v>48</v>
      </c>
      <c r="B10" s="8"/>
      <c r="C10" s="8"/>
      <c r="D10" s="8"/>
      <c r="E10" s="8"/>
      <c r="F10" s="8"/>
      <c r="G10" s="8"/>
      <c r="H10" s="8"/>
      <c r="I10" s="8"/>
      <c r="J10" s="8"/>
      <c r="K10" s="8"/>
      <c r="L10" s="8"/>
      <c r="M10" s="8"/>
    </row>
    <row r="11" customFormat="false" ht="36" hidden="false" customHeight="true" outlineLevel="0" collapsed="false">
      <c r="B11" s="24" t="s">
        <v>49</v>
      </c>
      <c r="C11" s="24" t="s">
        <v>50</v>
      </c>
      <c r="D11" s="24" t="s">
        <v>51</v>
      </c>
      <c r="E11" s="24" t="s">
        <v>52</v>
      </c>
      <c r="F11" s="24" t="s">
        <v>53</v>
      </c>
      <c r="G11" s="24" t="s">
        <v>54</v>
      </c>
      <c r="H11" s="24" t="s">
        <v>55</v>
      </c>
      <c r="I11" s="24" t="s">
        <v>56</v>
      </c>
      <c r="J11" s="24" t="s">
        <v>57</v>
      </c>
      <c r="K11" s="24" t="s">
        <v>58</v>
      </c>
      <c r="L11" s="24" t="s">
        <v>59</v>
      </c>
    </row>
    <row r="12" customFormat="false" ht="21.75" hidden="false" customHeight="true" outlineLevel="0" collapsed="false">
      <c r="B12" s="25" t="n">
        <f aca="false">1</f>
        <v>1</v>
      </c>
      <c r="C12" s="18"/>
      <c r="D12" s="26"/>
      <c r="E12" s="18"/>
      <c r="F12" s="18"/>
      <c r="G12" s="20"/>
      <c r="H12" s="27" t="str">
        <f aca="false">IF(G12&lt;&gt;"",G12*500000,"")</f>
        <v/>
      </c>
      <c r="I12" s="28"/>
      <c r="J12" s="18"/>
      <c r="K12" s="29"/>
      <c r="L12" s="26"/>
    </row>
    <row r="13" customFormat="false" ht="21.75" hidden="false" customHeight="true" outlineLevel="0" collapsed="false">
      <c r="B13" s="25" t="n">
        <f aca="false">2</f>
        <v>2</v>
      </c>
      <c r="C13" s="18"/>
      <c r="D13" s="26"/>
      <c r="E13" s="18"/>
      <c r="F13" s="18"/>
      <c r="G13" s="20"/>
      <c r="H13" s="27" t="str">
        <f aca="false">IF(G13&lt;&gt;"",G13*500000,"")</f>
        <v/>
      </c>
      <c r="I13" s="28"/>
      <c r="J13" s="18"/>
      <c r="K13" s="29"/>
      <c r="L13" s="26"/>
    </row>
    <row r="14" customFormat="false" ht="21.75" hidden="false" customHeight="true" outlineLevel="0" collapsed="false">
      <c r="B14" s="25" t="n">
        <f aca="false">3</f>
        <v>3</v>
      </c>
      <c r="C14" s="18"/>
      <c r="D14" s="26"/>
      <c r="E14" s="18"/>
      <c r="F14" s="18"/>
      <c r="G14" s="20"/>
      <c r="H14" s="27" t="str">
        <f aca="false">IF(G14&lt;&gt;"",G14*500000,"")</f>
        <v/>
      </c>
      <c r="I14" s="28"/>
      <c r="J14" s="18"/>
      <c r="K14" s="29"/>
      <c r="L14" s="26"/>
    </row>
    <row r="15" customFormat="false" ht="21.75" hidden="false" customHeight="true" outlineLevel="0" collapsed="false">
      <c r="B15" s="25" t="n">
        <f aca="false">4</f>
        <v>4</v>
      </c>
      <c r="C15" s="18"/>
      <c r="D15" s="26"/>
      <c r="E15" s="18"/>
      <c r="F15" s="18"/>
      <c r="G15" s="20"/>
      <c r="H15" s="27" t="str">
        <f aca="false">IF(G15&lt;&gt;"",G15*500000,"")</f>
        <v/>
      </c>
      <c r="I15" s="28"/>
      <c r="J15" s="18"/>
      <c r="K15" s="29"/>
      <c r="L15" s="26"/>
    </row>
    <row r="16" customFormat="false" ht="21.75" hidden="false" customHeight="true" outlineLevel="0" collapsed="false">
      <c r="B16" s="25" t="n">
        <f aca="false">5</f>
        <v>5</v>
      </c>
      <c r="C16" s="18"/>
      <c r="D16" s="26"/>
      <c r="E16" s="18"/>
      <c r="F16" s="18"/>
      <c r="G16" s="20"/>
      <c r="H16" s="27" t="str">
        <f aca="false">IF(G16&lt;&gt;"",G16*500000,"")</f>
        <v/>
      </c>
      <c r="I16" s="28"/>
      <c r="J16" s="18"/>
      <c r="K16" s="29"/>
      <c r="L16" s="26"/>
    </row>
    <row r="17" customFormat="false" ht="21.75" hidden="false" customHeight="true" outlineLevel="0" collapsed="false">
      <c r="B17" s="25" t="n">
        <f aca="false">6</f>
        <v>6</v>
      </c>
      <c r="C17" s="18"/>
      <c r="D17" s="26"/>
      <c r="E17" s="18"/>
      <c r="F17" s="18"/>
      <c r="G17" s="20"/>
      <c r="H17" s="27" t="str">
        <f aca="false">IF(G17&lt;&gt;"",G17*500000,"")</f>
        <v/>
      </c>
      <c r="I17" s="28"/>
      <c r="J17" s="18"/>
      <c r="K17" s="29"/>
      <c r="L17" s="26"/>
    </row>
    <row r="18" customFormat="false" ht="21.75" hidden="false" customHeight="true" outlineLevel="0" collapsed="false">
      <c r="B18" s="25" t="n">
        <f aca="false">7</f>
        <v>7</v>
      </c>
      <c r="C18" s="18"/>
      <c r="D18" s="26"/>
      <c r="E18" s="18"/>
      <c r="F18" s="18"/>
      <c r="G18" s="20"/>
      <c r="H18" s="27" t="str">
        <f aca="false">IF(G18&lt;&gt;"",G18*500000,"")</f>
        <v/>
      </c>
      <c r="I18" s="28"/>
      <c r="J18" s="18"/>
      <c r="K18" s="29"/>
      <c r="L18" s="26"/>
    </row>
    <row r="19" customFormat="false" ht="21.75" hidden="false" customHeight="true" outlineLevel="0" collapsed="false">
      <c r="B19" s="25" t="n">
        <f aca="false">8</f>
        <v>8</v>
      </c>
      <c r="C19" s="18"/>
      <c r="D19" s="26"/>
      <c r="E19" s="18"/>
      <c r="F19" s="18"/>
      <c r="G19" s="20"/>
      <c r="H19" s="27" t="str">
        <f aca="false">IF(G19&lt;&gt;"",G19*500000,"")</f>
        <v/>
      </c>
      <c r="I19" s="28"/>
      <c r="J19" s="18"/>
      <c r="K19" s="29"/>
      <c r="L19" s="26"/>
    </row>
    <row r="20" customFormat="false" ht="21.75" hidden="false" customHeight="true" outlineLevel="0" collapsed="false">
      <c r="B20" s="25" t="n">
        <f aca="false">9</f>
        <v>9</v>
      </c>
      <c r="C20" s="18"/>
      <c r="D20" s="26"/>
      <c r="E20" s="18"/>
      <c r="F20" s="18"/>
      <c r="G20" s="20"/>
      <c r="H20" s="27" t="str">
        <f aca="false">IF(G20&lt;&gt;"",G20*500000,"")</f>
        <v/>
      </c>
      <c r="I20" s="28"/>
      <c r="J20" s="18"/>
      <c r="K20" s="29"/>
      <c r="L20" s="26"/>
    </row>
    <row r="21" customFormat="false" ht="21.75" hidden="false" customHeight="true" outlineLevel="0" collapsed="false">
      <c r="B21" s="25" t="n">
        <f aca="false">10</f>
        <v>10</v>
      </c>
      <c r="C21" s="18"/>
      <c r="D21" s="26"/>
      <c r="E21" s="18"/>
      <c r="F21" s="18"/>
      <c r="G21" s="20"/>
      <c r="H21" s="27" t="str">
        <f aca="false">IF(G21&lt;&gt;"",G21*500000,"")</f>
        <v/>
      </c>
      <c r="I21" s="28"/>
      <c r="J21" s="18"/>
      <c r="K21" s="29"/>
      <c r="L21" s="26"/>
    </row>
    <row r="22" customFormat="false" ht="21.75" hidden="false" customHeight="true" outlineLevel="0" collapsed="false">
      <c r="A22" s="30" t="s">
        <v>60</v>
      </c>
      <c r="B22" s="30"/>
      <c r="C22" s="30"/>
      <c r="D22" s="30"/>
      <c r="E22" s="30"/>
      <c r="F22" s="30"/>
      <c r="G22" s="31" t="n">
        <f aca="false">IFERROR(SUM(G12:G71),0)</f>
        <v>0</v>
      </c>
      <c r="H22" s="32" t="n">
        <f aca="false">IFERROR(SUMIF(G12:G71,"&lt;&gt;",H12:H71),0)</f>
        <v>0</v>
      </c>
      <c r="I22" s="33" t="str">
        <f aca="false">IFERROR(SUMPRODUCT((G12:G71)*IF(ISNUMBER(I12:I71),I12:I71,0))/IFERROR(SUM(G12:G71),1),"")</f>
        <v/>
      </c>
      <c r="J22" s="34" t="s">
        <v>61</v>
      </c>
      <c r="K22" s="35" t="s">
        <v>62</v>
      </c>
      <c r="L22" s="35"/>
      <c r="M22" s="35"/>
    </row>
    <row r="24" customFormat="false" ht="9.75" hidden="false" customHeight="true" outlineLevel="0" collapsed="false"/>
    <row r="25" customFormat="false" ht="19.5" hidden="false" customHeight="true" outlineLevel="0" collapsed="false">
      <c r="A25" s="23" t="s">
        <v>63</v>
      </c>
      <c r="B25" s="23"/>
      <c r="C25" s="23"/>
      <c r="D25" s="23"/>
      <c r="E25" s="23"/>
      <c r="F25" s="23"/>
      <c r="G25" s="23"/>
      <c r="H25" s="23"/>
      <c r="I25" s="23"/>
      <c r="J25" s="23"/>
      <c r="K25" s="23"/>
      <c r="L25" s="23"/>
      <c r="M25" s="23"/>
    </row>
    <row r="26" customFormat="false" ht="30" hidden="false" customHeight="true" outlineLevel="0" collapsed="false">
      <c r="A26" s="22" t="s">
        <v>64</v>
      </c>
      <c r="B26" s="22"/>
      <c r="C26" s="22"/>
      <c r="D26" s="22"/>
      <c r="E26" s="22"/>
      <c r="F26" s="22"/>
      <c r="G26" s="22"/>
      <c r="H26" s="22"/>
      <c r="I26" s="22"/>
      <c r="J26" s="22"/>
      <c r="K26" s="22"/>
      <c r="L26" s="22"/>
      <c r="M26" s="22"/>
    </row>
    <row r="27" customFormat="false" ht="21.75" hidden="false" customHeight="true" outlineLevel="0" collapsed="false">
      <c r="B27" s="17" t="s">
        <v>65</v>
      </c>
      <c r="C27" s="21"/>
      <c r="D27" s="21"/>
      <c r="E27" s="21"/>
      <c r="F27" s="21"/>
      <c r="G27" s="21"/>
      <c r="H27" s="21"/>
      <c r="I27" s="21"/>
      <c r="J27" s="36" t="s">
        <v>66</v>
      </c>
      <c r="K27" s="36"/>
      <c r="L27" s="36"/>
      <c r="M27" s="36"/>
    </row>
    <row r="28" customFormat="false" ht="21.75" hidden="false" customHeight="true" outlineLevel="0" collapsed="false">
      <c r="B28" s="17" t="s">
        <v>67</v>
      </c>
      <c r="C28" s="21"/>
      <c r="D28" s="21"/>
      <c r="E28" s="21"/>
      <c r="F28" s="21"/>
      <c r="G28" s="21"/>
      <c r="H28" s="21"/>
      <c r="I28" s="21"/>
      <c r="J28" s="36" t="s">
        <v>68</v>
      </c>
      <c r="K28" s="36"/>
      <c r="L28" s="36"/>
      <c r="M28" s="36"/>
    </row>
    <row r="29" customFormat="false" ht="21.75" hidden="false" customHeight="true" outlineLevel="0" collapsed="false">
      <c r="B29" s="17" t="s">
        <v>69</v>
      </c>
      <c r="C29" s="21"/>
      <c r="D29" s="21"/>
      <c r="E29" s="21"/>
      <c r="F29" s="21"/>
      <c r="G29" s="21"/>
      <c r="H29" s="21"/>
      <c r="I29" s="21"/>
      <c r="J29" s="36" t="s">
        <v>70</v>
      </c>
      <c r="K29" s="36"/>
      <c r="L29" s="36"/>
      <c r="M29" s="36"/>
    </row>
    <row r="30" customFormat="false" ht="21.75" hidden="false" customHeight="true" outlineLevel="0" collapsed="false">
      <c r="B30" s="17" t="s">
        <v>71</v>
      </c>
      <c r="C30" s="21"/>
      <c r="D30" s="21"/>
      <c r="E30" s="21"/>
      <c r="F30" s="21"/>
      <c r="G30" s="21"/>
      <c r="H30" s="21"/>
      <c r="I30" s="21"/>
      <c r="J30" s="36" t="s">
        <v>72</v>
      </c>
      <c r="K30" s="36"/>
      <c r="L30" s="36"/>
      <c r="M30" s="36"/>
    </row>
    <row r="31" customFormat="false" ht="21.75" hidden="false" customHeight="true" outlineLevel="0" collapsed="false">
      <c r="B31" s="17" t="s">
        <v>73</v>
      </c>
      <c r="C31" s="21"/>
      <c r="D31" s="21"/>
      <c r="E31" s="21"/>
      <c r="F31" s="21"/>
      <c r="G31" s="21"/>
      <c r="H31" s="21"/>
      <c r="I31" s="21"/>
      <c r="J31" s="36" t="s">
        <v>74</v>
      </c>
      <c r="K31" s="36"/>
      <c r="L31" s="36"/>
      <c r="M31" s="36"/>
    </row>
    <row r="32" customFormat="false" ht="21.75" hidden="false" customHeight="true" outlineLevel="0" collapsed="false">
      <c r="B32" s="17" t="s">
        <v>75</v>
      </c>
      <c r="C32" s="21"/>
      <c r="D32" s="21"/>
      <c r="E32" s="21"/>
      <c r="F32" s="21"/>
      <c r="G32" s="21"/>
      <c r="H32" s="21"/>
      <c r="I32" s="21"/>
      <c r="J32" s="36" t="s">
        <v>76</v>
      </c>
      <c r="K32" s="36"/>
      <c r="L32" s="36"/>
      <c r="M32" s="36"/>
    </row>
    <row r="33" customFormat="false" ht="21.75" hidden="false" customHeight="true" outlineLevel="0" collapsed="false">
      <c r="B33" s="17" t="s">
        <v>77</v>
      </c>
      <c r="C33" s="21"/>
      <c r="D33" s="21"/>
      <c r="E33" s="21"/>
      <c r="F33" s="21"/>
      <c r="G33" s="21"/>
      <c r="H33" s="21"/>
      <c r="I33" s="21"/>
      <c r="J33" s="36" t="s">
        <v>78</v>
      </c>
      <c r="K33" s="36"/>
      <c r="L33" s="36"/>
      <c r="M33" s="36"/>
    </row>
    <row r="34" customFormat="false" ht="21.75" hidden="false" customHeight="true" outlineLevel="0" collapsed="false">
      <c r="B34" s="17" t="s">
        <v>79</v>
      </c>
      <c r="C34" s="21"/>
      <c r="D34" s="21"/>
      <c r="E34" s="21"/>
      <c r="F34" s="21"/>
      <c r="G34" s="21"/>
      <c r="H34" s="21"/>
      <c r="I34" s="21"/>
      <c r="J34" s="36" t="s">
        <v>80</v>
      </c>
      <c r="K34" s="36"/>
      <c r="L34" s="36"/>
      <c r="M34" s="36"/>
    </row>
    <row r="35" customFormat="false" ht="21.75" hidden="false" customHeight="true" outlineLevel="0" collapsed="false">
      <c r="B35" s="17" t="s">
        <v>81</v>
      </c>
      <c r="C35" s="21"/>
      <c r="D35" s="21"/>
      <c r="E35" s="21"/>
      <c r="F35" s="21"/>
      <c r="G35" s="21"/>
      <c r="H35" s="21"/>
      <c r="I35" s="21"/>
      <c r="J35" s="36" t="s">
        <v>82</v>
      </c>
      <c r="K35" s="36"/>
      <c r="L35" s="36"/>
      <c r="M35" s="36"/>
    </row>
    <row r="36" customFormat="false" ht="9.75" hidden="false" customHeight="true" outlineLevel="0" collapsed="false"/>
    <row r="37" customFormat="false" ht="19.5" hidden="false" customHeight="true" outlineLevel="0" collapsed="false">
      <c r="B37" s="23" t="s">
        <v>83</v>
      </c>
      <c r="C37" s="23"/>
      <c r="D37" s="23"/>
      <c r="E37" s="23"/>
      <c r="F37" s="23"/>
      <c r="G37" s="23"/>
      <c r="H37" s="23"/>
      <c r="I37" s="23"/>
      <c r="J37" s="23"/>
      <c r="K37" s="23"/>
      <c r="L37" s="23"/>
      <c r="M37" s="23"/>
    </row>
    <row r="38" customFormat="false" ht="30" hidden="false" customHeight="true" outlineLevel="0" collapsed="false">
      <c r="B38" s="24" t="s">
        <v>84</v>
      </c>
      <c r="C38" s="37" t="s">
        <v>85</v>
      </c>
      <c r="D38" s="37"/>
      <c r="E38" s="37"/>
      <c r="F38" s="37" t="s">
        <v>86</v>
      </c>
      <c r="G38" s="37"/>
      <c r="H38" s="37" t="s">
        <v>87</v>
      </c>
      <c r="I38" s="37"/>
      <c r="J38" s="37"/>
      <c r="K38" s="37" t="s">
        <v>88</v>
      </c>
      <c r="L38" s="37"/>
    </row>
    <row r="39" customFormat="false" ht="21.75" hidden="false" customHeight="true" outlineLevel="0" collapsed="false">
      <c r="B39" s="18"/>
      <c r="C39" s="21"/>
      <c r="D39" s="21"/>
      <c r="E39" s="21"/>
      <c r="F39" s="21"/>
      <c r="G39" s="21"/>
      <c r="H39" s="21"/>
      <c r="I39" s="21"/>
      <c r="J39" s="21"/>
      <c r="K39" s="21"/>
      <c r="L39" s="21"/>
    </row>
    <row r="40" customFormat="false" ht="21.75" hidden="false" customHeight="true" outlineLevel="0" collapsed="false">
      <c r="B40" s="18"/>
      <c r="C40" s="21"/>
      <c r="D40" s="21"/>
      <c r="E40" s="21"/>
      <c r="F40" s="21"/>
      <c r="G40" s="21"/>
      <c r="H40" s="21"/>
      <c r="I40" s="21"/>
      <c r="J40" s="21"/>
      <c r="K40" s="21"/>
      <c r="L40" s="21"/>
    </row>
    <row r="41" customFormat="false" ht="9.75" hidden="false" customHeight="true" outlineLevel="0" collapsed="false"/>
    <row r="42" customFormat="false" ht="19.5" hidden="false" customHeight="true" outlineLevel="0" collapsed="false">
      <c r="A42" s="23" t="s">
        <v>89</v>
      </c>
      <c r="B42" s="23"/>
      <c r="C42" s="23"/>
      <c r="D42" s="23"/>
      <c r="E42" s="23"/>
      <c r="F42" s="23"/>
      <c r="G42" s="23"/>
      <c r="H42" s="23"/>
      <c r="I42" s="23"/>
      <c r="J42" s="23"/>
      <c r="K42" s="23"/>
      <c r="L42" s="23"/>
      <c r="M42" s="23"/>
    </row>
    <row r="43" customFormat="false" ht="30" hidden="false" customHeight="true" outlineLevel="0" collapsed="false">
      <c r="A43" s="8" t="s">
        <v>90</v>
      </c>
      <c r="B43" s="8"/>
      <c r="C43" s="8"/>
      <c r="D43" s="8"/>
      <c r="E43" s="8"/>
      <c r="F43" s="8"/>
      <c r="G43" s="8"/>
      <c r="H43" s="8"/>
      <c r="I43" s="8"/>
      <c r="J43" s="8"/>
      <c r="K43" s="8"/>
      <c r="L43" s="8"/>
      <c r="M43" s="8"/>
    </row>
    <row r="44" customFormat="false" ht="19.5" hidden="false" customHeight="true" outlineLevel="0" collapsed="false">
      <c r="A44" s="38" t="s">
        <v>91</v>
      </c>
      <c r="B44" s="38"/>
      <c r="C44" s="38"/>
      <c r="D44" s="38"/>
      <c r="E44" s="38"/>
      <c r="F44" s="38"/>
      <c r="G44" s="38"/>
      <c r="H44" s="38"/>
      <c r="I44" s="38"/>
      <c r="J44" s="38"/>
      <c r="K44" s="38"/>
      <c r="L44" s="38"/>
      <c r="M44" s="38"/>
    </row>
    <row r="45" customFormat="false" ht="25.5" hidden="false" customHeight="true" outlineLevel="0" collapsed="false">
      <c r="B45" s="39" t="s">
        <v>92</v>
      </c>
      <c r="C45" s="21"/>
      <c r="D45" s="21"/>
      <c r="E45" s="21"/>
      <c r="F45" s="21"/>
      <c r="G45" s="21"/>
      <c r="H45" s="21"/>
      <c r="I45" s="21"/>
      <c r="J45" s="21"/>
      <c r="K45" s="21"/>
      <c r="L45" s="21"/>
      <c r="M45" s="21"/>
    </row>
    <row r="46" customFormat="false" ht="25.5" hidden="false" customHeight="true" outlineLevel="0" collapsed="false">
      <c r="B46" s="39" t="s">
        <v>93</v>
      </c>
      <c r="C46" s="21"/>
      <c r="D46" s="21"/>
      <c r="E46" s="21"/>
      <c r="F46" s="21"/>
      <c r="G46" s="21"/>
      <c r="H46" s="21"/>
      <c r="I46" s="21"/>
      <c r="J46" s="21"/>
      <c r="K46" s="21"/>
      <c r="L46" s="21"/>
      <c r="M46" s="21"/>
    </row>
    <row r="47" customFormat="false" ht="25.5" hidden="false" customHeight="true" outlineLevel="0" collapsed="false">
      <c r="B47" s="39" t="s">
        <v>94</v>
      </c>
      <c r="C47" s="21"/>
      <c r="D47" s="21"/>
      <c r="E47" s="21"/>
      <c r="F47" s="21"/>
      <c r="G47" s="21"/>
      <c r="H47" s="21"/>
      <c r="I47" s="21"/>
      <c r="J47" s="21"/>
      <c r="K47" s="21"/>
      <c r="L47" s="21"/>
      <c r="M47" s="21"/>
    </row>
    <row r="48" customFormat="false" ht="25.5" hidden="false" customHeight="true" outlineLevel="0" collapsed="false">
      <c r="B48" s="39" t="s">
        <v>95</v>
      </c>
      <c r="C48" s="21"/>
      <c r="D48" s="21"/>
      <c r="E48" s="21"/>
      <c r="F48" s="21"/>
      <c r="G48" s="21"/>
      <c r="H48" s="21"/>
      <c r="I48" s="21"/>
      <c r="J48" s="21"/>
      <c r="K48" s="21"/>
      <c r="L48" s="21"/>
      <c r="M48" s="21"/>
    </row>
    <row r="49" customFormat="false" ht="25.5" hidden="false" customHeight="true" outlineLevel="0" collapsed="false">
      <c r="B49" s="39" t="s">
        <v>96</v>
      </c>
      <c r="C49" s="21"/>
      <c r="D49" s="21"/>
      <c r="E49" s="21"/>
      <c r="F49" s="21"/>
      <c r="G49" s="21"/>
      <c r="H49" s="21"/>
      <c r="I49" s="21"/>
      <c r="J49" s="21"/>
      <c r="K49" s="21"/>
      <c r="L49" s="21"/>
      <c r="M49" s="21"/>
    </row>
    <row r="50" customFormat="false" ht="25.5" hidden="false" customHeight="true" outlineLevel="0" collapsed="false">
      <c r="B50" s="39" t="s">
        <v>97</v>
      </c>
      <c r="C50" s="21"/>
      <c r="D50" s="21"/>
      <c r="E50" s="21"/>
      <c r="F50" s="21"/>
      <c r="G50" s="21"/>
      <c r="H50" s="21"/>
      <c r="I50" s="21"/>
      <c r="J50" s="21"/>
      <c r="K50" s="21"/>
      <c r="L50" s="21"/>
      <c r="M50" s="21"/>
    </row>
    <row r="51" customFormat="false" ht="25.5" hidden="false" customHeight="true" outlineLevel="0" collapsed="false">
      <c r="B51" s="39" t="s">
        <v>98</v>
      </c>
      <c r="C51" s="21"/>
      <c r="D51" s="21"/>
      <c r="E51" s="21"/>
      <c r="F51" s="21"/>
      <c r="G51" s="21"/>
      <c r="H51" s="21"/>
      <c r="I51" s="21"/>
      <c r="J51" s="21"/>
      <c r="K51" s="21"/>
      <c r="L51" s="21"/>
      <c r="M51" s="21"/>
    </row>
    <row r="52" customFormat="false" ht="6" hidden="false" customHeight="true" outlineLevel="0" collapsed="false"/>
    <row r="53" customFormat="false" ht="19.5" hidden="false" customHeight="true" outlineLevel="0" collapsed="false">
      <c r="A53" s="38" t="s">
        <v>99</v>
      </c>
      <c r="B53" s="38"/>
      <c r="C53" s="38"/>
      <c r="D53" s="38"/>
      <c r="E53" s="38"/>
      <c r="F53" s="38"/>
      <c r="G53" s="38"/>
      <c r="H53" s="38"/>
      <c r="I53" s="38"/>
      <c r="J53" s="38"/>
      <c r="K53" s="38"/>
      <c r="L53" s="38"/>
      <c r="M53" s="38"/>
    </row>
    <row r="54" customFormat="false" ht="25.5" hidden="false" customHeight="true" outlineLevel="0" collapsed="false">
      <c r="B54" s="39" t="s">
        <v>92</v>
      </c>
      <c r="C54" s="21"/>
      <c r="D54" s="21"/>
      <c r="E54" s="21"/>
      <c r="F54" s="21"/>
      <c r="G54" s="21"/>
      <c r="H54" s="21"/>
      <c r="I54" s="21"/>
      <c r="J54" s="21"/>
      <c r="K54" s="21"/>
      <c r="L54" s="21"/>
      <c r="M54" s="21"/>
    </row>
    <row r="55" customFormat="false" ht="25.5" hidden="false" customHeight="true" outlineLevel="0" collapsed="false">
      <c r="B55" s="39" t="s">
        <v>93</v>
      </c>
      <c r="C55" s="21"/>
      <c r="D55" s="21"/>
      <c r="E55" s="21"/>
      <c r="F55" s="21"/>
      <c r="G55" s="21"/>
      <c r="H55" s="21"/>
      <c r="I55" s="21"/>
      <c r="J55" s="21"/>
      <c r="K55" s="21"/>
      <c r="L55" s="21"/>
      <c r="M55" s="21"/>
    </row>
    <row r="56" customFormat="false" ht="25.5" hidden="false" customHeight="true" outlineLevel="0" collapsed="false">
      <c r="B56" s="39" t="s">
        <v>94</v>
      </c>
      <c r="C56" s="21"/>
      <c r="D56" s="21"/>
      <c r="E56" s="21"/>
      <c r="F56" s="21"/>
      <c r="G56" s="21"/>
      <c r="H56" s="21"/>
      <c r="I56" s="21"/>
      <c r="J56" s="21"/>
      <c r="K56" s="21"/>
      <c r="L56" s="21"/>
      <c r="M56" s="21"/>
    </row>
    <row r="57" customFormat="false" ht="25.5" hidden="false" customHeight="true" outlineLevel="0" collapsed="false">
      <c r="B57" s="39" t="s">
        <v>95</v>
      </c>
      <c r="C57" s="21"/>
      <c r="D57" s="21"/>
      <c r="E57" s="21"/>
      <c r="F57" s="21"/>
      <c r="G57" s="21"/>
      <c r="H57" s="21"/>
      <c r="I57" s="21"/>
      <c r="J57" s="21"/>
      <c r="K57" s="21"/>
      <c r="L57" s="21"/>
      <c r="M57" s="21"/>
    </row>
    <row r="58" customFormat="false" ht="25.5" hidden="false" customHeight="true" outlineLevel="0" collapsed="false">
      <c r="B58" s="39" t="s">
        <v>96</v>
      </c>
      <c r="C58" s="21"/>
      <c r="D58" s="21"/>
      <c r="E58" s="21"/>
      <c r="F58" s="21"/>
      <c r="G58" s="21"/>
      <c r="H58" s="21"/>
      <c r="I58" s="21"/>
      <c r="J58" s="21"/>
      <c r="K58" s="21"/>
      <c r="L58" s="21"/>
      <c r="M58" s="21"/>
    </row>
    <row r="59" customFormat="false" ht="25.5" hidden="false" customHeight="true" outlineLevel="0" collapsed="false">
      <c r="B59" s="39" t="s">
        <v>97</v>
      </c>
      <c r="C59" s="21"/>
      <c r="D59" s="21"/>
      <c r="E59" s="21"/>
      <c r="F59" s="21"/>
      <c r="G59" s="21"/>
      <c r="H59" s="21"/>
      <c r="I59" s="21"/>
      <c r="J59" s="21"/>
      <c r="K59" s="21"/>
      <c r="L59" s="21"/>
      <c r="M59" s="21"/>
    </row>
    <row r="60" customFormat="false" ht="25.5" hidden="false" customHeight="true" outlineLevel="0" collapsed="false">
      <c r="B60" s="39" t="s">
        <v>98</v>
      </c>
      <c r="C60" s="21"/>
      <c r="D60" s="21"/>
      <c r="E60" s="21"/>
      <c r="F60" s="21"/>
      <c r="G60" s="21"/>
      <c r="H60" s="21"/>
      <c r="I60" s="21"/>
      <c r="J60" s="21"/>
      <c r="K60" s="21"/>
      <c r="L60" s="21"/>
      <c r="M60" s="21"/>
    </row>
    <row r="61" customFormat="false" ht="6" hidden="false" customHeight="true" outlineLevel="0" collapsed="false"/>
    <row r="62" customFormat="false" ht="19.5" hidden="false" customHeight="true" outlineLevel="0" collapsed="false">
      <c r="A62" s="38" t="s">
        <v>100</v>
      </c>
      <c r="B62" s="38"/>
      <c r="C62" s="38"/>
      <c r="D62" s="38"/>
      <c r="E62" s="38"/>
      <c r="F62" s="38"/>
      <c r="G62" s="38"/>
      <c r="H62" s="38"/>
      <c r="I62" s="38"/>
      <c r="J62" s="38"/>
      <c r="K62" s="38"/>
      <c r="L62" s="38"/>
      <c r="M62" s="38"/>
    </row>
    <row r="63" customFormat="false" ht="25.5" hidden="false" customHeight="true" outlineLevel="0" collapsed="false">
      <c r="B63" s="39" t="s">
        <v>92</v>
      </c>
      <c r="C63" s="21"/>
      <c r="D63" s="21"/>
      <c r="E63" s="21"/>
      <c r="F63" s="21"/>
      <c r="G63" s="21"/>
      <c r="H63" s="21"/>
      <c r="I63" s="21"/>
      <c r="J63" s="21"/>
      <c r="K63" s="21"/>
      <c r="L63" s="21"/>
      <c r="M63" s="21"/>
    </row>
    <row r="64" customFormat="false" ht="25.5" hidden="false" customHeight="true" outlineLevel="0" collapsed="false">
      <c r="B64" s="39" t="s">
        <v>93</v>
      </c>
      <c r="C64" s="21"/>
      <c r="D64" s="21"/>
      <c r="E64" s="21"/>
      <c r="F64" s="21"/>
      <c r="G64" s="21"/>
      <c r="H64" s="21"/>
      <c r="I64" s="21"/>
      <c r="J64" s="21"/>
      <c r="K64" s="21"/>
      <c r="L64" s="21"/>
      <c r="M64" s="21"/>
    </row>
    <row r="65" customFormat="false" ht="25.5" hidden="false" customHeight="true" outlineLevel="0" collapsed="false">
      <c r="B65" s="39" t="s">
        <v>94</v>
      </c>
      <c r="C65" s="21"/>
      <c r="D65" s="21"/>
      <c r="E65" s="21"/>
      <c r="F65" s="21"/>
      <c r="G65" s="21"/>
      <c r="H65" s="21"/>
      <c r="I65" s="21"/>
      <c r="J65" s="21"/>
      <c r="K65" s="21"/>
      <c r="L65" s="21"/>
      <c r="M65" s="21"/>
    </row>
    <row r="66" customFormat="false" ht="25.5" hidden="false" customHeight="true" outlineLevel="0" collapsed="false">
      <c r="B66" s="39" t="s">
        <v>95</v>
      </c>
      <c r="C66" s="21"/>
      <c r="D66" s="21"/>
      <c r="E66" s="21"/>
      <c r="F66" s="21"/>
      <c r="G66" s="21"/>
      <c r="H66" s="21"/>
      <c r="I66" s="21"/>
      <c r="J66" s="21"/>
      <c r="K66" s="21"/>
      <c r="L66" s="21"/>
      <c r="M66" s="21"/>
    </row>
    <row r="67" customFormat="false" ht="25.5" hidden="false" customHeight="true" outlineLevel="0" collapsed="false">
      <c r="B67" s="39" t="s">
        <v>96</v>
      </c>
      <c r="C67" s="21"/>
      <c r="D67" s="21"/>
      <c r="E67" s="21"/>
      <c r="F67" s="21"/>
      <c r="G67" s="21"/>
      <c r="H67" s="21"/>
      <c r="I67" s="21"/>
      <c r="J67" s="21"/>
      <c r="K67" s="21"/>
      <c r="L67" s="21"/>
      <c r="M67" s="21"/>
    </row>
    <row r="68" customFormat="false" ht="25.5" hidden="false" customHeight="true" outlineLevel="0" collapsed="false">
      <c r="B68" s="39" t="s">
        <v>97</v>
      </c>
      <c r="C68" s="21"/>
      <c r="D68" s="21"/>
      <c r="E68" s="21"/>
      <c r="F68" s="21"/>
      <c r="G68" s="21"/>
      <c r="H68" s="21"/>
      <c r="I68" s="21"/>
      <c r="J68" s="21"/>
      <c r="K68" s="21"/>
      <c r="L68" s="21"/>
      <c r="M68" s="21"/>
    </row>
    <row r="69" customFormat="false" ht="25.5" hidden="false" customHeight="true" outlineLevel="0" collapsed="false">
      <c r="B69" s="39" t="s">
        <v>98</v>
      </c>
      <c r="C69" s="21"/>
      <c r="D69" s="21"/>
      <c r="E69" s="21"/>
      <c r="F69" s="21"/>
      <c r="G69" s="21"/>
      <c r="H69" s="21"/>
      <c r="I69" s="21"/>
      <c r="J69" s="21"/>
      <c r="K69" s="21"/>
      <c r="L69" s="21"/>
      <c r="M69" s="21"/>
    </row>
    <row r="70" customFormat="false" ht="6" hidden="false" customHeight="true" outlineLevel="0" collapsed="false"/>
    <row r="71" customFormat="false" ht="19.5" hidden="false" customHeight="true" outlineLevel="0" collapsed="false">
      <c r="A71" s="38" t="s">
        <v>101</v>
      </c>
      <c r="B71" s="38"/>
      <c r="C71" s="38"/>
      <c r="D71" s="38"/>
      <c r="E71" s="38"/>
      <c r="F71" s="38"/>
      <c r="G71" s="38"/>
      <c r="H71" s="38"/>
      <c r="I71" s="38"/>
      <c r="J71" s="38"/>
      <c r="K71" s="38"/>
      <c r="L71" s="38"/>
      <c r="M71" s="38"/>
    </row>
    <row r="72" customFormat="false" ht="25.5" hidden="false" customHeight="true" outlineLevel="0" collapsed="false">
      <c r="B72" s="39" t="s">
        <v>92</v>
      </c>
      <c r="C72" s="21"/>
      <c r="D72" s="21"/>
      <c r="E72" s="21"/>
      <c r="F72" s="21"/>
      <c r="G72" s="21"/>
      <c r="H72" s="21"/>
      <c r="I72" s="21"/>
      <c r="J72" s="21"/>
      <c r="K72" s="21"/>
      <c r="L72" s="21"/>
      <c r="M72" s="21"/>
    </row>
    <row r="73" customFormat="false" ht="25.5" hidden="false" customHeight="true" outlineLevel="0" collapsed="false">
      <c r="B73" s="39" t="s">
        <v>93</v>
      </c>
      <c r="C73" s="21"/>
      <c r="D73" s="21"/>
      <c r="E73" s="21"/>
      <c r="F73" s="21"/>
      <c r="G73" s="21"/>
      <c r="H73" s="21"/>
      <c r="I73" s="21"/>
      <c r="J73" s="21"/>
      <c r="K73" s="21"/>
      <c r="L73" s="21"/>
      <c r="M73" s="21"/>
    </row>
    <row r="74" customFormat="false" ht="25.5" hidden="false" customHeight="true" outlineLevel="0" collapsed="false">
      <c r="B74" s="39" t="s">
        <v>94</v>
      </c>
      <c r="C74" s="21"/>
      <c r="D74" s="21"/>
      <c r="E74" s="21"/>
      <c r="F74" s="21"/>
      <c r="G74" s="21"/>
      <c r="H74" s="21"/>
      <c r="I74" s="21"/>
      <c r="J74" s="21"/>
      <c r="K74" s="21"/>
      <c r="L74" s="21"/>
      <c r="M74" s="21"/>
    </row>
    <row r="75" customFormat="false" ht="25.5" hidden="false" customHeight="true" outlineLevel="0" collapsed="false">
      <c r="B75" s="39" t="s">
        <v>95</v>
      </c>
      <c r="C75" s="21"/>
      <c r="D75" s="21"/>
      <c r="E75" s="21"/>
      <c r="F75" s="21"/>
      <c r="G75" s="21"/>
      <c r="H75" s="21"/>
      <c r="I75" s="21"/>
      <c r="J75" s="21"/>
      <c r="K75" s="21"/>
      <c r="L75" s="21"/>
      <c r="M75" s="21"/>
    </row>
    <row r="76" customFormat="false" ht="25.5" hidden="false" customHeight="true" outlineLevel="0" collapsed="false">
      <c r="B76" s="39" t="s">
        <v>96</v>
      </c>
      <c r="C76" s="21"/>
      <c r="D76" s="21"/>
      <c r="E76" s="21"/>
      <c r="F76" s="21"/>
      <c r="G76" s="21"/>
      <c r="H76" s="21"/>
      <c r="I76" s="21"/>
      <c r="J76" s="21"/>
      <c r="K76" s="21"/>
      <c r="L76" s="21"/>
      <c r="M76" s="21"/>
    </row>
    <row r="77" customFormat="false" ht="25.5" hidden="false" customHeight="true" outlineLevel="0" collapsed="false">
      <c r="B77" s="39" t="s">
        <v>97</v>
      </c>
      <c r="C77" s="21"/>
      <c r="D77" s="21"/>
      <c r="E77" s="21"/>
      <c r="F77" s="21"/>
      <c r="G77" s="21"/>
      <c r="H77" s="21"/>
      <c r="I77" s="21"/>
      <c r="J77" s="21"/>
      <c r="K77" s="21"/>
      <c r="L77" s="21"/>
      <c r="M77" s="21"/>
    </row>
    <row r="78" customFormat="false" ht="25.5" hidden="false" customHeight="true" outlineLevel="0" collapsed="false">
      <c r="B78" s="39" t="s">
        <v>98</v>
      </c>
      <c r="C78" s="21"/>
      <c r="D78" s="21"/>
      <c r="E78" s="21"/>
      <c r="F78" s="21"/>
      <c r="G78" s="21"/>
      <c r="H78" s="21"/>
      <c r="I78" s="21"/>
      <c r="J78" s="21"/>
      <c r="K78" s="21"/>
      <c r="L78" s="21"/>
      <c r="M78" s="21"/>
    </row>
    <row r="79" customFormat="false" ht="6" hidden="false" customHeight="true" outlineLevel="0" collapsed="false"/>
    <row r="80" customFormat="false" ht="19.5" hidden="false" customHeight="true" outlineLevel="0" collapsed="false">
      <c r="A80" s="38" t="s">
        <v>102</v>
      </c>
      <c r="B80" s="38"/>
      <c r="C80" s="38"/>
      <c r="D80" s="38"/>
      <c r="E80" s="38"/>
      <c r="F80" s="38"/>
      <c r="G80" s="38"/>
      <c r="H80" s="38"/>
      <c r="I80" s="38"/>
      <c r="J80" s="38"/>
      <c r="K80" s="38"/>
      <c r="L80" s="38"/>
      <c r="M80" s="38"/>
    </row>
    <row r="81" customFormat="false" ht="25.5" hidden="false" customHeight="true" outlineLevel="0" collapsed="false">
      <c r="B81" s="39" t="s">
        <v>92</v>
      </c>
      <c r="C81" s="21"/>
      <c r="D81" s="21"/>
      <c r="E81" s="21"/>
      <c r="F81" s="21"/>
      <c r="G81" s="21"/>
      <c r="H81" s="21"/>
      <c r="I81" s="21"/>
      <c r="J81" s="21"/>
      <c r="K81" s="21"/>
      <c r="L81" s="21"/>
      <c r="M81" s="21"/>
    </row>
    <row r="82" customFormat="false" ht="25.5" hidden="false" customHeight="true" outlineLevel="0" collapsed="false">
      <c r="B82" s="39" t="s">
        <v>93</v>
      </c>
      <c r="C82" s="21"/>
      <c r="D82" s="21"/>
      <c r="E82" s="21"/>
      <c r="F82" s="21"/>
      <c r="G82" s="21"/>
      <c r="H82" s="21"/>
      <c r="I82" s="21"/>
      <c r="J82" s="21"/>
      <c r="K82" s="21"/>
      <c r="L82" s="21"/>
      <c r="M82" s="21"/>
    </row>
    <row r="83" customFormat="false" ht="25.5" hidden="false" customHeight="true" outlineLevel="0" collapsed="false">
      <c r="B83" s="39" t="s">
        <v>94</v>
      </c>
      <c r="C83" s="21"/>
      <c r="D83" s="21"/>
      <c r="E83" s="21"/>
      <c r="F83" s="21"/>
      <c r="G83" s="21"/>
      <c r="H83" s="21"/>
      <c r="I83" s="21"/>
      <c r="J83" s="21"/>
      <c r="K83" s="21"/>
      <c r="L83" s="21"/>
      <c r="M83" s="21"/>
    </row>
    <row r="84" customFormat="false" ht="25.5" hidden="false" customHeight="true" outlineLevel="0" collapsed="false">
      <c r="B84" s="39" t="s">
        <v>95</v>
      </c>
      <c r="C84" s="21"/>
      <c r="D84" s="21"/>
      <c r="E84" s="21"/>
      <c r="F84" s="21"/>
      <c r="G84" s="21"/>
      <c r="H84" s="21"/>
      <c r="I84" s="21"/>
      <c r="J84" s="21"/>
      <c r="K84" s="21"/>
      <c r="L84" s="21"/>
      <c r="M84" s="21"/>
    </row>
    <row r="85" customFormat="false" ht="25.5" hidden="false" customHeight="true" outlineLevel="0" collapsed="false">
      <c r="B85" s="39" t="s">
        <v>96</v>
      </c>
      <c r="C85" s="21"/>
      <c r="D85" s="21"/>
      <c r="E85" s="21"/>
      <c r="F85" s="21"/>
      <c r="G85" s="21"/>
      <c r="H85" s="21"/>
      <c r="I85" s="21"/>
      <c r="J85" s="21"/>
      <c r="K85" s="21"/>
      <c r="L85" s="21"/>
      <c r="M85" s="21"/>
    </row>
    <row r="86" customFormat="false" ht="25.5" hidden="false" customHeight="true" outlineLevel="0" collapsed="false">
      <c r="B86" s="39" t="s">
        <v>97</v>
      </c>
      <c r="C86" s="21"/>
      <c r="D86" s="21"/>
      <c r="E86" s="21"/>
      <c r="F86" s="21"/>
      <c r="G86" s="21"/>
      <c r="H86" s="21"/>
      <c r="I86" s="21"/>
      <c r="J86" s="21"/>
      <c r="K86" s="21"/>
      <c r="L86" s="21"/>
      <c r="M86" s="21"/>
    </row>
    <row r="87" customFormat="false" ht="25.5" hidden="false" customHeight="true" outlineLevel="0" collapsed="false">
      <c r="B87" s="39" t="s">
        <v>98</v>
      </c>
      <c r="C87" s="21"/>
      <c r="D87" s="21"/>
      <c r="E87" s="21"/>
      <c r="F87" s="21"/>
      <c r="G87" s="21"/>
      <c r="H87" s="21"/>
      <c r="I87" s="21"/>
      <c r="J87" s="21"/>
      <c r="K87" s="21"/>
      <c r="L87" s="21"/>
      <c r="M87" s="21"/>
    </row>
    <row r="88" customFormat="false" ht="6" hidden="false" customHeight="true" outlineLevel="0" collapsed="false"/>
    <row r="89" customFormat="false" ht="27.75" hidden="false" customHeight="true" outlineLevel="0" collapsed="false">
      <c r="A89" s="40" t="s">
        <v>103</v>
      </c>
      <c r="B89" s="40"/>
      <c r="C89" s="40"/>
      <c r="D89" s="40"/>
      <c r="E89" s="40"/>
      <c r="F89" s="40"/>
      <c r="G89" s="40"/>
      <c r="H89" s="40"/>
      <c r="I89" s="40"/>
      <c r="J89" s="40"/>
      <c r="K89" s="40"/>
      <c r="L89" s="40"/>
      <c r="M89" s="40"/>
    </row>
    <row r="91" customFormat="false" ht="9.75" hidden="false" customHeight="true" outlineLevel="0" collapsed="false"/>
    <row r="92" customFormat="false" ht="19.5" hidden="false" customHeight="true" outlineLevel="0" collapsed="false">
      <c r="A92" s="23" t="s">
        <v>104</v>
      </c>
      <c r="B92" s="23"/>
      <c r="C92" s="23"/>
      <c r="D92" s="23"/>
      <c r="E92" s="23"/>
      <c r="F92" s="23"/>
      <c r="G92" s="23"/>
      <c r="H92" s="23"/>
      <c r="I92" s="23"/>
      <c r="J92" s="23"/>
      <c r="K92" s="23"/>
      <c r="L92" s="23"/>
      <c r="M92" s="23"/>
    </row>
    <row r="93" customFormat="false" ht="18" hidden="false" customHeight="true" outlineLevel="0" collapsed="false">
      <c r="B93" s="41" t="s">
        <v>105</v>
      </c>
      <c r="C93" s="7" t="s">
        <v>106</v>
      </c>
      <c r="D93" s="7"/>
      <c r="E93" s="7"/>
      <c r="F93" s="7"/>
      <c r="G93" s="7"/>
      <c r="H93" s="7"/>
      <c r="I93" s="7"/>
      <c r="J93" s="7"/>
      <c r="K93" s="7"/>
      <c r="L93" s="7"/>
      <c r="M93" s="7"/>
    </row>
    <row r="94" customFormat="false" ht="18" hidden="false" customHeight="true" outlineLevel="0" collapsed="false">
      <c r="B94" s="42" t="s">
        <v>105</v>
      </c>
      <c r="C94" s="7" t="s">
        <v>107</v>
      </c>
      <c r="D94" s="7"/>
      <c r="E94" s="7"/>
      <c r="F94" s="7"/>
      <c r="G94" s="7"/>
      <c r="H94" s="7"/>
      <c r="I94" s="7"/>
      <c r="J94" s="7"/>
      <c r="K94" s="7"/>
      <c r="L94" s="7"/>
      <c r="M94" s="7"/>
    </row>
    <row r="95" customFormat="false" ht="18" hidden="false" customHeight="true" outlineLevel="0" collapsed="false">
      <c r="B95" s="43" t="s">
        <v>105</v>
      </c>
      <c r="C95" s="7" t="s">
        <v>108</v>
      </c>
      <c r="D95" s="7"/>
      <c r="E95" s="7"/>
      <c r="F95" s="7"/>
      <c r="G95" s="7"/>
      <c r="H95" s="7"/>
      <c r="I95" s="7"/>
      <c r="J95" s="7"/>
      <c r="K95" s="7"/>
      <c r="L95" s="7"/>
      <c r="M95" s="7"/>
    </row>
    <row r="96" customFormat="false" ht="18" hidden="false" customHeight="true" outlineLevel="0" collapsed="false">
      <c r="B96" s="44" t="s">
        <v>105</v>
      </c>
      <c r="C96" s="7" t="s">
        <v>109</v>
      </c>
      <c r="D96" s="7"/>
      <c r="E96" s="7"/>
      <c r="F96" s="7"/>
      <c r="G96" s="7"/>
      <c r="H96" s="7"/>
      <c r="I96" s="7"/>
      <c r="J96" s="7"/>
      <c r="K96" s="7"/>
      <c r="L96" s="7"/>
      <c r="M96" s="7"/>
    </row>
    <row r="97" customFormat="false" ht="18" hidden="false" customHeight="true" outlineLevel="0" collapsed="false">
      <c r="B97" s="45" t="s">
        <v>105</v>
      </c>
      <c r="C97" s="7" t="s">
        <v>110</v>
      </c>
      <c r="D97" s="7"/>
      <c r="E97" s="7"/>
      <c r="F97" s="7"/>
      <c r="G97" s="7"/>
      <c r="H97" s="7"/>
      <c r="I97" s="7"/>
      <c r="J97" s="7"/>
      <c r="K97" s="7"/>
      <c r="L97" s="7"/>
      <c r="M97" s="7"/>
    </row>
  </sheetData>
  <mergeCells count="90">
    <mergeCell ref="A2:M2"/>
    <mergeCell ref="A3:M3"/>
    <mergeCell ref="K5:L5"/>
    <mergeCell ref="A7:M7"/>
    <mergeCell ref="A9:M9"/>
    <mergeCell ref="A10:M10"/>
    <mergeCell ref="A22:F22"/>
    <mergeCell ref="K22:M22"/>
    <mergeCell ref="A25:M25"/>
    <mergeCell ref="A26:M26"/>
    <mergeCell ref="C27:I27"/>
    <mergeCell ref="J27:M27"/>
    <mergeCell ref="C28:I28"/>
    <mergeCell ref="J28:M28"/>
    <mergeCell ref="C29:I29"/>
    <mergeCell ref="J29:M29"/>
    <mergeCell ref="C30:I30"/>
    <mergeCell ref="J30:M30"/>
    <mergeCell ref="C31:I31"/>
    <mergeCell ref="J31:M31"/>
    <mergeCell ref="C32:I32"/>
    <mergeCell ref="J32:M32"/>
    <mergeCell ref="C33:I33"/>
    <mergeCell ref="J33:M33"/>
    <mergeCell ref="C34:I34"/>
    <mergeCell ref="J34:M34"/>
    <mergeCell ref="C35:I35"/>
    <mergeCell ref="J35:M35"/>
    <mergeCell ref="B37:M37"/>
    <mergeCell ref="C38:E38"/>
    <mergeCell ref="F38:G38"/>
    <mergeCell ref="H38:J38"/>
    <mergeCell ref="K38:L38"/>
    <mergeCell ref="C39:E39"/>
    <mergeCell ref="F39:G39"/>
    <mergeCell ref="H39:J39"/>
    <mergeCell ref="K39:L39"/>
    <mergeCell ref="C40:E40"/>
    <mergeCell ref="F40:G40"/>
    <mergeCell ref="H40:J40"/>
    <mergeCell ref="K40:L40"/>
    <mergeCell ref="A42:M42"/>
    <mergeCell ref="A43:M43"/>
    <mergeCell ref="A44:M44"/>
    <mergeCell ref="C45:M45"/>
    <mergeCell ref="C46:M46"/>
    <mergeCell ref="C47:M47"/>
    <mergeCell ref="C48:M48"/>
    <mergeCell ref="C49:M49"/>
    <mergeCell ref="C50:M50"/>
    <mergeCell ref="C51:M51"/>
    <mergeCell ref="A53:M53"/>
    <mergeCell ref="C54:M54"/>
    <mergeCell ref="C55:M55"/>
    <mergeCell ref="C56:M56"/>
    <mergeCell ref="C57:M57"/>
    <mergeCell ref="C58:M58"/>
    <mergeCell ref="C59:M59"/>
    <mergeCell ref="C60:M60"/>
    <mergeCell ref="A62:M62"/>
    <mergeCell ref="C63:M63"/>
    <mergeCell ref="C64:M64"/>
    <mergeCell ref="C65:M65"/>
    <mergeCell ref="C66:M66"/>
    <mergeCell ref="C67:M67"/>
    <mergeCell ref="C68:M68"/>
    <mergeCell ref="C69:M69"/>
    <mergeCell ref="A71:M71"/>
    <mergeCell ref="C72:M72"/>
    <mergeCell ref="C73:M73"/>
    <mergeCell ref="C74:M74"/>
    <mergeCell ref="C75:M75"/>
    <mergeCell ref="C76:M76"/>
    <mergeCell ref="C77:M77"/>
    <mergeCell ref="C78:M78"/>
    <mergeCell ref="A80:M80"/>
    <mergeCell ref="C81:M81"/>
    <mergeCell ref="C82:M82"/>
    <mergeCell ref="C83:M83"/>
    <mergeCell ref="C84:M84"/>
    <mergeCell ref="C85:M85"/>
    <mergeCell ref="C86:M86"/>
    <mergeCell ref="C87:M87"/>
    <mergeCell ref="A89:M89"/>
    <mergeCell ref="A92:M92"/>
    <mergeCell ref="C93:M93"/>
    <mergeCell ref="C94:M94"/>
    <mergeCell ref="C95:M95"/>
    <mergeCell ref="C96:M96"/>
    <mergeCell ref="C97:M97"/>
  </mergeCells>
  <conditionalFormatting sqref="J12">
    <cfRule type="expression" priority="2" aboveAverage="0" equalAverage="0" bottom="0" percent="0" rank="0" text="" dxfId="1">
      <formula>J12="NO"</formula>
    </cfRule>
    <cfRule type="expression" priority="3" aboveAverage="0" equalAverage="0" bottom="0" percent="0" rank="0" text="" dxfId="0">
      <formula>J12="YES"</formula>
    </cfRule>
  </conditionalFormatting>
  <conditionalFormatting sqref="J13">
    <cfRule type="expression" priority="4" aboveAverage="0" equalAverage="0" bottom="0" percent="0" rank="0" text="" dxfId="1">
      <formula>J13="NO"</formula>
    </cfRule>
    <cfRule type="expression" priority="5" aboveAverage="0" equalAverage="0" bottom="0" percent="0" rank="0" text="" dxfId="0">
      <formula>J13="YES"</formula>
    </cfRule>
  </conditionalFormatting>
  <conditionalFormatting sqref="J14">
    <cfRule type="expression" priority="6" aboveAverage="0" equalAverage="0" bottom="0" percent="0" rank="0" text="" dxfId="1">
      <formula>J14="NO"</formula>
    </cfRule>
    <cfRule type="expression" priority="7" aboveAverage="0" equalAverage="0" bottom="0" percent="0" rank="0" text="" dxfId="0">
      <formula>J14="YES"</formula>
    </cfRule>
  </conditionalFormatting>
  <conditionalFormatting sqref="J15">
    <cfRule type="expression" priority="8" aboveAverage="0" equalAverage="0" bottom="0" percent="0" rank="0" text="" dxfId="1">
      <formula>J15="NO"</formula>
    </cfRule>
    <cfRule type="expression" priority="9" aboveAverage="0" equalAverage="0" bottom="0" percent="0" rank="0" text="" dxfId="0">
      <formula>J15="YES"</formula>
    </cfRule>
  </conditionalFormatting>
  <conditionalFormatting sqref="J16">
    <cfRule type="expression" priority="10" aboveAverage="0" equalAverage="0" bottom="0" percent="0" rank="0" text="" dxfId="1">
      <formula>J16="NO"</formula>
    </cfRule>
    <cfRule type="expression" priority="11" aboveAverage="0" equalAverage="0" bottom="0" percent="0" rank="0" text="" dxfId="0">
      <formula>J16="YES"</formula>
    </cfRule>
  </conditionalFormatting>
  <conditionalFormatting sqref="J17">
    <cfRule type="expression" priority="12" aboveAverage="0" equalAverage="0" bottom="0" percent="0" rank="0" text="" dxfId="1">
      <formula>J17="NO"</formula>
    </cfRule>
    <cfRule type="expression" priority="13" aboveAverage="0" equalAverage="0" bottom="0" percent="0" rank="0" text="" dxfId="0">
      <formula>J17="YES"</formula>
    </cfRule>
  </conditionalFormatting>
  <conditionalFormatting sqref="J18">
    <cfRule type="expression" priority="14" aboveAverage="0" equalAverage="0" bottom="0" percent="0" rank="0" text="" dxfId="1">
      <formula>J18="NO"</formula>
    </cfRule>
    <cfRule type="expression" priority="15" aboveAverage="0" equalAverage="0" bottom="0" percent="0" rank="0" text="" dxfId="0">
      <formula>J18="YES"</formula>
    </cfRule>
  </conditionalFormatting>
  <conditionalFormatting sqref="J19">
    <cfRule type="expression" priority="16" aboveAverage="0" equalAverage="0" bottom="0" percent="0" rank="0" text="" dxfId="1">
      <formula>J19="NO"</formula>
    </cfRule>
    <cfRule type="expression" priority="17" aboveAverage="0" equalAverage="0" bottom="0" percent="0" rank="0" text="" dxfId="0">
      <formula>J19="YES"</formula>
    </cfRule>
  </conditionalFormatting>
  <conditionalFormatting sqref="J20">
    <cfRule type="expression" priority="18" aboveAverage="0" equalAverage="0" bottom="0" percent="0" rank="0" text="" dxfId="1">
      <formula>J20="NO"</formula>
    </cfRule>
    <cfRule type="expression" priority="19" aboveAverage="0" equalAverage="0" bottom="0" percent="0" rank="0" text="" dxfId="0">
      <formula>J20="YES"</formula>
    </cfRule>
  </conditionalFormatting>
  <conditionalFormatting sqref="J21">
    <cfRule type="expression" priority="20" aboveAverage="0" equalAverage="0" bottom="0" percent="0" rank="0" text="" dxfId="1">
      <formula>J21="NO"</formula>
    </cfRule>
    <cfRule type="expression" priority="21" aboveAverage="0" equalAverage="0" bottom="0" percent="0" rank="0" text="" dxfId="0">
      <formula>J21="YES"</formula>
    </cfRule>
  </conditionalFormatting>
  <conditionalFormatting sqref="G22">
    <cfRule type="cellIs" priority="22" operator="equal" aboveAverage="0" equalAverage="0" bottom="0" percent="0" rank="0" text="" dxfId="0">
      <formula>1</formula>
    </cfRule>
    <cfRule type="cellIs" priority="23" operator="notEqual" aboveAverage="0" equalAverage="0" bottom="0" percent="0" rank="0" text="" dxfId="1">
      <formula>1</formula>
    </cfRule>
  </conditionalFormatting>
  <dataValidations count="3">
    <dataValidation allowBlank="true" error="Select from dropdown list." errorStyle="stop" errorTitle="Invalid" operator="between" showDropDown="false" showErrorMessage="true" showInputMessage="false" sqref="E12:E21" type="list">
      <formula1>"U.S. Equities,Fixed Income,Cash / Equiv.,International Equity,Real Estate / REIT,Commodities,Derivatives,Other"</formula1>
      <formula2>0</formula2>
    </dataValidation>
    <dataValidation allowBlank="true" error="Select from dropdown list." errorStyle="stop" errorTitle="Invalid" operator="between" showDropDown="false" showErrorMessage="true" showInputMessage="false" sqref="F12:F21" type="list">
      <formula1>"Technology,Healthcare,Financials,Consumer Disc.,Consumer Staples,Energy,Industrials,Materials,Utilities,Real Estate,Communication Svcs.,Government Bond,Corporate Bond,Municipal Bond,Money Market,Commodity,N/A"</formula1>
      <formula2>0</formula2>
    </dataValidation>
    <dataValidation allowBlank="false" error="Must be YES or NO." errorStyle="stop" errorTitle="Required" operator="between" showDropDown="false" showErrorMessage="true" showInputMessage="false" sqref="J12:J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3A8B"/>
    <pageSetUpPr fitToPage="false"/>
  </sheetPr>
  <dimension ref="A1:M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10"/>
    <col collapsed="false" customWidth="true" hidden="false" outlineLevel="0" max="4" min="4" style="1" width="28"/>
    <col collapsed="false" customWidth="true" hidden="false" outlineLevel="0" max="6" min="5" style="1" width="18"/>
    <col collapsed="false" customWidth="true" hidden="false" outlineLevel="0" max="7" min="7" style="1" width="10"/>
    <col collapsed="false" customWidth="true" hidden="false" outlineLevel="0" max="8" min="8" style="1" width="14"/>
    <col collapsed="false" customWidth="true" hidden="false" outlineLevel="0" max="9" min="9" style="1" width="9"/>
    <col collapsed="false" customWidth="true" hidden="false" outlineLevel="0" max="10" min="10" style="1" width="14"/>
    <col collapsed="false" customWidth="true" hidden="false" outlineLevel="0" max="11" min="11" style="1" width="22"/>
    <col collapsed="false" customWidth="true" hidden="false" outlineLevel="0" max="12" min="12" style="1" width="24"/>
    <col collapsed="false" customWidth="true" hidden="false" outlineLevel="0" max="13" min="13" style="1" width="2"/>
  </cols>
  <sheetData>
    <row r="1" customFormat="false" ht="6" hidden="false" customHeight="true" outlineLevel="0" collapsed="false"/>
    <row r="2" customFormat="false" ht="37.5" hidden="false" customHeight="true" outlineLevel="0" collapsed="false">
      <c r="A2" s="2" t="s">
        <v>112</v>
      </c>
      <c r="B2" s="2"/>
      <c r="C2" s="2"/>
      <c r="D2" s="2"/>
      <c r="E2" s="2"/>
      <c r="F2" s="2"/>
      <c r="G2" s="2"/>
      <c r="H2" s="2"/>
      <c r="I2" s="2"/>
      <c r="J2" s="2"/>
      <c r="K2" s="2"/>
      <c r="L2" s="2"/>
      <c r="M2" s="2"/>
    </row>
    <row r="3" customFormat="false" ht="18" hidden="false" customHeight="true" outlineLevel="0" collapsed="false">
      <c r="A3" s="3" t="s">
        <v>41</v>
      </c>
      <c r="B3" s="3"/>
      <c r="C3" s="3"/>
      <c r="D3" s="3"/>
      <c r="E3" s="3"/>
      <c r="F3" s="3"/>
      <c r="G3" s="3"/>
      <c r="H3" s="3"/>
      <c r="I3" s="3"/>
      <c r="J3" s="3"/>
      <c r="K3" s="3"/>
      <c r="L3" s="3"/>
      <c r="M3" s="3"/>
    </row>
    <row r="4" customFormat="false" ht="6" hidden="false" customHeight="true" outlineLevel="0" collapsed="false"/>
    <row r="5" customFormat="false" ht="21.75" hidden="false" customHeight="true" outlineLevel="0" collapsed="false">
      <c r="B5" s="17" t="s">
        <v>42</v>
      </c>
      <c r="C5" s="18"/>
      <c r="D5" s="19"/>
      <c r="F5" s="17" t="s">
        <v>43</v>
      </c>
      <c r="G5" s="20"/>
      <c r="H5" s="17" t="s">
        <v>44</v>
      </c>
      <c r="I5" s="20"/>
      <c r="J5" s="17" t="s">
        <v>45</v>
      </c>
      <c r="K5" s="21"/>
      <c r="L5" s="21"/>
    </row>
    <row r="6" customFormat="false" ht="6" hidden="false" customHeight="true" outlineLevel="0" collapsed="false"/>
    <row r="7" customFormat="false" ht="30" hidden="false" customHeight="true" outlineLevel="0" collapsed="false">
      <c r="A7" s="22" t="s">
        <v>46</v>
      </c>
      <c r="B7" s="22"/>
      <c r="C7" s="22"/>
      <c r="D7" s="22"/>
      <c r="E7" s="22"/>
      <c r="F7" s="22"/>
      <c r="G7" s="22"/>
      <c r="H7" s="22"/>
      <c r="I7" s="22"/>
      <c r="J7" s="22"/>
      <c r="K7" s="22"/>
      <c r="L7" s="22"/>
      <c r="M7" s="22"/>
    </row>
    <row r="8" customFormat="false" ht="7.5" hidden="false" customHeight="true" outlineLevel="0" collapsed="false"/>
    <row r="9" customFormat="false" ht="19.5" hidden="false" customHeight="true" outlineLevel="0" collapsed="false">
      <c r="A9" s="23" t="s">
        <v>47</v>
      </c>
      <c r="B9" s="23"/>
      <c r="C9" s="23"/>
      <c r="D9" s="23"/>
      <c r="E9" s="23"/>
      <c r="F9" s="23"/>
      <c r="G9" s="23"/>
      <c r="H9" s="23"/>
      <c r="I9" s="23"/>
      <c r="J9" s="23"/>
      <c r="K9" s="23"/>
      <c r="L9" s="23"/>
      <c r="M9" s="23"/>
    </row>
    <row r="10" customFormat="false" ht="30" hidden="false" customHeight="true" outlineLevel="0" collapsed="false">
      <c r="A10" s="8" t="s">
        <v>48</v>
      </c>
      <c r="B10" s="8"/>
      <c r="C10" s="8"/>
      <c r="D10" s="8"/>
      <c r="E10" s="8"/>
      <c r="F10" s="8"/>
      <c r="G10" s="8"/>
      <c r="H10" s="8"/>
      <c r="I10" s="8"/>
      <c r="J10" s="8"/>
      <c r="K10" s="8"/>
      <c r="L10" s="8"/>
      <c r="M10" s="8"/>
    </row>
    <row r="11" customFormat="false" ht="36" hidden="false" customHeight="true" outlineLevel="0" collapsed="false">
      <c r="B11" s="24" t="s">
        <v>49</v>
      </c>
      <c r="C11" s="24" t="s">
        <v>50</v>
      </c>
      <c r="D11" s="24" t="s">
        <v>51</v>
      </c>
      <c r="E11" s="24" t="s">
        <v>52</v>
      </c>
      <c r="F11" s="24" t="s">
        <v>53</v>
      </c>
      <c r="G11" s="24" t="s">
        <v>54</v>
      </c>
      <c r="H11" s="24" t="s">
        <v>55</v>
      </c>
      <c r="I11" s="24" t="s">
        <v>56</v>
      </c>
      <c r="J11" s="24" t="s">
        <v>57</v>
      </c>
      <c r="K11" s="24" t="s">
        <v>58</v>
      </c>
      <c r="L11" s="24" t="s">
        <v>59</v>
      </c>
    </row>
    <row r="12" customFormat="false" ht="21.75" hidden="false" customHeight="true" outlineLevel="0" collapsed="false">
      <c r="B12" s="25" t="n">
        <f aca="false">1</f>
        <v>1</v>
      </c>
      <c r="C12" s="18"/>
      <c r="D12" s="26"/>
      <c r="E12" s="18"/>
      <c r="F12" s="18"/>
      <c r="G12" s="20"/>
      <c r="H12" s="27" t="str">
        <f aca="false">IF(G12&lt;&gt;"",G12*500000,"")</f>
        <v/>
      </c>
      <c r="I12" s="28"/>
      <c r="J12" s="18"/>
      <c r="K12" s="29"/>
      <c r="L12" s="26"/>
    </row>
    <row r="13" customFormat="false" ht="21.75" hidden="false" customHeight="true" outlineLevel="0" collapsed="false">
      <c r="B13" s="25" t="n">
        <f aca="false">2</f>
        <v>2</v>
      </c>
      <c r="C13" s="18"/>
      <c r="D13" s="26"/>
      <c r="E13" s="18"/>
      <c r="F13" s="18"/>
      <c r="G13" s="20"/>
      <c r="H13" s="27" t="str">
        <f aca="false">IF(G13&lt;&gt;"",G13*500000,"")</f>
        <v/>
      </c>
      <c r="I13" s="28"/>
      <c r="J13" s="18"/>
      <c r="K13" s="29"/>
      <c r="L13" s="26"/>
    </row>
    <row r="14" customFormat="false" ht="21.75" hidden="false" customHeight="true" outlineLevel="0" collapsed="false">
      <c r="B14" s="25" t="n">
        <f aca="false">3</f>
        <v>3</v>
      </c>
      <c r="C14" s="18"/>
      <c r="D14" s="26"/>
      <c r="E14" s="18"/>
      <c r="F14" s="18"/>
      <c r="G14" s="20"/>
      <c r="H14" s="27" t="str">
        <f aca="false">IF(G14&lt;&gt;"",G14*500000,"")</f>
        <v/>
      </c>
      <c r="I14" s="28"/>
      <c r="J14" s="18"/>
      <c r="K14" s="29"/>
      <c r="L14" s="26"/>
    </row>
    <row r="15" customFormat="false" ht="21.75" hidden="false" customHeight="true" outlineLevel="0" collapsed="false">
      <c r="B15" s="25" t="n">
        <f aca="false">4</f>
        <v>4</v>
      </c>
      <c r="C15" s="18"/>
      <c r="D15" s="26"/>
      <c r="E15" s="18"/>
      <c r="F15" s="18"/>
      <c r="G15" s="20"/>
      <c r="H15" s="27" t="str">
        <f aca="false">IF(G15&lt;&gt;"",G15*500000,"")</f>
        <v/>
      </c>
      <c r="I15" s="28"/>
      <c r="J15" s="18"/>
      <c r="K15" s="29"/>
      <c r="L15" s="26"/>
    </row>
    <row r="16" customFormat="false" ht="21.75" hidden="false" customHeight="true" outlineLevel="0" collapsed="false">
      <c r="B16" s="25" t="n">
        <f aca="false">5</f>
        <v>5</v>
      </c>
      <c r="C16" s="18"/>
      <c r="D16" s="26"/>
      <c r="E16" s="18"/>
      <c r="F16" s="18"/>
      <c r="G16" s="20"/>
      <c r="H16" s="27" t="str">
        <f aca="false">IF(G16&lt;&gt;"",G16*500000,"")</f>
        <v/>
      </c>
      <c r="I16" s="28"/>
      <c r="J16" s="18"/>
      <c r="K16" s="29"/>
      <c r="L16" s="26"/>
    </row>
    <row r="17" customFormat="false" ht="21.75" hidden="false" customHeight="true" outlineLevel="0" collapsed="false">
      <c r="B17" s="25" t="n">
        <f aca="false">6</f>
        <v>6</v>
      </c>
      <c r="C17" s="18"/>
      <c r="D17" s="26"/>
      <c r="E17" s="18"/>
      <c r="F17" s="18"/>
      <c r="G17" s="20"/>
      <c r="H17" s="27" t="str">
        <f aca="false">IF(G17&lt;&gt;"",G17*500000,"")</f>
        <v/>
      </c>
      <c r="I17" s="28"/>
      <c r="J17" s="18"/>
      <c r="K17" s="29"/>
      <c r="L17" s="26"/>
    </row>
    <row r="18" customFormat="false" ht="21.75" hidden="false" customHeight="true" outlineLevel="0" collapsed="false">
      <c r="B18" s="25" t="n">
        <f aca="false">7</f>
        <v>7</v>
      </c>
      <c r="C18" s="18"/>
      <c r="D18" s="26"/>
      <c r="E18" s="18"/>
      <c r="F18" s="18"/>
      <c r="G18" s="20"/>
      <c r="H18" s="27" t="str">
        <f aca="false">IF(G18&lt;&gt;"",G18*500000,"")</f>
        <v/>
      </c>
      <c r="I18" s="28"/>
      <c r="J18" s="18"/>
      <c r="K18" s="29"/>
      <c r="L18" s="26"/>
    </row>
    <row r="19" customFormat="false" ht="21.75" hidden="false" customHeight="true" outlineLevel="0" collapsed="false">
      <c r="B19" s="25" t="n">
        <f aca="false">8</f>
        <v>8</v>
      </c>
      <c r="C19" s="18"/>
      <c r="D19" s="26"/>
      <c r="E19" s="18"/>
      <c r="F19" s="18"/>
      <c r="G19" s="20"/>
      <c r="H19" s="27" t="str">
        <f aca="false">IF(G19&lt;&gt;"",G19*500000,"")</f>
        <v/>
      </c>
      <c r="I19" s="28"/>
      <c r="J19" s="18"/>
      <c r="K19" s="29"/>
      <c r="L19" s="26"/>
    </row>
    <row r="20" customFormat="false" ht="21.75" hidden="false" customHeight="true" outlineLevel="0" collapsed="false">
      <c r="B20" s="25" t="n">
        <f aca="false">9</f>
        <v>9</v>
      </c>
      <c r="C20" s="18"/>
      <c r="D20" s="26"/>
      <c r="E20" s="18"/>
      <c r="F20" s="18"/>
      <c r="G20" s="20"/>
      <c r="H20" s="27" t="str">
        <f aca="false">IF(G20&lt;&gt;"",G20*500000,"")</f>
        <v/>
      </c>
      <c r="I20" s="28"/>
      <c r="J20" s="18"/>
      <c r="K20" s="29"/>
      <c r="L20" s="26"/>
    </row>
    <row r="21" customFormat="false" ht="21.75" hidden="false" customHeight="true" outlineLevel="0" collapsed="false">
      <c r="B21" s="25" t="n">
        <f aca="false">10</f>
        <v>10</v>
      </c>
      <c r="C21" s="18"/>
      <c r="D21" s="26"/>
      <c r="E21" s="18"/>
      <c r="F21" s="18"/>
      <c r="G21" s="20"/>
      <c r="H21" s="27" t="str">
        <f aca="false">IF(G21&lt;&gt;"",G21*500000,"")</f>
        <v/>
      </c>
      <c r="I21" s="28"/>
      <c r="J21" s="18"/>
      <c r="K21" s="29"/>
      <c r="L21" s="26"/>
    </row>
    <row r="22" customFormat="false" ht="21.75" hidden="false" customHeight="true" outlineLevel="0" collapsed="false">
      <c r="A22" s="30" t="s">
        <v>60</v>
      </c>
      <c r="B22" s="30"/>
      <c r="C22" s="30"/>
      <c r="D22" s="30"/>
      <c r="E22" s="30"/>
      <c r="F22" s="30"/>
      <c r="G22" s="31" t="n">
        <f aca="false">IFERROR(SUM(G12:G71),0)</f>
        <v>0</v>
      </c>
      <c r="H22" s="32" t="n">
        <f aca="false">IFERROR(SUMIF(G12:G71,"&lt;&gt;",H12:H71),0)</f>
        <v>0</v>
      </c>
      <c r="I22" s="33" t="str">
        <f aca="false">IFERROR(SUMPRODUCT((G12:G71)*IF(ISNUMBER(I12:I71),I12:I71,0))/IFERROR(SUM(G12:G71),1),"")</f>
        <v/>
      </c>
      <c r="J22" s="34" t="s">
        <v>61</v>
      </c>
      <c r="K22" s="35" t="s">
        <v>62</v>
      </c>
      <c r="L22" s="35"/>
      <c r="M22" s="35"/>
    </row>
    <row r="24" customFormat="false" ht="9.75" hidden="false" customHeight="true" outlineLevel="0" collapsed="false"/>
    <row r="25" customFormat="false" ht="19.5" hidden="false" customHeight="true" outlineLevel="0" collapsed="false">
      <c r="A25" s="23" t="s">
        <v>63</v>
      </c>
      <c r="B25" s="23"/>
      <c r="C25" s="23"/>
      <c r="D25" s="23"/>
      <c r="E25" s="23"/>
      <c r="F25" s="23"/>
      <c r="G25" s="23"/>
      <c r="H25" s="23"/>
      <c r="I25" s="23"/>
      <c r="J25" s="23"/>
      <c r="K25" s="23"/>
      <c r="L25" s="23"/>
      <c r="M25" s="23"/>
    </row>
    <row r="26" customFormat="false" ht="30" hidden="false" customHeight="true" outlineLevel="0" collapsed="false">
      <c r="A26" s="22" t="s">
        <v>64</v>
      </c>
      <c r="B26" s="22"/>
      <c r="C26" s="22"/>
      <c r="D26" s="22"/>
      <c r="E26" s="22"/>
      <c r="F26" s="22"/>
      <c r="G26" s="22"/>
      <c r="H26" s="22"/>
      <c r="I26" s="22"/>
      <c r="J26" s="22"/>
      <c r="K26" s="22"/>
      <c r="L26" s="22"/>
      <c r="M26" s="22"/>
    </row>
    <row r="27" customFormat="false" ht="21.75" hidden="false" customHeight="true" outlineLevel="0" collapsed="false">
      <c r="B27" s="17" t="s">
        <v>65</v>
      </c>
      <c r="C27" s="21"/>
      <c r="D27" s="21"/>
      <c r="E27" s="21"/>
      <c r="F27" s="21"/>
      <c r="G27" s="21"/>
      <c r="H27" s="21"/>
      <c r="I27" s="21"/>
      <c r="J27" s="36" t="s">
        <v>66</v>
      </c>
      <c r="K27" s="36"/>
      <c r="L27" s="36"/>
      <c r="M27" s="36"/>
    </row>
    <row r="28" customFormat="false" ht="21.75" hidden="false" customHeight="true" outlineLevel="0" collapsed="false">
      <c r="B28" s="17" t="s">
        <v>67</v>
      </c>
      <c r="C28" s="21"/>
      <c r="D28" s="21"/>
      <c r="E28" s="21"/>
      <c r="F28" s="21"/>
      <c r="G28" s="21"/>
      <c r="H28" s="21"/>
      <c r="I28" s="21"/>
      <c r="J28" s="36" t="s">
        <v>68</v>
      </c>
      <c r="K28" s="36"/>
      <c r="L28" s="36"/>
      <c r="M28" s="36"/>
    </row>
    <row r="29" customFormat="false" ht="21.75" hidden="false" customHeight="true" outlineLevel="0" collapsed="false">
      <c r="B29" s="17" t="s">
        <v>69</v>
      </c>
      <c r="C29" s="21"/>
      <c r="D29" s="21"/>
      <c r="E29" s="21"/>
      <c r="F29" s="21"/>
      <c r="G29" s="21"/>
      <c r="H29" s="21"/>
      <c r="I29" s="21"/>
      <c r="J29" s="36" t="s">
        <v>70</v>
      </c>
      <c r="K29" s="36"/>
      <c r="L29" s="36"/>
      <c r="M29" s="36"/>
    </row>
    <row r="30" customFormat="false" ht="21.75" hidden="false" customHeight="true" outlineLevel="0" collapsed="false">
      <c r="B30" s="17" t="s">
        <v>71</v>
      </c>
      <c r="C30" s="21"/>
      <c r="D30" s="21"/>
      <c r="E30" s="21"/>
      <c r="F30" s="21"/>
      <c r="G30" s="21"/>
      <c r="H30" s="21"/>
      <c r="I30" s="21"/>
      <c r="J30" s="36" t="s">
        <v>72</v>
      </c>
      <c r="K30" s="36"/>
      <c r="L30" s="36"/>
      <c r="M30" s="36"/>
    </row>
    <row r="31" customFormat="false" ht="21.75" hidden="false" customHeight="true" outlineLevel="0" collapsed="false">
      <c r="B31" s="17" t="s">
        <v>73</v>
      </c>
      <c r="C31" s="21"/>
      <c r="D31" s="21"/>
      <c r="E31" s="21"/>
      <c r="F31" s="21"/>
      <c r="G31" s="21"/>
      <c r="H31" s="21"/>
      <c r="I31" s="21"/>
      <c r="J31" s="36" t="s">
        <v>74</v>
      </c>
      <c r="K31" s="36"/>
      <c r="L31" s="36"/>
      <c r="M31" s="36"/>
    </row>
    <row r="32" customFormat="false" ht="21.75" hidden="false" customHeight="true" outlineLevel="0" collapsed="false">
      <c r="B32" s="17" t="s">
        <v>75</v>
      </c>
      <c r="C32" s="21"/>
      <c r="D32" s="21"/>
      <c r="E32" s="21"/>
      <c r="F32" s="21"/>
      <c r="G32" s="21"/>
      <c r="H32" s="21"/>
      <c r="I32" s="21"/>
      <c r="J32" s="36" t="s">
        <v>76</v>
      </c>
      <c r="K32" s="36"/>
      <c r="L32" s="36"/>
      <c r="M32" s="36"/>
    </row>
    <row r="33" customFormat="false" ht="21.75" hidden="false" customHeight="true" outlineLevel="0" collapsed="false">
      <c r="B33" s="17" t="s">
        <v>77</v>
      </c>
      <c r="C33" s="21"/>
      <c r="D33" s="21"/>
      <c r="E33" s="21"/>
      <c r="F33" s="21"/>
      <c r="G33" s="21"/>
      <c r="H33" s="21"/>
      <c r="I33" s="21"/>
      <c r="J33" s="36" t="s">
        <v>78</v>
      </c>
      <c r="K33" s="36"/>
      <c r="L33" s="36"/>
      <c r="M33" s="36"/>
    </row>
    <row r="34" customFormat="false" ht="21.75" hidden="false" customHeight="true" outlineLevel="0" collapsed="false">
      <c r="B34" s="17" t="s">
        <v>79</v>
      </c>
      <c r="C34" s="21"/>
      <c r="D34" s="21"/>
      <c r="E34" s="21"/>
      <c r="F34" s="21"/>
      <c r="G34" s="21"/>
      <c r="H34" s="21"/>
      <c r="I34" s="21"/>
      <c r="J34" s="36" t="s">
        <v>80</v>
      </c>
      <c r="K34" s="36"/>
      <c r="L34" s="36"/>
      <c r="M34" s="36"/>
    </row>
    <row r="35" customFormat="false" ht="21.75" hidden="false" customHeight="true" outlineLevel="0" collapsed="false">
      <c r="B35" s="17" t="s">
        <v>81</v>
      </c>
      <c r="C35" s="21"/>
      <c r="D35" s="21"/>
      <c r="E35" s="21"/>
      <c r="F35" s="21"/>
      <c r="G35" s="21"/>
      <c r="H35" s="21"/>
      <c r="I35" s="21"/>
      <c r="J35" s="36" t="s">
        <v>82</v>
      </c>
      <c r="K35" s="36"/>
      <c r="L35" s="36"/>
      <c r="M35" s="36"/>
    </row>
    <row r="36" customFormat="false" ht="9.75" hidden="false" customHeight="true" outlineLevel="0" collapsed="false"/>
    <row r="37" customFormat="false" ht="19.5" hidden="false" customHeight="true" outlineLevel="0" collapsed="false">
      <c r="B37" s="23" t="s">
        <v>83</v>
      </c>
      <c r="C37" s="23"/>
      <c r="D37" s="23"/>
      <c r="E37" s="23"/>
      <c r="F37" s="23"/>
      <c r="G37" s="23"/>
      <c r="H37" s="23"/>
      <c r="I37" s="23"/>
      <c r="J37" s="23"/>
      <c r="K37" s="23"/>
      <c r="L37" s="23"/>
      <c r="M37" s="23"/>
    </row>
    <row r="38" customFormat="false" ht="30" hidden="false" customHeight="true" outlineLevel="0" collapsed="false">
      <c r="B38" s="24" t="s">
        <v>84</v>
      </c>
      <c r="C38" s="37" t="s">
        <v>85</v>
      </c>
      <c r="D38" s="37"/>
      <c r="E38" s="37"/>
      <c r="F38" s="37" t="s">
        <v>86</v>
      </c>
      <c r="G38" s="37"/>
      <c r="H38" s="37" t="s">
        <v>87</v>
      </c>
      <c r="I38" s="37"/>
      <c r="J38" s="37"/>
      <c r="K38" s="37" t="s">
        <v>88</v>
      </c>
      <c r="L38" s="37"/>
    </row>
    <row r="39" customFormat="false" ht="21.75" hidden="false" customHeight="true" outlineLevel="0" collapsed="false">
      <c r="B39" s="18"/>
      <c r="C39" s="21"/>
      <c r="D39" s="21"/>
      <c r="E39" s="21"/>
      <c r="F39" s="21"/>
      <c r="G39" s="21"/>
      <c r="H39" s="21"/>
      <c r="I39" s="21"/>
      <c r="J39" s="21"/>
      <c r="K39" s="21"/>
      <c r="L39" s="21"/>
    </row>
    <row r="40" customFormat="false" ht="21.75" hidden="false" customHeight="true" outlineLevel="0" collapsed="false">
      <c r="B40" s="18"/>
      <c r="C40" s="21"/>
      <c r="D40" s="21"/>
      <c r="E40" s="21"/>
      <c r="F40" s="21"/>
      <c r="G40" s="21"/>
      <c r="H40" s="21"/>
      <c r="I40" s="21"/>
      <c r="J40" s="21"/>
      <c r="K40" s="21"/>
      <c r="L40" s="21"/>
    </row>
    <row r="41" customFormat="false" ht="9.75" hidden="false" customHeight="true" outlineLevel="0" collapsed="false"/>
    <row r="42" customFormat="false" ht="19.5" hidden="false" customHeight="true" outlineLevel="0" collapsed="false">
      <c r="A42" s="23" t="s">
        <v>89</v>
      </c>
      <c r="B42" s="23"/>
      <c r="C42" s="23"/>
      <c r="D42" s="23"/>
      <c r="E42" s="23"/>
      <c r="F42" s="23"/>
      <c r="G42" s="23"/>
      <c r="H42" s="23"/>
      <c r="I42" s="23"/>
      <c r="J42" s="23"/>
      <c r="K42" s="23"/>
      <c r="L42" s="23"/>
      <c r="M42" s="23"/>
    </row>
    <row r="43" customFormat="false" ht="30" hidden="false" customHeight="true" outlineLevel="0" collapsed="false">
      <c r="A43" s="8" t="s">
        <v>90</v>
      </c>
      <c r="B43" s="8"/>
      <c r="C43" s="8"/>
      <c r="D43" s="8"/>
      <c r="E43" s="8"/>
      <c r="F43" s="8"/>
      <c r="G43" s="8"/>
      <c r="H43" s="8"/>
      <c r="I43" s="8"/>
      <c r="J43" s="8"/>
      <c r="K43" s="8"/>
      <c r="L43" s="8"/>
      <c r="M43" s="8"/>
    </row>
    <row r="44" customFormat="false" ht="19.5" hidden="false" customHeight="true" outlineLevel="0" collapsed="false">
      <c r="A44" s="38" t="s">
        <v>91</v>
      </c>
      <c r="B44" s="38"/>
      <c r="C44" s="38"/>
      <c r="D44" s="38"/>
      <c r="E44" s="38"/>
      <c r="F44" s="38"/>
      <c r="G44" s="38"/>
      <c r="H44" s="38"/>
      <c r="I44" s="38"/>
      <c r="J44" s="38"/>
      <c r="K44" s="38"/>
      <c r="L44" s="38"/>
      <c r="M44" s="38"/>
    </row>
    <row r="45" customFormat="false" ht="25.5" hidden="false" customHeight="true" outlineLevel="0" collapsed="false">
      <c r="B45" s="39" t="s">
        <v>92</v>
      </c>
      <c r="C45" s="21"/>
      <c r="D45" s="21"/>
      <c r="E45" s="21"/>
      <c r="F45" s="21"/>
      <c r="G45" s="21"/>
      <c r="H45" s="21"/>
      <c r="I45" s="21"/>
      <c r="J45" s="21"/>
      <c r="K45" s="21"/>
      <c r="L45" s="21"/>
      <c r="M45" s="21"/>
    </row>
    <row r="46" customFormat="false" ht="25.5" hidden="false" customHeight="true" outlineLevel="0" collapsed="false">
      <c r="B46" s="39" t="s">
        <v>93</v>
      </c>
      <c r="C46" s="21"/>
      <c r="D46" s="21"/>
      <c r="E46" s="21"/>
      <c r="F46" s="21"/>
      <c r="G46" s="21"/>
      <c r="H46" s="21"/>
      <c r="I46" s="21"/>
      <c r="J46" s="21"/>
      <c r="K46" s="21"/>
      <c r="L46" s="21"/>
      <c r="M46" s="21"/>
    </row>
    <row r="47" customFormat="false" ht="25.5" hidden="false" customHeight="true" outlineLevel="0" collapsed="false">
      <c r="B47" s="39" t="s">
        <v>94</v>
      </c>
      <c r="C47" s="21"/>
      <c r="D47" s="21"/>
      <c r="E47" s="21"/>
      <c r="F47" s="21"/>
      <c r="G47" s="21"/>
      <c r="H47" s="21"/>
      <c r="I47" s="21"/>
      <c r="J47" s="21"/>
      <c r="K47" s="21"/>
      <c r="L47" s="21"/>
      <c r="M47" s="21"/>
    </row>
    <row r="48" customFormat="false" ht="25.5" hidden="false" customHeight="true" outlineLevel="0" collapsed="false">
      <c r="B48" s="39" t="s">
        <v>95</v>
      </c>
      <c r="C48" s="21"/>
      <c r="D48" s="21"/>
      <c r="E48" s="21"/>
      <c r="F48" s="21"/>
      <c r="G48" s="21"/>
      <c r="H48" s="21"/>
      <c r="I48" s="21"/>
      <c r="J48" s="21"/>
      <c r="K48" s="21"/>
      <c r="L48" s="21"/>
      <c r="M48" s="21"/>
    </row>
    <row r="49" customFormat="false" ht="25.5" hidden="false" customHeight="true" outlineLevel="0" collapsed="false">
      <c r="B49" s="39" t="s">
        <v>96</v>
      </c>
      <c r="C49" s="21"/>
      <c r="D49" s="21"/>
      <c r="E49" s="21"/>
      <c r="F49" s="21"/>
      <c r="G49" s="21"/>
      <c r="H49" s="21"/>
      <c r="I49" s="21"/>
      <c r="J49" s="21"/>
      <c r="K49" s="21"/>
      <c r="L49" s="21"/>
      <c r="M49" s="21"/>
    </row>
    <row r="50" customFormat="false" ht="25.5" hidden="false" customHeight="true" outlineLevel="0" collapsed="false">
      <c r="B50" s="39" t="s">
        <v>97</v>
      </c>
      <c r="C50" s="21"/>
      <c r="D50" s="21"/>
      <c r="E50" s="21"/>
      <c r="F50" s="21"/>
      <c r="G50" s="21"/>
      <c r="H50" s="21"/>
      <c r="I50" s="21"/>
      <c r="J50" s="21"/>
      <c r="K50" s="21"/>
      <c r="L50" s="21"/>
      <c r="M50" s="21"/>
    </row>
    <row r="51" customFormat="false" ht="25.5" hidden="false" customHeight="true" outlineLevel="0" collapsed="false">
      <c r="B51" s="39" t="s">
        <v>98</v>
      </c>
      <c r="C51" s="21"/>
      <c r="D51" s="21"/>
      <c r="E51" s="21"/>
      <c r="F51" s="21"/>
      <c r="G51" s="21"/>
      <c r="H51" s="21"/>
      <c r="I51" s="21"/>
      <c r="J51" s="21"/>
      <c r="K51" s="21"/>
      <c r="L51" s="21"/>
      <c r="M51" s="21"/>
    </row>
    <row r="52" customFormat="false" ht="6" hidden="false" customHeight="true" outlineLevel="0" collapsed="false"/>
    <row r="53" customFormat="false" ht="19.5" hidden="false" customHeight="true" outlineLevel="0" collapsed="false">
      <c r="A53" s="38" t="s">
        <v>99</v>
      </c>
      <c r="B53" s="38"/>
      <c r="C53" s="38"/>
      <c r="D53" s="38"/>
      <c r="E53" s="38"/>
      <c r="F53" s="38"/>
      <c r="G53" s="38"/>
      <c r="H53" s="38"/>
      <c r="I53" s="38"/>
      <c r="J53" s="38"/>
      <c r="K53" s="38"/>
      <c r="L53" s="38"/>
      <c r="M53" s="38"/>
    </row>
    <row r="54" customFormat="false" ht="25.5" hidden="false" customHeight="true" outlineLevel="0" collapsed="false">
      <c r="B54" s="39" t="s">
        <v>92</v>
      </c>
      <c r="C54" s="21"/>
      <c r="D54" s="21"/>
      <c r="E54" s="21"/>
      <c r="F54" s="21"/>
      <c r="G54" s="21"/>
      <c r="H54" s="21"/>
      <c r="I54" s="21"/>
      <c r="J54" s="21"/>
      <c r="K54" s="21"/>
      <c r="L54" s="21"/>
      <c r="M54" s="21"/>
    </row>
    <row r="55" customFormat="false" ht="25.5" hidden="false" customHeight="true" outlineLevel="0" collapsed="false">
      <c r="B55" s="39" t="s">
        <v>93</v>
      </c>
      <c r="C55" s="21"/>
      <c r="D55" s="21"/>
      <c r="E55" s="21"/>
      <c r="F55" s="21"/>
      <c r="G55" s="21"/>
      <c r="H55" s="21"/>
      <c r="I55" s="21"/>
      <c r="J55" s="21"/>
      <c r="K55" s="21"/>
      <c r="L55" s="21"/>
      <c r="M55" s="21"/>
    </row>
    <row r="56" customFormat="false" ht="25.5" hidden="false" customHeight="true" outlineLevel="0" collapsed="false">
      <c r="B56" s="39" t="s">
        <v>94</v>
      </c>
      <c r="C56" s="21"/>
      <c r="D56" s="21"/>
      <c r="E56" s="21"/>
      <c r="F56" s="21"/>
      <c r="G56" s="21"/>
      <c r="H56" s="21"/>
      <c r="I56" s="21"/>
      <c r="J56" s="21"/>
      <c r="K56" s="21"/>
      <c r="L56" s="21"/>
      <c r="M56" s="21"/>
    </row>
    <row r="57" customFormat="false" ht="25.5" hidden="false" customHeight="true" outlineLevel="0" collapsed="false">
      <c r="B57" s="39" t="s">
        <v>95</v>
      </c>
      <c r="C57" s="21"/>
      <c r="D57" s="21"/>
      <c r="E57" s="21"/>
      <c r="F57" s="21"/>
      <c r="G57" s="21"/>
      <c r="H57" s="21"/>
      <c r="I57" s="21"/>
      <c r="J57" s="21"/>
      <c r="K57" s="21"/>
      <c r="L57" s="21"/>
      <c r="M57" s="21"/>
    </row>
    <row r="58" customFormat="false" ht="25.5" hidden="false" customHeight="true" outlineLevel="0" collapsed="false">
      <c r="B58" s="39" t="s">
        <v>96</v>
      </c>
      <c r="C58" s="21"/>
      <c r="D58" s="21"/>
      <c r="E58" s="21"/>
      <c r="F58" s="21"/>
      <c r="G58" s="21"/>
      <c r="H58" s="21"/>
      <c r="I58" s="21"/>
      <c r="J58" s="21"/>
      <c r="K58" s="21"/>
      <c r="L58" s="21"/>
      <c r="M58" s="21"/>
    </row>
    <row r="59" customFormat="false" ht="25.5" hidden="false" customHeight="true" outlineLevel="0" collapsed="false">
      <c r="B59" s="39" t="s">
        <v>97</v>
      </c>
      <c r="C59" s="21"/>
      <c r="D59" s="21"/>
      <c r="E59" s="21"/>
      <c r="F59" s="21"/>
      <c r="G59" s="21"/>
      <c r="H59" s="21"/>
      <c r="I59" s="21"/>
      <c r="J59" s="21"/>
      <c r="K59" s="21"/>
      <c r="L59" s="21"/>
      <c r="M59" s="21"/>
    </row>
    <row r="60" customFormat="false" ht="25.5" hidden="false" customHeight="true" outlineLevel="0" collapsed="false">
      <c r="B60" s="39" t="s">
        <v>98</v>
      </c>
      <c r="C60" s="21"/>
      <c r="D60" s="21"/>
      <c r="E60" s="21"/>
      <c r="F60" s="21"/>
      <c r="G60" s="21"/>
      <c r="H60" s="21"/>
      <c r="I60" s="21"/>
      <c r="J60" s="21"/>
      <c r="K60" s="21"/>
      <c r="L60" s="21"/>
      <c r="M60" s="21"/>
    </row>
    <row r="61" customFormat="false" ht="6" hidden="false" customHeight="true" outlineLevel="0" collapsed="false"/>
    <row r="62" customFormat="false" ht="19.5" hidden="false" customHeight="true" outlineLevel="0" collapsed="false">
      <c r="A62" s="38" t="s">
        <v>100</v>
      </c>
      <c r="B62" s="38"/>
      <c r="C62" s="38"/>
      <c r="D62" s="38"/>
      <c r="E62" s="38"/>
      <c r="F62" s="38"/>
      <c r="G62" s="38"/>
      <c r="H62" s="38"/>
      <c r="I62" s="38"/>
      <c r="J62" s="38"/>
      <c r="K62" s="38"/>
      <c r="L62" s="38"/>
      <c r="M62" s="38"/>
    </row>
    <row r="63" customFormat="false" ht="25.5" hidden="false" customHeight="true" outlineLevel="0" collapsed="false">
      <c r="B63" s="39" t="s">
        <v>92</v>
      </c>
      <c r="C63" s="21"/>
      <c r="D63" s="21"/>
      <c r="E63" s="21"/>
      <c r="F63" s="21"/>
      <c r="G63" s="21"/>
      <c r="H63" s="21"/>
      <c r="I63" s="21"/>
      <c r="J63" s="21"/>
      <c r="K63" s="21"/>
      <c r="L63" s="21"/>
      <c r="M63" s="21"/>
    </row>
    <row r="64" customFormat="false" ht="25.5" hidden="false" customHeight="true" outlineLevel="0" collapsed="false">
      <c r="B64" s="39" t="s">
        <v>93</v>
      </c>
      <c r="C64" s="21"/>
      <c r="D64" s="21"/>
      <c r="E64" s="21"/>
      <c r="F64" s="21"/>
      <c r="G64" s="21"/>
      <c r="H64" s="21"/>
      <c r="I64" s="21"/>
      <c r="J64" s="21"/>
      <c r="K64" s="21"/>
      <c r="L64" s="21"/>
      <c r="M64" s="21"/>
    </row>
    <row r="65" customFormat="false" ht="25.5" hidden="false" customHeight="true" outlineLevel="0" collapsed="false">
      <c r="B65" s="39" t="s">
        <v>94</v>
      </c>
      <c r="C65" s="21"/>
      <c r="D65" s="21"/>
      <c r="E65" s="21"/>
      <c r="F65" s="21"/>
      <c r="G65" s="21"/>
      <c r="H65" s="21"/>
      <c r="I65" s="21"/>
      <c r="J65" s="21"/>
      <c r="K65" s="21"/>
      <c r="L65" s="21"/>
      <c r="M65" s="21"/>
    </row>
    <row r="66" customFormat="false" ht="25.5" hidden="false" customHeight="true" outlineLevel="0" collapsed="false">
      <c r="B66" s="39" t="s">
        <v>95</v>
      </c>
      <c r="C66" s="21"/>
      <c r="D66" s="21"/>
      <c r="E66" s="21"/>
      <c r="F66" s="21"/>
      <c r="G66" s="21"/>
      <c r="H66" s="21"/>
      <c r="I66" s="21"/>
      <c r="J66" s="21"/>
      <c r="K66" s="21"/>
      <c r="L66" s="21"/>
      <c r="M66" s="21"/>
    </row>
    <row r="67" customFormat="false" ht="25.5" hidden="false" customHeight="true" outlineLevel="0" collapsed="false">
      <c r="B67" s="39" t="s">
        <v>96</v>
      </c>
      <c r="C67" s="21"/>
      <c r="D67" s="21"/>
      <c r="E67" s="21"/>
      <c r="F67" s="21"/>
      <c r="G67" s="21"/>
      <c r="H67" s="21"/>
      <c r="I67" s="21"/>
      <c r="J67" s="21"/>
      <c r="K67" s="21"/>
      <c r="L67" s="21"/>
      <c r="M67" s="21"/>
    </row>
    <row r="68" customFormat="false" ht="25.5" hidden="false" customHeight="true" outlineLevel="0" collapsed="false">
      <c r="B68" s="39" t="s">
        <v>97</v>
      </c>
      <c r="C68" s="21"/>
      <c r="D68" s="21"/>
      <c r="E68" s="21"/>
      <c r="F68" s="21"/>
      <c r="G68" s="21"/>
      <c r="H68" s="21"/>
      <c r="I68" s="21"/>
      <c r="J68" s="21"/>
      <c r="K68" s="21"/>
      <c r="L68" s="21"/>
      <c r="M68" s="21"/>
    </row>
    <row r="69" customFormat="false" ht="25.5" hidden="false" customHeight="true" outlineLevel="0" collapsed="false">
      <c r="B69" s="39" t="s">
        <v>98</v>
      </c>
      <c r="C69" s="21"/>
      <c r="D69" s="21"/>
      <c r="E69" s="21"/>
      <c r="F69" s="21"/>
      <c r="G69" s="21"/>
      <c r="H69" s="21"/>
      <c r="I69" s="21"/>
      <c r="J69" s="21"/>
      <c r="K69" s="21"/>
      <c r="L69" s="21"/>
      <c r="M69" s="21"/>
    </row>
    <row r="70" customFormat="false" ht="6" hidden="false" customHeight="true" outlineLevel="0" collapsed="false"/>
    <row r="71" customFormat="false" ht="19.5" hidden="false" customHeight="true" outlineLevel="0" collapsed="false">
      <c r="A71" s="38" t="s">
        <v>101</v>
      </c>
      <c r="B71" s="38"/>
      <c r="C71" s="38"/>
      <c r="D71" s="38"/>
      <c r="E71" s="38"/>
      <c r="F71" s="38"/>
      <c r="G71" s="38"/>
      <c r="H71" s="38"/>
      <c r="I71" s="38"/>
      <c r="J71" s="38"/>
      <c r="K71" s="38"/>
      <c r="L71" s="38"/>
      <c r="M71" s="38"/>
    </row>
    <row r="72" customFormat="false" ht="25.5" hidden="false" customHeight="true" outlineLevel="0" collapsed="false">
      <c r="B72" s="39" t="s">
        <v>92</v>
      </c>
      <c r="C72" s="21"/>
      <c r="D72" s="21"/>
      <c r="E72" s="21"/>
      <c r="F72" s="21"/>
      <c r="G72" s="21"/>
      <c r="H72" s="21"/>
      <c r="I72" s="21"/>
      <c r="J72" s="21"/>
      <c r="K72" s="21"/>
      <c r="L72" s="21"/>
      <c r="M72" s="21"/>
    </row>
    <row r="73" customFormat="false" ht="25.5" hidden="false" customHeight="true" outlineLevel="0" collapsed="false">
      <c r="B73" s="39" t="s">
        <v>93</v>
      </c>
      <c r="C73" s="21"/>
      <c r="D73" s="21"/>
      <c r="E73" s="21"/>
      <c r="F73" s="21"/>
      <c r="G73" s="21"/>
      <c r="H73" s="21"/>
      <c r="I73" s="21"/>
      <c r="J73" s="21"/>
      <c r="K73" s="21"/>
      <c r="L73" s="21"/>
      <c r="M73" s="21"/>
    </row>
    <row r="74" customFormat="false" ht="25.5" hidden="false" customHeight="true" outlineLevel="0" collapsed="false">
      <c r="B74" s="39" t="s">
        <v>94</v>
      </c>
      <c r="C74" s="21"/>
      <c r="D74" s="21"/>
      <c r="E74" s="21"/>
      <c r="F74" s="21"/>
      <c r="G74" s="21"/>
      <c r="H74" s="21"/>
      <c r="I74" s="21"/>
      <c r="J74" s="21"/>
      <c r="K74" s="21"/>
      <c r="L74" s="21"/>
      <c r="M74" s="21"/>
    </row>
    <row r="75" customFormat="false" ht="25.5" hidden="false" customHeight="true" outlineLevel="0" collapsed="false">
      <c r="B75" s="39" t="s">
        <v>95</v>
      </c>
      <c r="C75" s="21"/>
      <c r="D75" s="21"/>
      <c r="E75" s="21"/>
      <c r="F75" s="21"/>
      <c r="G75" s="21"/>
      <c r="H75" s="21"/>
      <c r="I75" s="21"/>
      <c r="J75" s="21"/>
      <c r="K75" s="21"/>
      <c r="L75" s="21"/>
      <c r="M75" s="21"/>
    </row>
    <row r="76" customFormat="false" ht="25.5" hidden="false" customHeight="true" outlineLevel="0" collapsed="false">
      <c r="B76" s="39" t="s">
        <v>96</v>
      </c>
      <c r="C76" s="21"/>
      <c r="D76" s="21"/>
      <c r="E76" s="21"/>
      <c r="F76" s="21"/>
      <c r="G76" s="21"/>
      <c r="H76" s="21"/>
      <c r="I76" s="21"/>
      <c r="J76" s="21"/>
      <c r="K76" s="21"/>
      <c r="L76" s="21"/>
      <c r="M76" s="21"/>
    </row>
    <row r="77" customFormat="false" ht="25.5" hidden="false" customHeight="true" outlineLevel="0" collapsed="false">
      <c r="B77" s="39" t="s">
        <v>97</v>
      </c>
      <c r="C77" s="21"/>
      <c r="D77" s="21"/>
      <c r="E77" s="21"/>
      <c r="F77" s="21"/>
      <c r="G77" s="21"/>
      <c r="H77" s="21"/>
      <c r="I77" s="21"/>
      <c r="J77" s="21"/>
      <c r="K77" s="21"/>
      <c r="L77" s="21"/>
      <c r="M77" s="21"/>
    </row>
    <row r="78" customFormat="false" ht="25.5" hidden="false" customHeight="true" outlineLevel="0" collapsed="false">
      <c r="B78" s="39" t="s">
        <v>98</v>
      </c>
      <c r="C78" s="21"/>
      <c r="D78" s="21"/>
      <c r="E78" s="21"/>
      <c r="F78" s="21"/>
      <c r="G78" s="21"/>
      <c r="H78" s="21"/>
      <c r="I78" s="21"/>
      <c r="J78" s="21"/>
      <c r="K78" s="21"/>
      <c r="L78" s="21"/>
      <c r="M78" s="21"/>
    </row>
    <row r="79" customFormat="false" ht="6" hidden="false" customHeight="true" outlineLevel="0" collapsed="false"/>
    <row r="80" customFormat="false" ht="19.5" hidden="false" customHeight="true" outlineLevel="0" collapsed="false">
      <c r="A80" s="38" t="s">
        <v>102</v>
      </c>
      <c r="B80" s="38"/>
      <c r="C80" s="38"/>
      <c r="D80" s="38"/>
      <c r="E80" s="38"/>
      <c r="F80" s="38"/>
      <c r="G80" s="38"/>
      <c r="H80" s="38"/>
      <c r="I80" s="38"/>
      <c r="J80" s="38"/>
      <c r="K80" s="38"/>
      <c r="L80" s="38"/>
      <c r="M80" s="38"/>
    </row>
    <row r="81" customFormat="false" ht="25.5" hidden="false" customHeight="true" outlineLevel="0" collapsed="false">
      <c r="B81" s="39" t="s">
        <v>92</v>
      </c>
      <c r="C81" s="21"/>
      <c r="D81" s="21"/>
      <c r="E81" s="21"/>
      <c r="F81" s="21"/>
      <c r="G81" s="21"/>
      <c r="H81" s="21"/>
      <c r="I81" s="21"/>
      <c r="J81" s="21"/>
      <c r="K81" s="21"/>
      <c r="L81" s="21"/>
      <c r="M81" s="21"/>
    </row>
    <row r="82" customFormat="false" ht="25.5" hidden="false" customHeight="true" outlineLevel="0" collapsed="false">
      <c r="B82" s="39" t="s">
        <v>93</v>
      </c>
      <c r="C82" s="21"/>
      <c r="D82" s="21"/>
      <c r="E82" s="21"/>
      <c r="F82" s="21"/>
      <c r="G82" s="21"/>
      <c r="H82" s="21"/>
      <c r="I82" s="21"/>
      <c r="J82" s="21"/>
      <c r="K82" s="21"/>
      <c r="L82" s="21"/>
      <c r="M82" s="21"/>
    </row>
    <row r="83" customFormat="false" ht="25.5" hidden="false" customHeight="true" outlineLevel="0" collapsed="false">
      <c r="B83" s="39" t="s">
        <v>94</v>
      </c>
      <c r="C83" s="21"/>
      <c r="D83" s="21"/>
      <c r="E83" s="21"/>
      <c r="F83" s="21"/>
      <c r="G83" s="21"/>
      <c r="H83" s="21"/>
      <c r="I83" s="21"/>
      <c r="J83" s="21"/>
      <c r="K83" s="21"/>
      <c r="L83" s="21"/>
      <c r="M83" s="21"/>
    </row>
    <row r="84" customFormat="false" ht="25.5" hidden="false" customHeight="true" outlineLevel="0" collapsed="false">
      <c r="B84" s="39" t="s">
        <v>95</v>
      </c>
      <c r="C84" s="21"/>
      <c r="D84" s="21"/>
      <c r="E84" s="21"/>
      <c r="F84" s="21"/>
      <c r="G84" s="21"/>
      <c r="H84" s="21"/>
      <c r="I84" s="21"/>
      <c r="J84" s="21"/>
      <c r="K84" s="21"/>
      <c r="L84" s="21"/>
      <c r="M84" s="21"/>
    </row>
    <row r="85" customFormat="false" ht="25.5" hidden="false" customHeight="true" outlineLevel="0" collapsed="false">
      <c r="B85" s="39" t="s">
        <v>96</v>
      </c>
      <c r="C85" s="21"/>
      <c r="D85" s="21"/>
      <c r="E85" s="21"/>
      <c r="F85" s="21"/>
      <c r="G85" s="21"/>
      <c r="H85" s="21"/>
      <c r="I85" s="21"/>
      <c r="J85" s="21"/>
      <c r="K85" s="21"/>
      <c r="L85" s="21"/>
      <c r="M85" s="21"/>
    </row>
    <row r="86" customFormat="false" ht="25.5" hidden="false" customHeight="true" outlineLevel="0" collapsed="false">
      <c r="B86" s="39" t="s">
        <v>97</v>
      </c>
      <c r="C86" s="21"/>
      <c r="D86" s="21"/>
      <c r="E86" s="21"/>
      <c r="F86" s="21"/>
      <c r="G86" s="21"/>
      <c r="H86" s="21"/>
      <c r="I86" s="21"/>
      <c r="J86" s="21"/>
      <c r="K86" s="21"/>
      <c r="L86" s="21"/>
      <c r="M86" s="21"/>
    </row>
    <row r="87" customFormat="false" ht="25.5" hidden="false" customHeight="true" outlineLevel="0" collapsed="false">
      <c r="B87" s="39" t="s">
        <v>98</v>
      </c>
      <c r="C87" s="21"/>
      <c r="D87" s="21"/>
      <c r="E87" s="21"/>
      <c r="F87" s="21"/>
      <c r="G87" s="21"/>
      <c r="H87" s="21"/>
      <c r="I87" s="21"/>
      <c r="J87" s="21"/>
      <c r="K87" s="21"/>
      <c r="L87" s="21"/>
      <c r="M87" s="21"/>
    </row>
    <row r="88" customFormat="false" ht="6" hidden="false" customHeight="true" outlineLevel="0" collapsed="false"/>
    <row r="89" customFormat="false" ht="27.75" hidden="false" customHeight="true" outlineLevel="0" collapsed="false">
      <c r="A89" s="40" t="s">
        <v>103</v>
      </c>
      <c r="B89" s="40"/>
      <c r="C89" s="40"/>
      <c r="D89" s="40"/>
      <c r="E89" s="40"/>
      <c r="F89" s="40"/>
      <c r="G89" s="40"/>
      <c r="H89" s="40"/>
      <c r="I89" s="40"/>
      <c r="J89" s="40"/>
      <c r="K89" s="40"/>
      <c r="L89" s="40"/>
      <c r="M89" s="40"/>
    </row>
    <row r="91" customFormat="false" ht="9.75" hidden="false" customHeight="true" outlineLevel="0" collapsed="false"/>
    <row r="92" customFormat="false" ht="19.5" hidden="false" customHeight="true" outlineLevel="0" collapsed="false">
      <c r="A92" s="23" t="s">
        <v>104</v>
      </c>
      <c r="B92" s="23"/>
      <c r="C92" s="23"/>
      <c r="D92" s="23"/>
      <c r="E92" s="23"/>
      <c r="F92" s="23"/>
      <c r="G92" s="23"/>
      <c r="H92" s="23"/>
      <c r="I92" s="23"/>
      <c r="J92" s="23"/>
      <c r="K92" s="23"/>
      <c r="L92" s="23"/>
      <c r="M92" s="23"/>
    </row>
    <row r="93" customFormat="false" ht="18" hidden="false" customHeight="true" outlineLevel="0" collapsed="false">
      <c r="B93" s="41" t="s">
        <v>105</v>
      </c>
      <c r="C93" s="7" t="s">
        <v>106</v>
      </c>
      <c r="D93" s="7"/>
      <c r="E93" s="7"/>
      <c r="F93" s="7"/>
      <c r="G93" s="7"/>
      <c r="H93" s="7"/>
      <c r="I93" s="7"/>
      <c r="J93" s="7"/>
      <c r="K93" s="7"/>
      <c r="L93" s="7"/>
      <c r="M93" s="7"/>
    </row>
    <row r="94" customFormat="false" ht="18" hidden="false" customHeight="true" outlineLevel="0" collapsed="false">
      <c r="B94" s="42" t="s">
        <v>105</v>
      </c>
      <c r="C94" s="7" t="s">
        <v>107</v>
      </c>
      <c r="D94" s="7"/>
      <c r="E94" s="7"/>
      <c r="F94" s="7"/>
      <c r="G94" s="7"/>
      <c r="H94" s="7"/>
      <c r="I94" s="7"/>
      <c r="J94" s="7"/>
      <c r="K94" s="7"/>
      <c r="L94" s="7"/>
      <c r="M94" s="7"/>
    </row>
    <row r="95" customFormat="false" ht="18" hidden="false" customHeight="true" outlineLevel="0" collapsed="false">
      <c r="B95" s="43" t="s">
        <v>105</v>
      </c>
      <c r="C95" s="7" t="s">
        <v>108</v>
      </c>
      <c r="D95" s="7"/>
      <c r="E95" s="7"/>
      <c r="F95" s="7"/>
      <c r="G95" s="7"/>
      <c r="H95" s="7"/>
      <c r="I95" s="7"/>
      <c r="J95" s="7"/>
      <c r="K95" s="7"/>
      <c r="L95" s="7"/>
      <c r="M95" s="7"/>
    </row>
    <row r="96" customFormat="false" ht="18" hidden="false" customHeight="true" outlineLevel="0" collapsed="false">
      <c r="B96" s="44" t="s">
        <v>105</v>
      </c>
      <c r="C96" s="7" t="s">
        <v>109</v>
      </c>
      <c r="D96" s="7"/>
      <c r="E96" s="7"/>
      <c r="F96" s="7"/>
      <c r="G96" s="7"/>
      <c r="H96" s="7"/>
      <c r="I96" s="7"/>
      <c r="J96" s="7"/>
      <c r="K96" s="7"/>
      <c r="L96" s="7"/>
      <c r="M96" s="7"/>
    </row>
    <row r="97" customFormat="false" ht="18" hidden="false" customHeight="true" outlineLevel="0" collapsed="false">
      <c r="B97" s="45" t="s">
        <v>105</v>
      </c>
      <c r="C97" s="7" t="s">
        <v>110</v>
      </c>
      <c r="D97" s="7"/>
      <c r="E97" s="7"/>
      <c r="F97" s="7"/>
      <c r="G97" s="7"/>
      <c r="H97" s="7"/>
      <c r="I97" s="7"/>
      <c r="J97" s="7"/>
      <c r="K97" s="7"/>
      <c r="L97" s="7"/>
      <c r="M97" s="7"/>
    </row>
  </sheetData>
  <mergeCells count="90">
    <mergeCell ref="A2:M2"/>
    <mergeCell ref="A3:M3"/>
    <mergeCell ref="K5:L5"/>
    <mergeCell ref="A7:M7"/>
    <mergeCell ref="A9:M9"/>
    <mergeCell ref="A10:M10"/>
    <mergeCell ref="A22:F22"/>
    <mergeCell ref="K22:M22"/>
    <mergeCell ref="A25:M25"/>
    <mergeCell ref="A26:M26"/>
    <mergeCell ref="C27:I27"/>
    <mergeCell ref="J27:M27"/>
    <mergeCell ref="C28:I28"/>
    <mergeCell ref="J28:M28"/>
    <mergeCell ref="C29:I29"/>
    <mergeCell ref="J29:M29"/>
    <mergeCell ref="C30:I30"/>
    <mergeCell ref="J30:M30"/>
    <mergeCell ref="C31:I31"/>
    <mergeCell ref="J31:M31"/>
    <mergeCell ref="C32:I32"/>
    <mergeCell ref="J32:M32"/>
    <mergeCell ref="C33:I33"/>
    <mergeCell ref="J33:M33"/>
    <mergeCell ref="C34:I34"/>
    <mergeCell ref="J34:M34"/>
    <mergeCell ref="C35:I35"/>
    <mergeCell ref="J35:M35"/>
    <mergeCell ref="B37:M37"/>
    <mergeCell ref="C38:E38"/>
    <mergeCell ref="F38:G38"/>
    <mergeCell ref="H38:J38"/>
    <mergeCell ref="K38:L38"/>
    <mergeCell ref="C39:E39"/>
    <mergeCell ref="F39:G39"/>
    <mergeCell ref="H39:J39"/>
    <mergeCell ref="K39:L39"/>
    <mergeCell ref="C40:E40"/>
    <mergeCell ref="F40:G40"/>
    <mergeCell ref="H40:J40"/>
    <mergeCell ref="K40:L40"/>
    <mergeCell ref="A42:M42"/>
    <mergeCell ref="A43:M43"/>
    <mergeCell ref="A44:M44"/>
    <mergeCell ref="C45:M45"/>
    <mergeCell ref="C46:M46"/>
    <mergeCell ref="C47:M47"/>
    <mergeCell ref="C48:M48"/>
    <mergeCell ref="C49:M49"/>
    <mergeCell ref="C50:M50"/>
    <mergeCell ref="C51:M51"/>
    <mergeCell ref="A53:M53"/>
    <mergeCell ref="C54:M54"/>
    <mergeCell ref="C55:M55"/>
    <mergeCell ref="C56:M56"/>
    <mergeCell ref="C57:M57"/>
    <mergeCell ref="C58:M58"/>
    <mergeCell ref="C59:M59"/>
    <mergeCell ref="C60:M60"/>
    <mergeCell ref="A62:M62"/>
    <mergeCell ref="C63:M63"/>
    <mergeCell ref="C64:M64"/>
    <mergeCell ref="C65:M65"/>
    <mergeCell ref="C66:M66"/>
    <mergeCell ref="C67:M67"/>
    <mergeCell ref="C68:M68"/>
    <mergeCell ref="C69:M69"/>
    <mergeCell ref="A71:M71"/>
    <mergeCell ref="C72:M72"/>
    <mergeCell ref="C73:M73"/>
    <mergeCell ref="C74:M74"/>
    <mergeCell ref="C75:M75"/>
    <mergeCell ref="C76:M76"/>
    <mergeCell ref="C77:M77"/>
    <mergeCell ref="C78:M78"/>
    <mergeCell ref="A80:M80"/>
    <mergeCell ref="C81:M81"/>
    <mergeCell ref="C82:M82"/>
    <mergeCell ref="C83:M83"/>
    <mergeCell ref="C84:M84"/>
    <mergeCell ref="C85:M85"/>
    <mergeCell ref="C86:M86"/>
    <mergeCell ref="C87:M87"/>
    <mergeCell ref="A89:M89"/>
    <mergeCell ref="A92:M92"/>
    <mergeCell ref="C93:M93"/>
    <mergeCell ref="C94:M94"/>
    <mergeCell ref="C95:M95"/>
    <mergeCell ref="C96:M96"/>
    <mergeCell ref="C97:M97"/>
  </mergeCells>
  <conditionalFormatting sqref="J12">
    <cfRule type="expression" priority="2" aboveAverage="0" equalAverage="0" bottom="0" percent="0" rank="0" text="" dxfId="1">
      <formula>J12="NO"</formula>
    </cfRule>
    <cfRule type="expression" priority="3" aboveAverage="0" equalAverage="0" bottom="0" percent="0" rank="0" text="" dxfId="0">
      <formula>J12="YES"</formula>
    </cfRule>
  </conditionalFormatting>
  <conditionalFormatting sqref="J13">
    <cfRule type="expression" priority="4" aboveAverage="0" equalAverage="0" bottom="0" percent="0" rank="0" text="" dxfId="1">
      <formula>J13="NO"</formula>
    </cfRule>
    <cfRule type="expression" priority="5" aboveAverage="0" equalAverage="0" bottom="0" percent="0" rank="0" text="" dxfId="0">
      <formula>J13="YES"</formula>
    </cfRule>
  </conditionalFormatting>
  <conditionalFormatting sqref="J14">
    <cfRule type="expression" priority="6" aboveAverage="0" equalAverage="0" bottom="0" percent="0" rank="0" text="" dxfId="1">
      <formula>J14="NO"</formula>
    </cfRule>
    <cfRule type="expression" priority="7" aboveAverage="0" equalAverage="0" bottom="0" percent="0" rank="0" text="" dxfId="0">
      <formula>J14="YES"</formula>
    </cfRule>
  </conditionalFormatting>
  <conditionalFormatting sqref="J15">
    <cfRule type="expression" priority="8" aboveAverage="0" equalAverage="0" bottom="0" percent="0" rank="0" text="" dxfId="1">
      <formula>J15="NO"</formula>
    </cfRule>
    <cfRule type="expression" priority="9" aboveAverage="0" equalAverage="0" bottom="0" percent="0" rank="0" text="" dxfId="0">
      <formula>J15="YES"</formula>
    </cfRule>
  </conditionalFormatting>
  <conditionalFormatting sqref="J16">
    <cfRule type="expression" priority="10" aboveAverage="0" equalAverage="0" bottom="0" percent="0" rank="0" text="" dxfId="1">
      <formula>J16="NO"</formula>
    </cfRule>
    <cfRule type="expression" priority="11" aboveAverage="0" equalAverage="0" bottom="0" percent="0" rank="0" text="" dxfId="0">
      <formula>J16="YES"</formula>
    </cfRule>
  </conditionalFormatting>
  <conditionalFormatting sqref="J17">
    <cfRule type="expression" priority="12" aboveAverage="0" equalAverage="0" bottom="0" percent="0" rank="0" text="" dxfId="1">
      <formula>J17="NO"</formula>
    </cfRule>
    <cfRule type="expression" priority="13" aboveAverage="0" equalAverage="0" bottom="0" percent="0" rank="0" text="" dxfId="0">
      <formula>J17="YES"</formula>
    </cfRule>
  </conditionalFormatting>
  <conditionalFormatting sqref="J18">
    <cfRule type="expression" priority="14" aboveAverage="0" equalAverage="0" bottom="0" percent="0" rank="0" text="" dxfId="1">
      <formula>J18="NO"</formula>
    </cfRule>
    <cfRule type="expression" priority="15" aboveAverage="0" equalAverage="0" bottom="0" percent="0" rank="0" text="" dxfId="0">
      <formula>J18="YES"</formula>
    </cfRule>
  </conditionalFormatting>
  <conditionalFormatting sqref="J19">
    <cfRule type="expression" priority="16" aboveAverage="0" equalAverage="0" bottom="0" percent="0" rank="0" text="" dxfId="1">
      <formula>J19="NO"</formula>
    </cfRule>
    <cfRule type="expression" priority="17" aboveAverage="0" equalAverage="0" bottom="0" percent="0" rank="0" text="" dxfId="0">
      <formula>J19="YES"</formula>
    </cfRule>
  </conditionalFormatting>
  <conditionalFormatting sqref="J20">
    <cfRule type="expression" priority="18" aboveAverage="0" equalAverage="0" bottom="0" percent="0" rank="0" text="" dxfId="1">
      <formula>J20="NO"</formula>
    </cfRule>
    <cfRule type="expression" priority="19" aboveAverage="0" equalAverage="0" bottom="0" percent="0" rank="0" text="" dxfId="0">
      <formula>J20="YES"</formula>
    </cfRule>
  </conditionalFormatting>
  <conditionalFormatting sqref="J21">
    <cfRule type="expression" priority="20" aboveAverage="0" equalAverage="0" bottom="0" percent="0" rank="0" text="" dxfId="1">
      <formula>J21="NO"</formula>
    </cfRule>
    <cfRule type="expression" priority="21" aboveAverage="0" equalAverage="0" bottom="0" percent="0" rank="0" text="" dxfId="0">
      <formula>J21="YES"</formula>
    </cfRule>
  </conditionalFormatting>
  <conditionalFormatting sqref="G22">
    <cfRule type="cellIs" priority="22" operator="equal" aboveAverage="0" equalAverage="0" bottom="0" percent="0" rank="0" text="" dxfId="0">
      <formula>1</formula>
    </cfRule>
    <cfRule type="cellIs" priority="23" operator="notEqual" aboveAverage="0" equalAverage="0" bottom="0" percent="0" rank="0" text="" dxfId="1">
      <formula>1</formula>
    </cfRule>
  </conditionalFormatting>
  <dataValidations count="3">
    <dataValidation allowBlank="true" error="Select from dropdown list." errorStyle="stop" errorTitle="Invalid" operator="between" showDropDown="false" showErrorMessage="true" showInputMessage="false" sqref="E12:E21" type="list">
      <formula1>"U.S. Equities,Fixed Income,Cash / Equiv.,International Equity,Real Estate / REIT,Commodities,Derivatives,Other"</formula1>
      <formula2>0</formula2>
    </dataValidation>
    <dataValidation allowBlank="true" error="Select from dropdown list." errorStyle="stop" errorTitle="Invalid" operator="between" showDropDown="false" showErrorMessage="true" showInputMessage="false" sqref="F12:F21" type="list">
      <formula1>"Technology,Healthcare,Financials,Consumer Disc.,Consumer Staples,Energy,Industrials,Materials,Utilities,Real Estate,Communication Svcs.,Government Bond,Corporate Bond,Municipal Bond,Money Market,Commodity,N/A"</formula1>
      <formula2>0</formula2>
    </dataValidation>
    <dataValidation allowBlank="false" error="Must be YES or NO." errorStyle="stop" errorTitle="Required" operator="between" showDropDown="false" showErrorMessage="true" showInputMessage="false" sqref="J12:J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2026-04-20T11:04:52Z</dcterms:created>
  <dc:creator>openpyxl</dc:creator>
  <dc:description/>
  <dc:language>en-US</dc:language>
  <cp:lastModifiedBy/>
  <dcterms:modified xsi:type="dcterms:W3CDTF">2026-04-20T11:05:14Z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