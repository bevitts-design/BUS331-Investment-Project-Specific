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mc:AlternateContent xmlns:mc="http://schemas.openxmlformats.org/markup-compatibility/2006">
    <mc:Choice Requires="x15">
      <x15ac:absPath xmlns:x15ac="http://schemas.microsoft.com/office/spreadsheetml/2010/11/ac" url="/Users/bethanyevittsair2/Documents/GitHub/BUS331-Investment-Project-Specific/files/"/>
    </mc:Choice>
  </mc:AlternateContent>
  <xr:revisionPtr revIDLastSave="0" documentId="13_ncr:1_{D981CACB-8556-6545-9DF5-8C50EC957B1B}" xr6:coauthVersionLast="47" xr6:coauthVersionMax="47" xr10:uidLastSave="{00000000-0000-0000-0000-000000000000}"/>
  <bookViews>
    <workbookView xWindow="0" yWindow="580" windowWidth="25600" windowHeight="15300" activeTab="4" xr2:uid="{00000000-000D-0000-FFFF-FFFF00000000}"/>
  </bookViews>
  <sheets>
    <sheet name="START HERE" sheetId="1" r:id="rId1"/>
    <sheet name="SUMMARY" sheetId="2" r:id="rId2"/>
    <sheet name="Client 1" sheetId="3" r:id="rId3"/>
    <sheet name="Client 2" sheetId="4" r:id="rId4"/>
    <sheet name="Client 3" sheetId="5" r:id="rId5"/>
    <sheet name="ISSUER CHECK" sheetId="6" r:id="rId6"/>
    <sheet name="EVIDENCE LOG"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2" i="3" l="1" a="1"/>
  <c r="I22" i="3" s="1"/>
  <c r="D9" i="2" s="1"/>
  <c r="I22" i="4" a="1"/>
  <c r="I22" i="4" s="1"/>
  <c r="F9" i="2" s="1"/>
  <c r="I22" i="5" a="1"/>
  <c r="I22" i="5" s="1"/>
  <c r="H9" i="2" s="1"/>
  <c r="H22" i="5"/>
  <c r="H8" i="2" s="1"/>
  <c r="H22" i="4"/>
  <c r="H22" i="3"/>
  <c r="D8" i="2" s="1"/>
  <c r="G22" i="5"/>
  <c r="G22" i="4"/>
  <c r="G22" i="3"/>
  <c r="D7" i="2" s="1"/>
  <c r="H21" i="5"/>
  <c r="B21" i="5"/>
  <c r="H20" i="5"/>
  <c r="B20" i="5"/>
  <c r="H19" i="5"/>
  <c r="B19" i="5"/>
  <c r="H18" i="5"/>
  <c r="B18" i="5"/>
  <c r="H17" i="5"/>
  <c r="B17" i="5"/>
  <c r="H16" i="5"/>
  <c r="B16" i="5"/>
  <c r="H15" i="5"/>
  <c r="B15" i="5"/>
  <c r="H14" i="5"/>
  <c r="B14" i="5"/>
  <c r="H13" i="5"/>
  <c r="B13" i="5"/>
  <c r="H12" i="5"/>
  <c r="B12" i="5"/>
  <c r="H21" i="4"/>
  <c r="B21" i="4"/>
  <c r="H20" i="4"/>
  <c r="B20" i="4"/>
  <c r="H19" i="4"/>
  <c r="B19" i="4"/>
  <c r="H18" i="4"/>
  <c r="B18" i="4"/>
  <c r="H17" i="4"/>
  <c r="B17" i="4"/>
  <c r="H16" i="4"/>
  <c r="B16" i="4"/>
  <c r="H15" i="4"/>
  <c r="B15" i="4"/>
  <c r="H14" i="4"/>
  <c r="B14" i="4"/>
  <c r="H13" i="4"/>
  <c r="B13" i="4"/>
  <c r="H12" i="4"/>
  <c r="B12" i="4"/>
  <c r="H21" i="3"/>
  <c r="B21" i="3"/>
  <c r="H20" i="3"/>
  <c r="B20" i="3"/>
  <c r="H19" i="3"/>
  <c r="B19" i="3"/>
  <c r="H18" i="3"/>
  <c r="B18" i="3"/>
  <c r="H17" i="3"/>
  <c r="B17" i="3"/>
  <c r="H16" i="3"/>
  <c r="B16" i="3"/>
  <c r="H15" i="3"/>
  <c r="B15" i="3"/>
  <c r="H14" i="3"/>
  <c r="B14" i="3"/>
  <c r="H13" i="3"/>
  <c r="B13" i="3"/>
  <c r="H12" i="3"/>
  <c r="B12" i="3"/>
  <c r="H11" i="2"/>
  <c r="F11" i="2"/>
  <c r="D11" i="2"/>
  <c r="H10" i="2"/>
  <c r="F10" i="2"/>
  <c r="D10" i="2"/>
  <c r="F7" i="2"/>
  <c r="H7" i="2"/>
  <c r="F8"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5" authorId="0" shapeId="0" xr:uid="{00000000-0006-0000-0200-000003000000}">
      <text>
        <r>
          <rPr>
            <sz val="11"/>
            <color theme="1"/>
            <rFont val="Calibri"/>
          </rPr>
          <t>Enter client name or ID (e.g. Eleanor Vance — Client 1)</t>
        </r>
      </text>
    </comment>
    <comment ref="G5" authorId="0" shapeId="0" xr:uid="{00000000-0006-0000-0200-00005C000000}">
      <text>
        <r>
          <rPr>
            <sz val="11"/>
            <color theme="1"/>
            <rFont val="Calibri"/>
          </rPr>
          <t>From Phase 2 IPS — client's required annual return</t>
        </r>
      </text>
    </comment>
    <comment ref="I5" authorId="0" shapeId="0" xr:uid="{00000000-0006-0000-0200-000069000000}">
      <text>
        <r>
          <rPr>
            <sz val="11"/>
            <color theme="1"/>
            <rFont val="Calibri"/>
          </rPr>
          <t>From Phase 2 IPS — maximum portfolio standard deviation allowed</t>
        </r>
      </text>
    </comment>
    <comment ref="K5" authorId="0" shapeId="0" xr:uid="{00000000-0006-0000-0200-00007E000000}">
      <text>
        <r>
          <rPr>
            <sz val="11"/>
            <color theme="1"/>
            <rFont val="Calibri"/>
          </rPr>
          <t>From Phase 1 — e.g. 'Late-Cycle / Base Case: Soft Landing'</t>
        </r>
      </text>
    </comment>
    <comment ref="C12" authorId="0" shapeId="0" xr:uid="{00000000-0006-0000-0200-000004000000}">
      <text>
        <r>
          <rPr>
            <sz val="11"/>
            <color theme="1"/>
            <rFont val="Calibri"/>
          </rPr>
          <t>Enter ticker symbol (e.g. AAPL, SPY, TLT)</t>
        </r>
      </text>
    </comment>
    <comment ref="D12" authorId="0" shapeId="0" xr:uid="{00000000-0006-0000-0200-00003C000000}">
      <text>
        <r>
          <rPr>
            <sz val="11"/>
            <color theme="1"/>
            <rFont val="Calibri"/>
          </rPr>
          <t>Full security or ETF name</t>
        </r>
      </text>
    </comment>
    <comment ref="E12" authorId="0" shapeId="0" xr:uid="{00000000-0006-0000-0200-000046000000}">
      <text>
        <r>
          <rPr>
            <sz val="11"/>
            <color theme="1"/>
            <rFont val="Calibri"/>
          </rPr>
          <t>Select asset class from dropdown</t>
        </r>
      </text>
    </comment>
    <comment ref="F12" authorId="0" shapeId="0" xr:uid="{00000000-0006-0000-0200-000050000000}">
      <text>
        <r>
          <rPr>
            <sz val="11"/>
            <color theme="1"/>
            <rFont val="Calibri"/>
          </rPr>
          <t>Select sector from dropdown</t>
        </r>
      </text>
    </comment>
    <comment ref="G12" authorId="0" shapeId="0" xr:uid="{00000000-0006-0000-0200-00005D000000}">
      <text>
        <r>
          <rPr>
            <sz val="11"/>
            <color theme="1"/>
            <rFont val="Calibri"/>
          </rPr>
          <t>Portfolio weight for this security. All weights must sum to 100%.</t>
        </r>
      </text>
    </comment>
    <comment ref="I12" authorId="0" shapeId="0" xr:uid="{00000000-0006-0000-0200-00006A000000}">
      <text>
        <r>
          <rPr>
            <sz val="11"/>
            <color theme="1"/>
            <rFont val="Calibri"/>
          </rPr>
          <t>Estimated beta (vs. S&amp;P 500). Source from FactSet or Yahoo Finance.</t>
        </r>
      </text>
    </comment>
    <comment ref="J12" authorId="0" shapeId="0" xr:uid="{00000000-0006-0000-0200-000074000000}">
      <text>
        <r>
          <rPr>
            <sz val="11"/>
            <color theme="1"/>
            <rFont val="Calibri"/>
          </rPr>
          <t>Does this security PASS your Phase 1 macro filter? Must be YES.</t>
        </r>
      </text>
    </comment>
    <comment ref="K12" authorId="0" shapeId="0" xr:uid="{00000000-0006-0000-0200-00007F000000}">
      <text>
        <r>
          <rPr>
            <sz val="11"/>
            <color theme="1"/>
            <rFont val="Calibri"/>
          </rPr>
          <t>Reference number linking to your Investment Thesis Log (Section 3 of this tab). e.g. 1, 2, 3...</t>
        </r>
      </text>
    </comment>
    <comment ref="L12" authorId="0" shapeId="0" xr:uid="{00000000-0006-0000-0200-00008B000000}">
      <text>
        <r>
          <rPr>
            <sz val="11"/>
            <color theme="1"/>
            <rFont val="Calibri"/>
          </rPr>
          <t>Cite your source. E.g. "FactSet @ECO, 4/15/2025" or "SEC 10-K FY2024"</t>
        </r>
      </text>
    </comment>
    <comment ref="C13" authorId="0" shapeId="0" xr:uid="{00000000-0006-0000-0200-000005000000}">
      <text>
        <r>
          <rPr>
            <sz val="11"/>
            <color theme="1"/>
            <rFont val="Calibri"/>
          </rPr>
          <t>Enter ticker symbol (e.g. AAPL, SPY, TLT)</t>
        </r>
      </text>
    </comment>
    <comment ref="D13" authorId="0" shapeId="0" xr:uid="{00000000-0006-0000-0200-00003D000000}">
      <text>
        <r>
          <rPr>
            <sz val="11"/>
            <color theme="1"/>
            <rFont val="Calibri"/>
          </rPr>
          <t>Full security or ETF name</t>
        </r>
      </text>
    </comment>
    <comment ref="E13" authorId="0" shapeId="0" xr:uid="{00000000-0006-0000-0200-000047000000}">
      <text>
        <r>
          <rPr>
            <sz val="11"/>
            <color theme="1"/>
            <rFont val="Calibri"/>
          </rPr>
          <t>Select asset class from dropdown</t>
        </r>
      </text>
    </comment>
    <comment ref="F13" authorId="0" shapeId="0" xr:uid="{00000000-0006-0000-0200-000051000000}">
      <text>
        <r>
          <rPr>
            <sz val="11"/>
            <color theme="1"/>
            <rFont val="Calibri"/>
          </rPr>
          <t>Select sector from dropdown</t>
        </r>
      </text>
    </comment>
    <comment ref="G13" authorId="0" shapeId="0" xr:uid="{00000000-0006-0000-0200-00005E000000}">
      <text>
        <r>
          <rPr>
            <sz val="11"/>
            <color rgb="FF000000"/>
            <rFont val="Calibri"/>
            <family val="2"/>
          </rPr>
          <t>Portfolio weight for this security. All weights must sum to 100%.</t>
        </r>
      </text>
    </comment>
    <comment ref="I13" authorId="0" shapeId="0" xr:uid="{00000000-0006-0000-0200-00006B000000}">
      <text>
        <r>
          <rPr>
            <sz val="11"/>
            <color theme="1"/>
            <rFont val="Calibri"/>
          </rPr>
          <t>Estimated beta (vs. S&amp;P 500). Source from FactSet or Yahoo Finance.</t>
        </r>
      </text>
    </comment>
    <comment ref="J13" authorId="0" shapeId="0" xr:uid="{00000000-0006-0000-0200-000075000000}">
      <text>
        <r>
          <rPr>
            <sz val="11"/>
            <color theme="1"/>
            <rFont val="Calibri"/>
          </rPr>
          <t>Does this security PASS your Phase 1 macro filter? Must be YES.</t>
        </r>
      </text>
    </comment>
    <comment ref="K13" authorId="0" shapeId="0" xr:uid="{00000000-0006-0000-0200-000080000000}">
      <text>
        <r>
          <rPr>
            <sz val="11"/>
            <color theme="1"/>
            <rFont val="Calibri"/>
          </rPr>
          <t>Reference number linking to your Investment Thesis Log (Section 3 of this tab). e.g. 1, 2, 3...</t>
        </r>
      </text>
    </comment>
    <comment ref="L13" authorId="0" shapeId="0" xr:uid="{00000000-0006-0000-0200-00008C000000}">
      <text>
        <r>
          <rPr>
            <sz val="11"/>
            <color theme="1"/>
            <rFont val="Calibri"/>
          </rPr>
          <t>Cite your source. E.g. "FactSet @ECO, 4/15/2025" or "SEC 10-K FY2024"</t>
        </r>
      </text>
    </comment>
    <comment ref="C14" authorId="0" shapeId="0" xr:uid="{00000000-0006-0000-0200-000006000000}">
      <text>
        <r>
          <rPr>
            <sz val="11"/>
            <color theme="1"/>
            <rFont val="Calibri"/>
          </rPr>
          <t>Enter ticker symbol (e.g. AAPL, SPY, TLT)</t>
        </r>
      </text>
    </comment>
    <comment ref="D14" authorId="0" shapeId="0" xr:uid="{00000000-0006-0000-0200-00003E000000}">
      <text>
        <r>
          <rPr>
            <sz val="11"/>
            <color theme="1"/>
            <rFont val="Calibri"/>
          </rPr>
          <t>Full security or ETF name</t>
        </r>
      </text>
    </comment>
    <comment ref="E14" authorId="0" shapeId="0" xr:uid="{00000000-0006-0000-0200-000048000000}">
      <text>
        <r>
          <rPr>
            <sz val="11"/>
            <color theme="1"/>
            <rFont val="Calibri"/>
          </rPr>
          <t>Select asset class from dropdown</t>
        </r>
      </text>
    </comment>
    <comment ref="F14" authorId="0" shapeId="0" xr:uid="{00000000-0006-0000-0200-000052000000}">
      <text>
        <r>
          <rPr>
            <sz val="11"/>
            <color theme="1"/>
            <rFont val="Calibri"/>
          </rPr>
          <t>Select sector from dropdown</t>
        </r>
      </text>
    </comment>
    <comment ref="G14" authorId="0" shapeId="0" xr:uid="{00000000-0006-0000-0200-00005F000000}">
      <text>
        <r>
          <rPr>
            <sz val="11"/>
            <color theme="1"/>
            <rFont val="Calibri"/>
          </rPr>
          <t>Portfolio weight for this security. All weights must sum to 100%.</t>
        </r>
      </text>
    </comment>
    <comment ref="I14" authorId="0" shapeId="0" xr:uid="{00000000-0006-0000-0200-00006C000000}">
      <text>
        <r>
          <rPr>
            <sz val="11"/>
            <color theme="1"/>
            <rFont val="Calibri"/>
          </rPr>
          <t>Estimated beta (vs. S&amp;P 500). Source from FactSet or Yahoo Finance.</t>
        </r>
      </text>
    </comment>
    <comment ref="J14" authorId="0" shapeId="0" xr:uid="{00000000-0006-0000-0200-000076000000}">
      <text>
        <r>
          <rPr>
            <sz val="11"/>
            <color theme="1"/>
            <rFont val="Calibri"/>
          </rPr>
          <t>Does this security PASS your Phase 1 macro filter? Must be YES.</t>
        </r>
      </text>
    </comment>
    <comment ref="K14" authorId="0" shapeId="0" xr:uid="{00000000-0006-0000-0200-000081000000}">
      <text>
        <r>
          <rPr>
            <sz val="11"/>
            <color theme="1"/>
            <rFont val="Calibri"/>
          </rPr>
          <t>Reference number linking to your Investment Thesis Log (Section 3 of this tab). e.g. 1, 2, 3...</t>
        </r>
      </text>
    </comment>
    <comment ref="L14" authorId="0" shapeId="0" xr:uid="{00000000-0006-0000-0200-00008D000000}">
      <text>
        <r>
          <rPr>
            <sz val="11"/>
            <color theme="1"/>
            <rFont val="Calibri"/>
          </rPr>
          <t>Cite your source. E.g. "FactSet @ECO, 4/15/2025" or "SEC 10-K FY2024"</t>
        </r>
      </text>
    </comment>
    <comment ref="C15" authorId="0" shapeId="0" xr:uid="{00000000-0006-0000-0200-000007000000}">
      <text>
        <r>
          <rPr>
            <sz val="11"/>
            <color theme="1"/>
            <rFont val="Calibri"/>
          </rPr>
          <t>Enter ticker symbol (e.g. AAPL, SPY, TLT)</t>
        </r>
      </text>
    </comment>
    <comment ref="D15" authorId="0" shapeId="0" xr:uid="{00000000-0006-0000-0200-00003F000000}">
      <text>
        <r>
          <rPr>
            <sz val="11"/>
            <color theme="1"/>
            <rFont val="Calibri"/>
          </rPr>
          <t>Full security or ETF name</t>
        </r>
      </text>
    </comment>
    <comment ref="E15" authorId="0" shapeId="0" xr:uid="{00000000-0006-0000-0200-000049000000}">
      <text>
        <r>
          <rPr>
            <sz val="11"/>
            <color theme="1"/>
            <rFont val="Calibri"/>
          </rPr>
          <t>Select asset class from dropdown</t>
        </r>
      </text>
    </comment>
    <comment ref="F15" authorId="0" shapeId="0" xr:uid="{00000000-0006-0000-0200-000053000000}">
      <text>
        <r>
          <rPr>
            <sz val="11"/>
            <color rgb="FF000000"/>
            <rFont val="Calibri"/>
            <family val="2"/>
          </rPr>
          <t>Select sector from dropdown</t>
        </r>
      </text>
    </comment>
    <comment ref="G15" authorId="0" shapeId="0" xr:uid="{00000000-0006-0000-0200-000060000000}">
      <text>
        <r>
          <rPr>
            <sz val="11"/>
            <color theme="1"/>
            <rFont val="Calibri"/>
          </rPr>
          <t>Portfolio weight for this security. All weights must sum to 100%.</t>
        </r>
      </text>
    </comment>
    <comment ref="I15" authorId="0" shapeId="0" xr:uid="{00000000-0006-0000-0200-00006D000000}">
      <text>
        <r>
          <rPr>
            <sz val="11"/>
            <color theme="1"/>
            <rFont val="Calibri"/>
          </rPr>
          <t>Estimated beta (vs. S&amp;P 500). Source from FactSet or Yahoo Finance.</t>
        </r>
      </text>
    </comment>
    <comment ref="J15" authorId="0" shapeId="0" xr:uid="{00000000-0006-0000-0200-000077000000}">
      <text>
        <r>
          <rPr>
            <sz val="11"/>
            <color theme="1"/>
            <rFont val="Calibri"/>
          </rPr>
          <t>Does this security PASS your Phase 1 macro filter? Must be YES.</t>
        </r>
      </text>
    </comment>
    <comment ref="K15" authorId="0" shapeId="0" xr:uid="{00000000-0006-0000-0200-000082000000}">
      <text>
        <r>
          <rPr>
            <sz val="11"/>
            <color theme="1"/>
            <rFont val="Calibri"/>
          </rPr>
          <t>Reference number linking to your Investment Thesis Log (Section 3 of this tab). e.g. 1, 2, 3...</t>
        </r>
      </text>
    </comment>
    <comment ref="L15" authorId="0" shapeId="0" xr:uid="{00000000-0006-0000-0200-00008E000000}">
      <text>
        <r>
          <rPr>
            <sz val="11"/>
            <color theme="1"/>
            <rFont val="Calibri"/>
          </rPr>
          <t>Cite your source. E.g. "FactSet @ECO, 4/15/2025" or "SEC 10-K FY2024"</t>
        </r>
      </text>
    </comment>
    <comment ref="C16" authorId="0" shapeId="0" xr:uid="{00000000-0006-0000-0200-000008000000}">
      <text>
        <r>
          <rPr>
            <sz val="11"/>
            <color theme="1"/>
            <rFont val="Calibri"/>
          </rPr>
          <t>Enter ticker symbol (e.g. AAPL, SPY, TLT)</t>
        </r>
      </text>
    </comment>
    <comment ref="D16" authorId="0" shapeId="0" xr:uid="{00000000-0006-0000-0200-000040000000}">
      <text>
        <r>
          <rPr>
            <sz val="11"/>
            <color theme="1"/>
            <rFont val="Calibri"/>
          </rPr>
          <t>Full security or ETF name</t>
        </r>
      </text>
    </comment>
    <comment ref="E16" authorId="0" shapeId="0" xr:uid="{00000000-0006-0000-0200-00004A000000}">
      <text>
        <r>
          <rPr>
            <sz val="11"/>
            <color theme="1"/>
            <rFont val="Calibri"/>
          </rPr>
          <t>Select asset class from dropdown</t>
        </r>
      </text>
    </comment>
    <comment ref="F16" authorId="0" shapeId="0" xr:uid="{00000000-0006-0000-0200-000054000000}">
      <text>
        <r>
          <rPr>
            <sz val="11"/>
            <color theme="1"/>
            <rFont val="Calibri"/>
          </rPr>
          <t>Select sector from dropdown</t>
        </r>
      </text>
    </comment>
    <comment ref="G16" authorId="0" shapeId="0" xr:uid="{00000000-0006-0000-0200-000061000000}">
      <text>
        <r>
          <rPr>
            <sz val="11"/>
            <color theme="1"/>
            <rFont val="Calibri"/>
          </rPr>
          <t>Portfolio weight for this security. All weights must sum to 100%.</t>
        </r>
      </text>
    </comment>
    <comment ref="I16" authorId="0" shapeId="0" xr:uid="{00000000-0006-0000-0200-00006E000000}">
      <text>
        <r>
          <rPr>
            <sz val="11"/>
            <color theme="1"/>
            <rFont val="Calibri"/>
          </rPr>
          <t>Estimated beta (vs. S&amp;P 500). Source from FactSet or Yahoo Finance.</t>
        </r>
      </text>
    </comment>
    <comment ref="J16" authorId="0" shapeId="0" xr:uid="{00000000-0006-0000-0200-000078000000}">
      <text>
        <r>
          <rPr>
            <sz val="11"/>
            <color theme="1"/>
            <rFont val="Calibri"/>
          </rPr>
          <t>Does this security PASS your Phase 1 macro filter? Must be YES.</t>
        </r>
      </text>
    </comment>
    <comment ref="K16" authorId="0" shapeId="0" xr:uid="{00000000-0006-0000-0200-000083000000}">
      <text>
        <r>
          <rPr>
            <sz val="11"/>
            <color theme="1"/>
            <rFont val="Calibri"/>
          </rPr>
          <t>Reference number linking to your Investment Thesis Log (Section 3 of this tab). e.g. 1, 2, 3...</t>
        </r>
      </text>
    </comment>
    <comment ref="L16" authorId="0" shapeId="0" xr:uid="{00000000-0006-0000-0200-00008F000000}">
      <text>
        <r>
          <rPr>
            <sz val="11"/>
            <color theme="1"/>
            <rFont val="Calibri"/>
          </rPr>
          <t>Cite your source. E.g. "FactSet @ECO, 4/15/2025" or "SEC 10-K FY2024"</t>
        </r>
      </text>
    </comment>
    <comment ref="C17" authorId="0" shapeId="0" xr:uid="{00000000-0006-0000-0200-000009000000}">
      <text>
        <r>
          <rPr>
            <sz val="11"/>
            <color theme="1"/>
            <rFont val="Calibri"/>
          </rPr>
          <t>Enter ticker symbol (e.g. AAPL, SPY, TLT)</t>
        </r>
      </text>
    </comment>
    <comment ref="D17" authorId="0" shapeId="0" xr:uid="{00000000-0006-0000-0200-000041000000}">
      <text>
        <r>
          <rPr>
            <sz val="11"/>
            <color theme="1"/>
            <rFont val="Calibri"/>
          </rPr>
          <t>Full security or ETF name</t>
        </r>
      </text>
    </comment>
    <comment ref="E17" authorId="0" shapeId="0" xr:uid="{00000000-0006-0000-0200-00004B000000}">
      <text>
        <r>
          <rPr>
            <sz val="11"/>
            <color theme="1"/>
            <rFont val="Calibri"/>
          </rPr>
          <t>Select asset class from dropdown</t>
        </r>
      </text>
    </comment>
    <comment ref="F17" authorId="0" shapeId="0" xr:uid="{00000000-0006-0000-0200-000055000000}">
      <text>
        <r>
          <rPr>
            <sz val="11"/>
            <color theme="1"/>
            <rFont val="Calibri"/>
          </rPr>
          <t>Select sector from dropdown</t>
        </r>
      </text>
    </comment>
    <comment ref="G17" authorId="0" shapeId="0" xr:uid="{00000000-0006-0000-0200-000062000000}">
      <text>
        <r>
          <rPr>
            <sz val="11"/>
            <color theme="1"/>
            <rFont val="Calibri"/>
          </rPr>
          <t>Portfolio weight for this security. All weights must sum to 100%.</t>
        </r>
      </text>
    </comment>
    <comment ref="I17" authorId="0" shapeId="0" xr:uid="{00000000-0006-0000-0200-00006F000000}">
      <text>
        <r>
          <rPr>
            <sz val="11"/>
            <color theme="1"/>
            <rFont val="Calibri"/>
          </rPr>
          <t>Estimated beta (vs. S&amp;P 500). Source from FactSet or Yahoo Finance.</t>
        </r>
      </text>
    </comment>
    <comment ref="J17" authorId="0" shapeId="0" xr:uid="{00000000-0006-0000-0200-000079000000}">
      <text>
        <r>
          <rPr>
            <sz val="11"/>
            <color theme="1"/>
            <rFont val="Calibri"/>
          </rPr>
          <t>Does this security PASS your Phase 1 macro filter? Must be YES.</t>
        </r>
      </text>
    </comment>
    <comment ref="K17" authorId="0" shapeId="0" xr:uid="{00000000-0006-0000-0200-000084000000}">
      <text>
        <r>
          <rPr>
            <sz val="11"/>
            <color theme="1"/>
            <rFont val="Calibri"/>
          </rPr>
          <t>Reference number linking to your Investment Thesis Log (Section 3 of this tab). e.g. 1, 2, 3...</t>
        </r>
      </text>
    </comment>
    <comment ref="L17" authorId="0" shapeId="0" xr:uid="{00000000-0006-0000-0200-000090000000}">
      <text>
        <r>
          <rPr>
            <sz val="11"/>
            <color theme="1"/>
            <rFont val="Calibri"/>
          </rPr>
          <t>Cite your source. E.g. "FactSet @ECO, 4/15/2025" or "SEC 10-K FY2024"</t>
        </r>
      </text>
    </comment>
    <comment ref="C18" authorId="0" shapeId="0" xr:uid="{00000000-0006-0000-0200-00000A000000}">
      <text>
        <r>
          <rPr>
            <sz val="11"/>
            <color theme="1"/>
            <rFont val="Calibri"/>
          </rPr>
          <t>Enter ticker symbol (e.g. AAPL, SPY, TLT)</t>
        </r>
      </text>
    </comment>
    <comment ref="D18" authorId="0" shapeId="0" xr:uid="{00000000-0006-0000-0200-000042000000}">
      <text>
        <r>
          <rPr>
            <sz val="11"/>
            <color theme="1"/>
            <rFont val="Calibri"/>
          </rPr>
          <t>Full security or ETF name</t>
        </r>
      </text>
    </comment>
    <comment ref="E18" authorId="0" shapeId="0" xr:uid="{00000000-0006-0000-0200-00004C000000}">
      <text>
        <r>
          <rPr>
            <sz val="11"/>
            <color theme="1"/>
            <rFont val="Calibri"/>
          </rPr>
          <t>Select asset class from dropdown</t>
        </r>
      </text>
    </comment>
    <comment ref="F18" authorId="0" shapeId="0" xr:uid="{00000000-0006-0000-0200-000056000000}">
      <text>
        <r>
          <rPr>
            <sz val="11"/>
            <color theme="1"/>
            <rFont val="Calibri"/>
          </rPr>
          <t>Select sector from dropdown</t>
        </r>
      </text>
    </comment>
    <comment ref="G18" authorId="0" shapeId="0" xr:uid="{00000000-0006-0000-0200-000063000000}">
      <text>
        <r>
          <rPr>
            <sz val="11"/>
            <color theme="1"/>
            <rFont val="Calibri"/>
          </rPr>
          <t>Portfolio weight for this security. All weights must sum to 100%.</t>
        </r>
      </text>
    </comment>
    <comment ref="I18" authorId="0" shapeId="0" xr:uid="{00000000-0006-0000-0200-000070000000}">
      <text>
        <r>
          <rPr>
            <sz val="11"/>
            <color theme="1"/>
            <rFont val="Calibri"/>
          </rPr>
          <t>Estimated beta (vs. S&amp;P 500). Source from FactSet or Yahoo Finance.</t>
        </r>
      </text>
    </comment>
    <comment ref="J18" authorId="0" shapeId="0" xr:uid="{00000000-0006-0000-0200-00007A000000}">
      <text>
        <r>
          <rPr>
            <sz val="11"/>
            <color theme="1"/>
            <rFont val="Calibri"/>
          </rPr>
          <t>Does this security PASS your Phase 1 macro filter? Must be YES.</t>
        </r>
      </text>
    </comment>
    <comment ref="K18" authorId="0" shapeId="0" xr:uid="{00000000-0006-0000-0200-000085000000}">
      <text>
        <r>
          <rPr>
            <sz val="11"/>
            <color theme="1"/>
            <rFont val="Calibri"/>
          </rPr>
          <t>Reference number linking to your Investment Thesis Log (Section 3 of this tab). e.g. 1, 2, 3...</t>
        </r>
      </text>
    </comment>
    <comment ref="L18" authorId="0" shapeId="0" xr:uid="{00000000-0006-0000-0200-000091000000}">
      <text>
        <r>
          <rPr>
            <sz val="11"/>
            <color theme="1"/>
            <rFont val="Calibri"/>
          </rPr>
          <t>Cite your source. E.g. "FactSet @ECO, 4/15/2025" or "SEC 10-K FY2024"</t>
        </r>
      </text>
    </comment>
    <comment ref="C19" authorId="0" shapeId="0" xr:uid="{00000000-0006-0000-0200-00000B000000}">
      <text>
        <r>
          <rPr>
            <sz val="11"/>
            <color theme="1"/>
            <rFont val="Calibri"/>
          </rPr>
          <t>Enter ticker symbol (e.g. AAPL, SPY, TLT)</t>
        </r>
      </text>
    </comment>
    <comment ref="D19" authorId="0" shapeId="0" xr:uid="{00000000-0006-0000-0200-000043000000}">
      <text>
        <r>
          <rPr>
            <sz val="11"/>
            <color theme="1"/>
            <rFont val="Calibri"/>
          </rPr>
          <t>Full security or ETF name</t>
        </r>
      </text>
    </comment>
    <comment ref="E19" authorId="0" shapeId="0" xr:uid="{00000000-0006-0000-0200-00004D000000}">
      <text>
        <r>
          <rPr>
            <sz val="11"/>
            <color theme="1"/>
            <rFont val="Calibri"/>
          </rPr>
          <t>Select asset class from dropdown</t>
        </r>
      </text>
    </comment>
    <comment ref="F19" authorId="0" shapeId="0" xr:uid="{00000000-0006-0000-0200-000057000000}">
      <text>
        <r>
          <rPr>
            <sz val="11"/>
            <color theme="1"/>
            <rFont val="Calibri"/>
          </rPr>
          <t>Select sector from dropdown</t>
        </r>
      </text>
    </comment>
    <comment ref="G19" authorId="0" shapeId="0" xr:uid="{00000000-0006-0000-0200-000064000000}">
      <text>
        <r>
          <rPr>
            <sz val="11"/>
            <color theme="1"/>
            <rFont val="Calibri"/>
          </rPr>
          <t>Portfolio weight for this security. All weights must sum to 100%.</t>
        </r>
      </text>
    </comment>
    <comment ref="I19" authorId="0" shapeId="0" xr:uid="{00000000-0006-0000-0200-000071000000}">
      <text>
        <r>
          <rPr>
            <sz val="11"/>
            <color theme="1"/>
            <rFont val="Calibri"/>
          </rPr>
          <t>Estimated beta (vs. S&amp;P 500). Source from FactSet or Yahoo Finance.</t>
        </r>
      </text>
    </comment>
    <comment ref="J19" authorId="0" shapeId="0" xr:uid="{00000000-0006-0000-0200-00007B000000}">
      <text>
        <r>
          <rPr>
            <sz val="11"/>
            <color theme="1"/>
            <rFont val="Calibri"/>
          </rPr>
          <t>Does this security PASS your Phase 1 macro filter? Must be YES.</t>
        </r>
      </text>
    </comment>
    <comment ref="K19" authorId="0" shapeId="0" xr:uid="{00000000-0006-0000-0200-000086000000}">
      <text>
        <r>
          <rPr>
            <sz val="11"/>
            <color theme="1"/>
            <rFont val="Calibri"/>
          </rPr>
          <t>Reference number linking to your Investment Thesis Log (Section 3 of this tab). e.g. 1, 2, 3...</t>
        </r>
      </text>
    </comment>
    <comment ref="L19" authorId="0" shapeId="0" xr:uid="{00000000-0006-0000-0200-000092000000}">
      <text>
        <r>
          <rPr>
            <sz val="11"/>
            <color theme="1"/>
            <rFont val="Calibri"/>
          </rPr>
          <t>Cite your source. E.g. "FactSet @ECO, 4/15/2025" or "SEC 10-K FY2024"</t>
        </r>
      </text>
    </comment>
    <comment ref="C20" authorId="0" shapeId="0" xr:uid="{00000000-0006-0000-0200-00000C000000}">
      <text>
        <r>
          <rPr>
            <sz val="11"/>
            <color theme="1"/>
            <rFont val="Calibri"/>
          </rPr>
          <t>Enter ticker symbol (e.g. AAPL, SPY, TLT)</t>
        </r>
      </text>
    </comment>
    <comment ref="D20" authorId="0" shapeId="0" xr:uid="{00000000-0006-0000-0200-000044000000}">
      <text>
        <r>
          <rPr>
            <sz val="11"/>
            <color theme="1"/>
            <rFont val="Calibri"/>
          </rPr>
          <t>Full security or ETF name</t>
        </r>
      </text>
    </comment>
    <comment ref="E20" authorId="0" shapeId="0" xr:uid="{00000000-0006-0000-0200-00004E000000}">
      <text>
        <r>
          <rPr>
            <sz val="11"/>
            <color theme="1"/>
            <rFont val="Calibri"/>
          </rPr>
          <t>Select asset class from dropdown</t>
        </r>
      </text>
    </comment>
    <comment ref="F20" authorId="0" shapeId="0" xr:uid="{00000000-0006-0000-0200-000058000000}">
      <text>
        <r>
          <rPr>
            <sz val="11"/>
            <color theme="1"/>
            <rFont val="Calibri"/>
          </rPr>
          <t>Select sector from dropdown</t>
        </r>
      </text>
    </comment>
    <comment ref="G20" authorId="0" shapeId="0" xr:uid="{00000000-0006-0000-0200-000065000000}">
      <text>
        <r>
          <rPr>
            <sz val="11"/>
            <color theme="1"/>
            <rFont val="Calibri"/>
          </rPr>
          <t>Portfolio weight for this security. All weights must sum to 100%.</t>
        </r>
      </text>
    </comment>
    <comment ref="I20" authorId="0" shapeId="0" xr:uid="{00000000-0006-0000-0200-000072000000}">
      <text>
        <r>
          <rPr>
            <sz val="11"/>
            <color theme="1"/>
            <rFont val="Calibri"/>
          </rPr>
          <t>Estimated beta (vs. S&amp;P 500). Source from FactSet or Yahoo Finance.</t>
        </r>
      </text>
    </comment>
    <comment ref="J20" authorId="0" shapeId="0" xr:uid="{00000000-0006-0000-0200-00007C000000}">
      <text>
        <r>
          <rPr>
            <sz val="11"/>
            <color theme="1"/>
            <rFont val="Calibri"/>
          </rPr>
          <t>Does this security PASS your Phase 1 macro filter? Must be YES.</t>
        </r>
      </text>
    </comment>
    <comment ref="K20" authorId="0" shapeId="0" xr:uid="{00000000-0006-0000-0200-000087000000}">
      <text>
        <r>
          <rPr>
            <sz val="11"/>
            <color theme="1"/>
            <rFont val="Calibri"/>
          </rPr>
          <t>Reference number linking to your Investment Thesis Log (Section 3 of this tab). e.g. 1, 2, 3...</t>
        </r>
      </text>
    </comment>
    <comment ref="L20" authorId="0" shapeId="0" xr:uid="{00000000-0006-0000-0200-000093000000}">
      <text>
        <r>
          <rPr>
            <sz val="11"/>
            <color theme="1"/>
            <rFont val="Calibri"/>
          </rPr>
          <t>Cite your source. E.g. "FactSet @ECO, 4/15/2025" or "SEC 10-K FY2024"</t>
        </r>
      </text>
    </comment>
    <comment ref="C21" authorId="0" shapeId="0" xr:uid="{00000000-0006-0000-0200-00000D000000}">
      <text>
        <r>
          <rPr>
            <sz val="11"/>
            <color theme="1"/>
            <rFont val="Calibri"/>
          </rPr>
          <t>Enter ticker symbol (e.g. AAPL, SPY, TLT)</t>
        </r>
      </text>
    </comment>
    <comment ref="D21" authorId="0" shapeId="0" xr:uid="{00000000-0006-0000-0200-000045000000}">
      <text>
        <r>
          <rPr>
            <sz val="11"/>
            <color theme="1"/>
            <rFont val="Calibri"/>
          </rPr>
          <t>Full security or ETF name</t>
        </r>
      </text>
    </comment>
    <comment ref="E21" authorId="0" shapeId="0" xr:uid="{00000000-0006-0000-0200-00004F000000}">
      <text>
        <r>
          <rPr>
            <sz val="11"/>
            <color theme="1"/>
            <rFont val="Calibri"/>
          </rPr>
          <t>Select asset class from dropdown</t>
        </r>
      </text>
    </comment>
    <comment ref="F21" authorId="0" shapeId="0" xr:uid="{00000000-0006-0000-0200-000059000000}">
      <text>
        <r>
          <rPr>
            <sz val="11"/>
            <color theme="1"/>
            <rFont val="Calibri"/>
          </rPr>
          <t>Select sector from dropdown</t>
        </r>
      </text>
    </comment>
    <comment ref="G21" authorId="0" shapeId="0" xr:uid="{00000000-0006-0000-0200-000066000000}">
      <text>
        <r>
          <rPr>
            <sz val="11"/>
            <color rgb="FF000000"/>
            <rFont val="Calibri"/>
            <family val="2"/>
          </rPr>
          <t>Portfolio weight for this security. All weights must sum to 100%.</t>
        </r>
      </text>
    </comment>
    <comment ref="I21" authorId="0" shapeId="0" xr:uid="{00000000-0006-0000-0200-000073000000}">
      <text>
        <r>
          <rPr>
            <sz val="11"/>
            <color theme="1"/>
            <rFont val="Calibri"/>
          </rPr>
          <t>Estimated beta (vs. S&amp;P 500). Source from FactSet or Yahoo Finance.</t>
        </r>
      </text>
    </comment>
    <comment ref="J21" authorId="0" shapeId="0" xr:uid="{00000000-0006-0000-0200-00007D000000}">
      <text>
        <r>
          <rPr>
            <sz val="11"/>
            <color theme="1"/>
            <rFont val="Calibri"/>
          </rPr>
          <t>Does this security PASS your Phase 1 macro filter? Must be YES.</t>
        </r>
      </text>
    </comment>
    <comment ref="K21" authorId="0" shapeId="0" xr:uid="{00000000-0006-0000-0200-000088000000}">
      <text>
        <r>
          <rPr>
            <sz val="11"/>
            <color theme="1"/>
            <rFont val="Calibri"/>
          </rPr>
          <t>Reference number linking to your Investment Thesis Log (Section 3 of this tab). e.g. 1, 2, 3...</t>
        </r>
      </text>
    </comment>
    <comment ref="L21" authorId="0" shapeId="0" xr:uid="{00000000-0006-0000-0200-000094000000}">
      <text>
        <r>
          <rPr>
            <sz val="11"/>
            <color theme="1"/>
            <rFont val="Calibri"/>
          </rPr>
          <t>Cite your source. E.g. "FactSet @ECO, 4/15/2025" or "SEC 10-K FY2024"</t>
        </r>
      </text>
    </comment>
    <comment ref="C27" authorId="0" shapeId="0" xr:uid="{00000000-0006-0000-0200-00000E000000}">
      <text>
        <r>
          <rPr>
            <sz val="11"/>
            <color theme="1"/>
            <rFont val="Calibri"/>
          </rPr>
          <t>Describe the hedge strategy in plain English. E.g. 'Protective Put on SPY ETF'</t>
        </r>
      </text>
    </comment>
    <comment ref="C28" authorId="0" shapeId="0" xr:uid="{00000000-0006-0000-0200-00000F000000}">
      <text>
        <r>
          <rPr>
            <sz val="11"/>
            <color theme="1"/>
            <rFont val="Calibri"/>
          </rPr>
          <t>The security being hedged. Must match a holding in Section 1.</t>
        </r>
      </text>
    </comment>
    <comment ref="C29" authorId="0" shapeId="0" xr:uid="{00000000-0006-0000-0200-000010000000}">
      <text>
        <r>
          <rPr>
            <sz val="11"/>
            <color theme="1"/>
            <rFont val="Calibri"/>
          </rPr>
          <t>Put Option / Call Option / Futures Contract / Collar / Other</t>
        </r>
      </text>
    </comment>
    <comment ref="C30" authorId="0" shapeId="0" xr:uid="{00000000-0006-0000-0200-000011000000}">
      <text>
        <r>
          <rPr>
            <sz val="11"/>
            <color theme="1"/>
            <rFont val="Calibri"/>
          </rPr>
          <t>Strike price of the option contract. State if ITM, ATM, or OTM.</t>
        </r>
      </text>
    </comment>
    <comment ref="C31" authorId="0" shapeId="0" xr:uid="{00000000-0006-0000-0200-000012000000}">
      <text>
        <r>
          <rPr>
            <sz val="11"/>
            <color theme="1"/>
            <rFont val="Calibri"/>
          </rPr>
          <t>Option expiration date or contract duration.</t>
        </r>
      </text>
    </comment>
    <comment ref="C32" authorId="0" shapeId="0" xr:uid="{00000000-0006-0000-0200-000013000000}">
      <text>
        <r>
          <rPr>
            <sz val="11"/>
            <color theme="1"/>
            <rFont val="Calibri"/>
          </rPr>
          <t>Total cost of the hedge. Source from FactSet options chain or current market.</t>
        </r>
      </text>
    </comment>
    <comment ref="C33" authorId="0" shapeId="0" xr:uid="{00000000-0006-0000-0200-000014000000}">
      <text>
        <r>
          <rPr>
            <sz val="11"/>
            <color theme="1"/>
            <rFont val="Calibri"/>
          </rPr>
          <t>Hedge cost as a % of total portfolio value. Formula: cost / 500000</t>
        </r>
      </text>
    </comment>
    <comment ref="C34" authorId="0" shapeId="0" xr:uid="{00000000-0006-0000-0200-000015000000}">
      <text>
        <r>
          <rPr>
            <sz val="11"/>
            <color theme="1"/>
            <rFont val="Calibri"/>
          </rPr>
          <t>The maximum loss after the hedge is applied. Must be within IPS drawdown limit.</t>
        </r>
      </text>
    </comment>
    <comment ref="C35" authorId="0" shapeId="0" xr:uid="{00000000-0006-0000-0200-000016000000}">
      <text>
        <r>
          <rPr>
            <sz val="11"/>
            <color theme="1"/>
            <rFont val="Calibri"/>
          </rPr>
          <t>Portfolio Bear Case return after hedge payoff. Verify this passes IPS Tripwire.</t>
        </r>
      </text>
    </comment>
    <comment ref="B39" authorId="0" shapeId="0" xr:uid="{00000000-0006-0000-0200-000001000000}">
      <text>
        <r>
          <rPr>
            <sz val="11"/>
            <color theme="1"/>
            <rFont val="Calibri"/>
          </rPr>
          <t>Example: Covered Call</t>
        </r>
      </text>
    </comment>
    <comment ref="C39" authorId="0" shapeId="0" xr:uid="{00000000-0006-0000-0200-000017000000}">
      <text>
        <r>
          <rPr>
            <sz val="11"/>
            <color theme="1"/>
            <rFont val="Calibri"/>
          </rPr>
          <t>Example: Net credit received</t>
        </r>
      </text>
    </comment>
    <comment ref="F39" authorId="0" shapeId="0" xr:uid="{00000000-0006-0000-0200-00005A000000}">
      <text>
        <r>
          <rPr>
            <sz val="11"/>
            <color theme="1"/>
            <rFont val="Calibri"/>
          </rPr>
          <t>Example: Caps upside; no floor</t>
        </r>
      </text>
    </comment>
    <comment ref="H39" authorId="0" shapeId="0" xr:uid="{00000000-0006-0000-0200-000067000000}">
      <text>
        <r>
          <rPr>
            <sz val="11"/>
            <color theme="1"/>
            <rFont val="Calibri"/>
          </rPr>
          <t>Example: Lower cost but limits gains</t>
        </r>
      </text>
    </comment>
    <comment ref="K39" authorId="0" shapeId="0" xr:uid="{00000000-0006-0000-0200-000089000000}">
      <text>
        <r>
          <rPr>
            <sz val="11"/>
            <color theme="1"/>
            <rFont val="Calibri"/>
          </rPr>
          <t>Example: Client needs upside participation</t>
        </r>
      </text>
    </comment>
    <comment ref="B40" authorId="0" shapeId="0" xr:uid="{00000000-0006-0000-0200-000002000000}">
      <text>
        <r>
          <rPr>
            <sz val="11"/>
            <color theme="1"/>
            <rFont val="Calibri"/>
          </rPr>
          <t>Example: Increase Cash Allocation</t>
        </r>
      </text>
    </comment>
    <comment ref="C40" authorId="0" shapeId="0" xr:uid="{00000000-0006-0000-0200-000018000000}">
      <text>
        <r>
          <rPr>
            <sz val="11"/>
            <color theme="1"/>
            <rFont val="Calibri"/>
          </rPr>
          <t>Example: Opportunity cost only</t>
        </r>
      </text>
    </comment>
    <comment ref="F40" authorId="0" shapeId="0" xr:uid="{00000000-0006-0000-0200-00005B000000}">
      <text>
        <r>
          <rPr>
            <sz val="11"/>
            <color theme="1"/>
            <rFont val="Calibri"/>
          </rPr>
          <t>Example: Reduces equity exposure</t>
        </r>
      </text>
    </comment>
    <comment ref="H40" authorId="0" shapeId="0" xr:uid="{00000000-0006-0000-0200-000068000000}">
      <text>
        <r>
          <rPr>
            <sz val="11"/>
            <color theme="1"/>
            <rFont val="Calibri"/>
          </rPr>
          <t>Example: Simpler but sacrifices return</t>
        </r>
      </text>
    </comment>
    <comment ref="K40" authorId="0" shapeId="0" xr:uid="{00000000-0006-0000-0200-00008A000000}">
      <text>
        <r>
          <rPr>
            <sz val="11"/>
            <color theme="1"/>
            <rFont val="Calibri"/>
          </rPr>
          <t>Example: Below target E(R) with high cash</t>
        </r>
      </text>
    </comment>
    <comment ref="C45" authorId="0" shapeId="0" xr:uid="{00000000-0006-0000-0200-000019000000}">
      <text>
        <r>
          <rPr>
            <sz val="11"/>
            <color theme="1"/>
            <rFont val="Calibri"/>
          </rPr>
          <t>Must match an entry in Section 1.</t>
        </r>
      </text>
    </comment>
    <comment ref="C46" authorId="0" shapeId="0" xr:uid="{00000000-0006-0000-0200-00001A000000}">
      <text>
        <r>
          <rPr>
            <sz val="11"/>
            <color theme="1"/>
            <rFont val="Calibri"/>
          </rPr>
          <t>Must match columns E and F in Section 1.</t>
        </r>
      </text>
    </comment>
    <comment ref="C47" authorId="0" shapeId="0" xr:uid="{00000000-0006-0000-0200-00001B000000}">
      <text>
        <r>
          <rPr>
            <sz val="11"/>
            <color theme="1"/>
            <rFont val="Calibri"/>
          </rPr>
          <t>Required: link to Phase 1 macro regime. E.g. 'In our Base Case (Soft Landing), earnings growth of 8% supports broad equity exposure via SPY.'</t>
        </r>
      </text>
    </comment>
    <comment ref="C48" authorId="0" shapeId="0" xr:uid="{00000000-0006-0000-0200-00001C000000}">
      <text>
        <r>
          <rPr>
            <sz val="11"/>
            <color theme="1"/>
            <rFont val="Calibri"/>
          </rPr>
          <t>Bottom-up reason beyond macro. E.g. valuation, dividend yield, duration match.</t>
        </r>
      </text>
    </comment>
    <comment ref="C49" authorId="0" shapeId="0" xr:uid="{00000000-0006-0000-0200-00001D000000}">
      <text>
        <r>
          <rPr>
            <sz val="11"/>
            <color theme="1"/>
            <rFont val="Calibri"/>
          </rPr>
          <t>Cite EVERY data point. Unverified AI data = Hallucination Clause violation.</t>
        </r>
      </text>
    </comment>
    <comment ref="C50" authorId="0" shapeId="0" xr:uid="{00000000-0006-0000-0200-00001E000000}">
      <text>
        <r>
          <rPr>
            <sz val="11"/>
            <color theme="1"/>
            <rFont val="Calibri"/>
          </rPr>
          <t>Must reference client's specific IPS constraints (Phase 2).</t>
        </r>
      </text>
    </comment>
    <comment ref="C51" authorId="0" shapeId="0" xr:uid="{00000000-0006-0000-0200-00001F000000}">
      <text>
        <r>
          <rPr>
            <sz val="11"/>
            <color theme="1"/>
            <rFont val="Calibri"/>
          </rPr>
          <t>Required if AI was used. State: tool used, prompt summary, and verification source.</t>
        </r>
      </text>
    </comment>
    <comment ref="C54" authorId="0" shapeId="0" xr:uid="{00000000-0006-0000-0200-000020000000}">
      <text>
        <r>
          <rPr>
            <sz val="11"/>
            <color theme="1"/>
            <rFont val="Calibri"/>
          </rPr>
          <t>Must match an entry in Section 1.</t>
        </r>
      </text>
    </comment>
    <comment ref="C55" authorId="0" shapeId="0" xr:uid="{00000000-0006-0000-0200-000021000000}">
      <text>
        <r>
          <rPr>
            <sz val="11"/>
            <color theme="1"/>
            <rFont val="Calibri"/>
          </rPr>
          <t>Must match columns E and F in Section 1.</t>
        </r>
      </text>
    </comment>
    <comment ref="C56" authorId="0" shapeId="0" xr:uid="{00000000-0006-0000-0200-000022000000}">
      <text>
        <r>
          <rPr>
            <sz val="11"/>
            <color theme="1"/>
            <rFont val="Calibri"/>
          </rPr>
          <t>Required: link to Phase 1 macro regime. E.g. 'In our Base Case (Soft Landing), earnings growth of 8% supports broad equity exposure via SPY.'</t>
        </r>
      </text>
    </comment>
    <comment ref="C57" authorId="0" shapeId="0" xr:uid="{00000000-0006-0000-0200-000023000000}">
      <text>
        <r>
          <rPr>
            <sz val="11"/>
            <color theme="1"/>
            <rFont val="Calibri"/>
          </rPr>
          <t>Bottom-up reason beyond macro. E.g. valuation, dividend yield, duration match.</t>
        </r>
      </text>
    </comment>
    <comment ref="C58" authorId="0" shapeId="0" xr:uid="{00000000-0006-0000-0200-000024000000}">
      <text>
        <r>
          <rPr>
            <sz val="11"/>
            <color theme="1"/>
            <rFont val="Calibri"/>
          </rPr>
          <t>Cite EVERY data point. Unverified AI data = Hallucination Clause violation.</t>
        </r>
      </text>
    </comment>
    <comment ref="C59" authorId="0" shapeId="0" xr:uid="{00000000-0006-0000-0200-000025000000}">
      <text>
        <r>
          <rPr>
            <sz val="11"/>
            <color theme="1"/>
            <rFont val="Calibri"/>
          </rPr>
          <t>Must reference client's specific IPS constraints (Phase 2).</t>
        </r>
      </text>
    </comment>
    <comment ref="C60" authorId="0" shapeId="0" xr:uid="{00000000-0006-0000-0200-000026000000}">
      <text>
        <r>
          <rPr>
            <sz val="11"/>
            <color theme="1"/>
            <rFont val="Calibri"/>
          </rPr>
          <t>Required if AI was used. State: tool used, prompt summary, and verification source.</t>
        </r>
      </text>
    </comment>
    <comment ref="C63" authorId="0" shapeId="0" xr:uid="{00000000-0006-0000-0200-000027000000}">
      <text>
        <r>
          <rPr>
            <sz val="11"/>
            <color theme="1"/>
            <rFont val="Calibri"/>
          </rPr>
          <t>Must match an entry in Section 1.</t>
        </r>
      </text>
    </comment>
    <comment ref="C64" authorId="0" shapeId="0" xr:uid="{00000000-0006-0000-0200-000028000000}">
      <text>
        <r>
          <rPr>
            <sz val="11"/>
            <color theme="1"/>
            <rFont val="Calibri"/>
          </rPr>
          <t>Must match columns E and F in Section 1.</t>
        </r>
      </text>
    </comment>
    <comment ref="C65" authorId="0" shapeId="0" xr:uid="{00000000-0006-0000-0200-000029000000}">
      <text>
        <r>
          <rPr>
            <sz val="11"/>
            <color theme="1"/>
            <rFont val="Calibri"/>
          </rPr>
          <t>Required: link to Phase 1 macro regime. E.g. 'In our Base Case (Soft Landing), earnings growth of 8% supports broad equity exposure via SPY.'</t>
        </r>
      </text>
    </comment>
    <comment ref="C66" authorId="0" shapeId="0" xr:uid="{00000000-0006-0000-0200-00002A000000}">
      <text>
        <r>
          <rPr>
            <sz val="11"/>
            <color theme="1"/>
            <rFont val="Calibri"/>
          </rPr>
          <t>Bottom-up reason beyond macro. E.g. valuation, dividend yield, duration match.</t>
        </r>
      </text>
    </comment>
    <comment ref="C67" authorId="0" shapeId="0" xr:uid="{00000000-0006-0000-0200-00002B000000}">
      <text>
        <r>
          <rPr>
            <sz val="11"/>
            <color theme="1"/>
            <rFont val="Calibri"/>
          </rPr>
          <t>Cite EVERY data point. Unverified AI data = Hallucination Clause violation.</t>
        </r>
      </text>
    </comment>
    <comment ref="C68" authorId="0" shapeId="0" xr:uid="{00000000-0006-0000-0200-00002C000000}">
      <text>
        <r>
          <rPr>
            <sz val="11"/>
            <color theme="1"/>
            <rFont val="Calibri"/>
          </rPr>
          <t>Must reference client's specific IPS constraints (Phase 2).</t>
        </r>
      </text>
    </comment>
    <comment ref="C69" authorId="0" shapeId="0" xr:uid="{00000000-0006-0000-0200-00002D000000}">
      <text>
        <r>
          <rPr>
            <sz val="11"/>
            <color theme="1"/>
            <rFont val="Calibri"/>
          </rPr>
          <t>Required if AI was used. State: tool used, prompt summary, and verification source.</t>
        </r>
      </text>
    </comment>
    <comment ref="C72" authorId="0" shapeId="0" xr:uid="{00000000-0006-0000-0200-00002E000000}">
      <text>
        <r>
          <rPr>
            <sz val="11"/>
            <color theme="1"/>
            <rFont val="Calibri"/>
          </rPr>
          <t>Must match an entry in Section 1.</t>
        </r>
      </text>
    </comment>
    <comment ref="C73" authorId="0" shapeId="0" xr:uid="{00000000-0006-0000-0200-00002F000000}">
      <text>
        <r>
          <rPr>
            <sz val="11"/>
            <color theme="1"/>
            <rFont val="Calibri"/>
          </rPr>
          <t>Must match columns E and F in Section 1.</t>
        </r>
      </text>
    </comment>
    <comment ref="C74" authorId="0" shapeId="0" xr:uid="{00000000-0006-0000-0200-000030000000}">
      <text>
        <r>
          <rPr>
            <sz val="11"/>
            <color theme="1"/>
            <rFont val="Calibri"/>
          </rPr>
          <t>Required: link to Phase 1 macro regime. E.g. 'In our Base Case (Soft Landing), earnings growth of 8% supports broad equity exposure via SPY.'</t>
        </r>
      </text>
    </comment>
    <comment ref="C75" authorId="0" shapeId="0" xr:uid="{00000000-0006-0000-0200-000031000000}">
      <text>
        <r>
          <rPr>
            <sz val="11"/>
            <color theme="1"/>
            <rFont val="Calibri"/>
          </rPr>
          <t>Bottom-up reason beyond macro. E.g. valuation, dividend yield, duration match.</t>
        </r>
      </text>
    </comment>
    <comment ref="C76" authorId="0" shapeId="0" xr:uid="{00000000-0006-0000-0200-000032000000}">
      <text>
        <r>
          <rPr>
            <sz val="11"/>
            <color theme="1"/>
            <rFont val="Calibri"/>
          </rPr>
          <t>Cite EVERY data point. Unverified AI data = Hallucination Clause violation.</t>
        </r>
      </text>
    </comment>
    <comment ref="C77" authorId="0" shapeId="0" xr:uid="{00000000-0006-0000-0200-000033000000}">
      <text>
        <r>
          <rPr>
            <sz val="11"/>
            <color theme="1"/>
            <rFont val="Calibri"/>
          </rPr>
          <t>Must reference client's specific IPS constraints (Phase 2).</t>
        </r>
      </text>
    </comment>
    <comment ref="C78" authorId="0" shapeId="0" xr:uid="{00000000-0006-0000-0200-000034000000}">
      <text>
        <r>
          <rPr>
            <sz val="11"/>
            <color theme="1"/>
            <rFont val="Calibri"/>
          </rPr>
          <t>Required if AI was used. State: tool used, prompt summary, and verification source.</t>
        </r>
      </text>
    </comment>
    <comment ref="C81" authorId="0" shapeId="0" xr:uid="{00000000-0006-0000-0200-000035000000}">
      <text>
        <r>
          <rPr>
            <sz val="11"/>
            <color theme="1"/>
            <rFont val="Calibri"/>
          </rPr>
          <t>Must match an entry in Section 1.</t>
        </r>
      </text>
    </comment>
    <comment ref="C82" authorId="0" shapeId="0" xr:uid="{00000000-0006-0000-0200-000036000000}">
      <text>
        <r>
          <rPr>
            <sz val="11"/>
            <color theme="1"/>
            <rFont val="Calibri"/>
          </rPr>
          <t>Must match columns E and F in Section 1.</t>
        </r>
      </text>
    </comment>
    <comment ref="C83" authorId="0" shapeId="0" xr:uid="{00000000-0006-0000-0200-000037000000}">
      <text>
        <r>
          <rPr>
            <sz val="11"/>
            <color theme="1"/>
            <rFont val="Calibri"/>
          </rPr>
          <t>Required: link to Phase 1 macro regime. E.g. 'In our Base Case (Soft Landing), earnings growth of 8% supports broad equity exposure via SPY.'</t>
        </r>
      </text>
    </comment>
    <comment ref="C84" authorId="0" shapeId="0" xr:uid="{00000000-0006-0000-0200-000038000000}">
      <text>
        <r>
          <rPr>
            <sz val="11"/>
            <color theme="1"/>
            <rFont val="Calibri"/>
          </rPr>
          <t>Bottom-up reason beyond macro. E.g. valuation, dividend yield, duration match.</t>
        </r>
      </text>
    </comment>
    <comment ref="C85" authorId="0" shapeId="0" xr:uid="{00000000-0006-0000-0200-000039000000}">
      <text>
        <r>
          <rPr>
            <sz val="11"/>
            <color theme="1"/>
            <rFont val="Calibri"/>
          </rPr>
          <t>Cite EVERY data point. Unverified AI data = Hallucination Clause violation.</t>
        </r>
      </text>
    </comment>
    <comment ref="C86" authorId="0" shapeId="0" xr:uid="{00000000-0006-0000-0200-00003A000000}">
      <text>
        <r>
          <rPr>
            <sz val="11"/>
            <color theme="1"/>
            <rFont val="Calibri"/>
          </rPr>
          <t>Must reference client's specific IPS constraints (Phase 2).</t>
        </r>
      </text>
    </comment>
    <comment ref="C87" authorId="0" shapeId="0" xr:uid="{00000000-0006-0000-0200-00003B000000}">
      <text>
        <r>
          <rPr>
            <sz val="11"/>
            <color theme="1"/>
            <rFont val="Calibri"/>
          </rPr>
          <t>Required if AI was used. State: tool used, prompt summary, and verification source.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5" authorId="0" shapeId="0" xr:uid="{00000000-0006-0000-0300-000003000000}">
      <text>
        <r>
          <rPr>
            <sz val="11"/>
            <color theme="1"/>
            <rFont val="Calibri"/>
          </rPr>
          <t>Enter client name or ID (e.g. Eleanor Vance — Client 1)</t>
        </r>
      </text>
    </comment>
    <comment ref="G5" authorId="0" shapeId="0" xr:uid="{00000000-0006-0000-0300-00005C000000}">
      <text>
        <r>
          <rPr>
            <sz val="11"/>
            <color theme="1"/>
            <rFont val="Calibri"/>
          </rPr>
          <t>From Phase 2 IPS — client's required annual return</t>
        </r>
      </text>
    </comment>
    <comment ref="I5" authorId="0" shapeId="0" xr:uid="{00000000-0006-0000-0300-000069000000}">
      <text>
        <r>
          <rPr>
            <sz val="11"/>
            <color theme="1"/>
            <rFont val="Calibri"/>
          </rPr>
          <t>From Phase 2 IPS — maximum portfolio standard deviation allowed</t>
        </r>
      </text>
    </comment>
    <comment ref="K5" authorId="0" shapeId="0" xr:uid="{00000000-0006-0000-0300-00007E000000}">
      <text>
        <r>
          <rPr>
            <sz val="11"/>
            <color theme="1"/>
            <rFont val="Calibri"/>
          </rPr>
          <t>From Phase 1 — e.g. 'Late-Cycle / Base Case: Soft Landing'</t>
        </r>
      </text>
    </comment>
    <comment ref="C12" authorId="0" shapeId="0" xr:uid="{00000000-0006-0000-0300-000004000000}">
      <text>
        <r>
          <rPr>
            <sz val="11"/>
            <color theme="1"/>
            <rFont val="Calibri"/>
          </rPr>
          <t>Enter ticker symbol (e.g. AAPL, SPY, TLT)</t>
        </r>
      </text>
    </comment>
    <comment ref="D12" authorId="0" shapeId="0" xr:uid="{00000000-0006-0000-0300-00003C000000}">
      <text>
        <r>
          <rPr>
            <sz val="11"/>
            <color theme="1"/>
            <rFont val="Calibri"/>
          </rPr>
          <t>Full security or ETF name</t>
        </r>
      </text>
    </comment>
    <comment ref="E12" authorId="0" shapeId="0" xr:uid="{00000000-0006-0000-0300-000046000000}">
      <text>
        <r>
          <rPr>
            <sz val="11"/>
            <color theme="1"/>
            <rFont val="Calibri"/>
          </rPr>
          <t>Select asset class from dropdown</t>
        </r>
      </text>
    </comment>
    <comment ref="F12" authorId="0" shapeId="0" xr:uid="{00000000-0006-0000-0300-000050000000}">
      <text>
        <r>
          <rPr>
            <sz val="11"/>
            <color theme="1"/>
            <rFont val="Calibri"/>
          </rPr>
          <t>Select sector from dropdown</t>
        </r>
      </text>
    </comment>
    <comment ref="G12" authorId="0" shapeId="0" xr:uid="{00000000-0006-0000-0300-00005D000000}">
      <text>
        <r>
          <rPr>
            <sz val="11"/>
            <color theme="1"/>
            <rFont val="Calibri"/>
          </rPr>
          <t>Portfolio weight for this security. All weights must sum to 100%.</t>
        </r>
      </text>
    </comment>
    <comment ref="I12" authorId="0" shapeId="0" xr:uid="{00000000-0006-0000-0300-00006A000000}">
      <text>
        <r>
          <rPr>
            <sz val="11"/>
            <color theme="1"/>
            <rFont val="Calibri"/>
          </rPr>
          <t>Estimated beta (vs. S&amp;P 500). Source from FactSet or Yahoo Finance.</t>
        </r>
      </text>
    </comment>
    <comment ref="J12" authorId="0" shapeId="0" xr:uid="{00000000-0006-0000-0300-000074000000}">
      <text>
        <r>
          <rPr>
            <sz val="11"/>
            <color theme="1"/>
            <rFont val="Calibri"/>
          </rPr>
          <t>Does this security PASS your Phase 1 macro filter? Must be YES.</t>
        </r>
      </text>
    </comment>
    <comment ref="K12" authorId="0" shapeId="0" xr:uid="{00000000-0006-0000-0300-00007F000000}">
      <text>
        <r>
          <rPr>
            <sz val="11"/>
            <color theme="1"/>
            <rFont val="Calibri"/>
          </rPr>
          <t>Reference number linking to your Investment Thesis Log (Section 3 of this tab). e.g. 1, 2, 3...</t>
        </r>
      </text>
    </comment>
    <comment ref="L12" authorId="0" shapeId="0" xr:uid="{00000000-0006-0000-0300-00008B000000}">
      <text>
        <r>
          <rPr>
            <sz val="11"/>
            <color theme="1"/>
            <rFont val="Calibri"/>
          </rPr>
          <t>Cite your source. E.g. "FactSet @ECO, 4/15/2025" or "SEC 10-K FY2024"</t>
        </r>
      </text>
    </comment>
    <comment ref="C13" authorId="0" shapeId="0" xr:uid="{00000000-0006-0000-0300-000005000000}">
      <text>
        <r>
          <rPr>
            <sz val="11"/>
            <color theme="1"/>
            <rFont val="Calibri"/>
          </rPr>
          <t>Enter ticker symbol (e.g. AAPL, SPY, TLT)</t>
        </r>
      </text>
    </comment>
    <comment ref="D13" authorId="0" shapeId="0" xr:uid="{00000000-0006-0000-0300-00003D000000}">
      <text>
        <r>
          <rPr>
            <sz val="11"/>
            <color theme="1"/>
            <rFont val="Calibri"/>
          </rPr>
          <t>Full security or ETF name</t>
        </r>
      </text>
    </comment>
    <comment ref="E13" authorId="0" shapeId="0" xr:uid="{00000000-0006-0000-0300-000047000000}">
      <text>
        <r>
          <rPr>
            <sz val="11"/>
            <color theme="1"/>
            <rFont val="Calibri"/>
          </rPr>
          <t>Select asset class from dropdown</t>
        </r>
      </text>
    </comment>
    <comment ref="F13" authorId="0" shapeId="0" xr:uid="{00000000-0006-0000-0300-000051000000}">
      <text>
        <r>
          <rPr>
            <sz val="11"/>
            <color theme="1"/>
            <rFont val="Calibri"/>
          </rPr>
          <t>Select sector from dropdown</t>
        </r>
      </text>
    </comment>
    <comment ref="G13" authorId="0" shapeId="0" xr:uid="{00000000-0006-0000-0300-00005E000000}">
      <text>
        <r>
          <rPr>
            <sz val="11"/>
            <color theme="1"/>
            <rFont val="Calibri"/>
          </rPr>
          <t>Portfolio weight for this security. All weights must sum to 100%.</t>
        </r>
      </text>
    </comment>
    <comment ref="I13" authorId="0" shapeId="0" xr:uid="{00000000-0006-0000-0300-00006B000000}">
      <text>
        <r>
          <rPr>
            <sz val="11"/>
            <color theme="1"/>
            <rFont val="Calibri"/>
          </rPr>
          <t>Estimated beta (vs. S&amp;P 500). Source from FactSet or Yahoo Finance.</t>
        </r>
      </text>
    </comment>
    <comment ref="J13" authorId="0" shapeId="0" xr:uid="{00000000-0006-0000-0300-000075000000}">
      <text>
        <r>
          <rPr>
            <sz val="11"/>
            <color theme="1"/>
            <rFont val="Calibri"/>
          </rPr>
          <t>Does this security PASS your Phase 1 macro filter? Must be YES.</t>
        </r>
      </text>
    </comment>
    <comment ref="K13" authorId="0" shapeId="0" xr:uid="{00000000-0006-0000-0300-000080000000}">
      <text>
        <r>
          <rPr>
            <sz val="11"/>
            <color theme="1"/>
            <rFont val="Calibri"/>
          </rPr>
          <t>Reference number linking to your Investment Thesis Log (Section 3 of this tab). e.g. 1, 2, 3...</t>
        </r>
      </text>
    </comment>
    <comment ref="L13" authorId="0" shapeId="0" xr:uid="{00000000-0006-0000-0300-00008C000000}">
      <text>
        <r>
          <rPr>
            <sz val="11"/>
            <color theme="1"/>
            <rFont val="Calibri"/>
          </rPr>
          <t>Cite your source. E.g. "FactSet @ECO, 4/15/2025" or "SEC 10-K FY2024"</t>
        </r>
      </text>
    </comment>
    <comment ref="C14" authorId="0" shapeId="0" xr:uid="{00000000-0006-0000-0300-000006000000}">
      <text>
        <r>
          <rPr>
            <sz val="11"/>
            <color theme="1"/>
            <rFont val="Calibri"/>
          </rPr>
          <t>Enter ticker symbol (e.g. AAPL, SPY, TLT)</t>
        </r>
      </text>
    </comment>
    <comment ref="D14" authorId="0" shapeId="0" xr:uid="{00000000-0006-0000-0300-00003E000000}">
      <text>
        <r>
          <rPr>
            <sz val="11"/>
            <color theme="1"/>
            <rFont val="Calibri"/>
          </rPr>
          <t>Full security or ETF name</t>
        </r>
      </text>
    </comment>
    <comment ref="E14" authorId="0" shapeId="0" xr:uid="{00000000-0006-0000-0300-000048000000}">
      <text>
        <r>
          <rPr>
            <sz val="11"/>
            <color theme="1"/>
            <rFont val="Calibri"/>
          </rPr>
          <t>Select asset class from dropdown</t>
        </r>
      </text>
    </comment>
    <comment ref="F14" authorId="0" shapeId="0" xr:uid="{00000000-0006-0000-0300-000052000000}">
      <text>
        <r>
          <rPr>
            <sz val="11"/>
            <color theme="1"/>
            <rFont val="Calibri"/>
          </rPr>
          <t>Select sector from dropdown</t>
        </r>
      </text>
    </comment>
    <comment ref="G14" authorId="0" shapeId="0" xr:uid="{00000000-0006-0000-0300-00005F000000}">
      <text>
        <r>
          <rPr>
            <sz val="11"/>
            <color theme="1"/>
            <rFont val="Calibri"/>
          </rPr>
          <t>Portfolio weight for this security. All weights must sum to 100%.</t>
        </r>
      </text>
    </comment>
    <comment ref="I14" authorId="0" shapeId="0" xr:uid="{00000000-0006-0000-0300-00006C000000}">
      <text>
        <r>
          <rPr>
            <sz val="11"/>
            <color theme="1"/>
            <rFont val="Calibri"/>
          </rPr>
          <t>Estimated beta (vs. S&amp;P 500). Source from FactSet or Yahoo Finance.</t>
        </r>
      </text>
    </comment>
    <comment ref="J14" authorId="0" shapeId="0" xr:uid="{00000000-0006-0000-0300-000076000000}">
      <text>
        <r>
          <rPr>
            <sz val="11"/>
            <color theme="1"/>
            <rFont val="Calibri"/>
          </rPr>
          <t>Does this security PASS your Phase 1 macro filter? Must be YES.</t>
        </r>
      </text>
    </comment>
    <comment ref="K14" authorId="0" shapeId="0" xr:uid="{00000000-0006-0000-0300-000081000000}">
      <text>
        <r>
          <rPr>
            <sz val="11"/>
            <color theme="1"/>
            <rFont val="Calibri"/>
          </rPr>
          <t>Reference number linking to your Investment Thesis Log (Section 3 of this tab). e.g. 1, 2, 3...</t>
        </r>
      </text>
    </comment>
    <comment ref="L14" authorId="0" shapeId="0" xr:uid="{00000000-0006-0000-0300-00008D000000}">
      <text>
        <r>
          <rPr>
            <sz val="11"/>
            <color theme="1"/>
            <rFont val="Calibri"/>
          </rPr>
          <t>Cite your source. E.g. "FactSet @ECO, 4/15/2025" or "SEC 10-K FY2024"</t>
        </r>
      </text>
    </comment>
    <comment ref="C15" authorId="0" shapeId="0" xr:uid="{00000000-0006-0000-0300-000007000000}">
      <text>
        <r>
          <rPr>
            <sz val="11"/>
            <color theme="1"/>
            <rFont val="Calibri"/>
          </rPr>
          <t>Enter ticker symbol (e.g. AAPL, SPY, TLT)</t>
        </r>
      </text>
    </comment>
    <comment ref="D15" authorId="0" shapeId="0" xr:uid="{00000000-0006-0000-0300-00003F000000}">
      <text>
        <r>
          <rPr>
            <sz val="11"/>
            <color theme="1"/>
            <rFont val="Calibri"/>
          </rPr>
          <t>Full security or ETF name</t>
        </r>
      </text>
    </comment>
    <comment ref="E15" authorId="0" shapeId="0" xr:uid="{00000000-0006-0000-0300-000049000000}">
      <text>
        <r>
          <rPr>
            <sz val="11"/>
            <color theme="1"/>
            <rFont val="Calibri"/>
          </rPr>
          <t>Select asset class from dropdown</t>
        </r>
      </text>
    </comment>
    <comment ref="F15" authorId="0" shapeId="0" xr:uid="{00000000-0006-0000-0300-000053000000}">
      <text>
        <r>
          <rPr>
            <sz val="11"/>
            <color theme="1"/>
            <rFont val="Calibri"/>
          </rPr>
          <t>Select sector from dropdown</t>
        </r>
      </text>
    </comment>
    <comment ref="G15" authorId="0" shapeId="0" xr:uid="{00000000-0006-0000-0300-000060000000}">
      <text>
        <r>
          <rPr>
            <sz val="11"/>
            <color theme="1"/>
            <rFont val="Calibri"/>
          </rPr>
          <t>Portfolio weight for this security. All weights must sum to 100%.</t>
        </r>
      </text>
    </comment>
    <comment ref="I15" authorId="0" shapeId="0" xr:uid="{00000000-0006-0000-0300-00006D000000}">
      <text>
        <r>
          <rPr>
            <sz val="11"/>
            <color theme="1"/>
            <rFont val="Calibri"/>
          </rPr>
          <t>Estimated beta (vs. S&amp;P 500). Source from FactSet or Yahoo Finance.</t>
        </r>
      </text>
    </comment>
    <comment ref="J15" authorId="0" shapeId="0" xr:uid="{00000000-0006-0000-0300-000077000000}">
      <text>
        <r>
          <rPr>
            <sz val="11"/>
            <color theme="1"/>
            <rFont val="Calibri"/>
          </rPr>
          <t>Does this security PASS your Phase 1 macro filter? Must be YES.</t>
        </r>
      </text>
    </comment>
    <comment ref="K15" authorId="0" shapeId="0" xr:uid="{00000000-0006-0000-0300-000082000000}">
      <text>
        <r>
          <rPr>
            <sz val="11"/>
            <color theme="1"/>
            <rFont val="Calibri"/>
          </rPr>
          <t>Reference number linking to your Investment Thesis Log (Section 3 of this tab). e.g. 1, 2, 3...</t>
        </r>
      </text>
    </comment>
    <comment ref="L15" authorId="0" shapeId="0" xr:uid="{00000000-0006-0000-0300-00008E000000}">
      <text>
        <r>
          <rPr>
            <sz val="11"/>
            <color theme="1"/>
            <rFont val="Calibri"/>
          </rPr>
          <t>Cite your source. E.g. "FactSet @ECO, 4/15/2025" or "SEC 10-K FY2024"</t>
        </r>
      </text>
    </comment>
    <comment ref="C16" authorId="0" shapeId="0" xr:uid="{00000000-0006-0000-0300-000008000000}">
      <text>
        <r>
          <rPr>
            <sz val="11"/>
            <color theme="1"/>
            <rFont val="Calibri"/>
          </rPr>
          <t>Enter ticker symbol (e.g. AAPL, SPY, TLT)</t>
        </r>
      </text>
    </comment>
    <comment ref="D16" authorId="0" shapeId="0" xr:uid="{00000000-0006-0000-0300-000040000000}">
      <text>
        <r>
          <rPr>
            <sz val="11"/>
            <color theme="1"/>
            <rFont val="Calibri"/>
          </rPr>
          <t>Full security or ETF name</t>
        </r>
      </text>
    </comment>
    <comment ref="E16" authorId="0" shapeId="0" xr:uid="{00000000-0006-0000-0300-00004A000000}">
      <text>
        <r>
          <rPr>
            <sz val="11"/>
            <color theme="1"/>
            <rFont val="Calibri"/>
          </rPr>
          <t>Select asset class from dropdown</t>
        </r>
      </text>
    </comment>
    <comment ref="F16" authorId="0" shapeId="0" xr:uid="{00000000-0006-0000-0300-000054000000}">
      <text>
        <r>
          <rPr>
            <sz val="11"/>
            <color theme="1"/>
            <rFont val="Calibri"/>
          </rPr>
          <t>Select sector from dropdown</t>
        </r>
      </text>
    </comment>
    <comment ref="G16" authorId="0" shapeId="0" xr:uid="{00000000-0006-0000-0300-000061000000}">
      <text>
        <r>
          <rPr>
            <sz val="11"/>
            <color theme="1"/>
            <rFont val="Calibri"/>
          </rPr>
          <t>Portfolio weight for this security. All weights must sum to 100%.</t>
        </r>
      </text>
    </comment>
    <comment ref="I16" authorId="0" shapeId="0" xr:uid="{00000000-0006-0000-0300-00006E000000}">
      <text>
        <r>
          <rPr>
            <sz val="11"/>
            <color theme="1"/>
            <rFont val="Calibri"/>
          </rPr>
          <t>Estimated beta (vs. S&amp;P 500). Source from FactSet or Yahoo Finance.</t>
        </r>
      </text>
    </comment>
    <comment ref="J16" authorId="0" shapeId="0" xr:uid="{00000000-0006-0000-0300-000078000000}">
      <text>
        <r>
          <rPr>
            <sz val="11"/>
            <color theme="1"/>
            <rFont val="Calibri"/>
          </rPr>
          <t>Does this security PASS your Phase 1 macro filter? Must be YES.</t>
        </r>
      </text>
    </comment>
    <comment ref="K16" authorId="0" shapeId="0" xr:uid="{00000000-0006-0000-0300-000083000000}">
      <text>
        <r>
          <rPr>
            <sz val="11"/>
            <color theme="1"/>
            <rFont val="Calibri"/>
          </rPr>
          <t>Reference number linking to your Investment Thesis Log (Section 3 of this tab). e.g. 1, 2, 3...</t>
        </r>
      </text>
    </comment>
    <comment ref="L16" authorId="0" shapeId="0" xr:uid="{00000000-0006-0000-0300-00008F000000}">
      <text>
        <r>
          <rPr>
            <sz val="11"/>
            <color theme="1"/>
            <rFont val="Calibri"/>
          </rPr>
          <t>Cite your source. E.g. "FactSet @ECO, 4/15/2025" or "SEC 10-K FY2024"</t>
        </r>
      </text>
    </comment>
    <comment ref="C17" authorId="0" shapeId="0" xr:uid="{00000000-0006-0000-0300-000009000000}">
      <text>
        <r>
          <rPr>
            <sz val="11"/>
            <color theme="1"/>
            <rFont val="Calibri"/>
          </rPr>
          <t>Enter ticker symbol (e.g. AAPL, SPY, TLT)</t>
        </r>
      </text>
    </comment>
    <comment ref="D17" authorId="0" shapeId="0" xr:uid="{00000000-0006-0000-0300-000041000000}">
      <text>
        <r>
          <rPr>
            <sz val="11"/>
            <color theme="1"/>
            <rFont val="Calibri"/>
          </rPr>
          <t>Full security or ETF name</t>
        </r>
      </text>
    </comment>
    <comment ref="E17" authorId="0" shapeId="0" xr:uid="{00000000-0006-0000-0300-00004B000000}">
      <text>
        <r>
          <rPr>
            <sz val="11"/>
            <color theme="1"/>
            <rFont val="Calibri"/>
          </rPr>
          <t>Select asset class from dropdown</t>
        </r>
      </text>
    </comment>
    <comment ref="F17" authorId="0" shapeId="0" xr:uid="{00000000-0006-0000-0300-000055000000}">
      <text>
        <r>
          <rPr>
            <sz val="11"/>
            <color theme="1"/>
            <rFont val="Calibri"/>
          </rPr>
          <t>Select sector from dropdown</t>
        </r>
      </text>
    </comment>
    <comment ref="G17" authorId="0" shapeId="0" xr:uid="{00000000-0006-0000-0300-000062000000}">
      <text>
        <r>
          <rPr>
            <sz val="11"/>
            <color theme="1"/>
            <rFont val="Calibri"/>
          </rPr>
          <t>Portfolio weight for this security. All weights must sum to 100%.</t>
        </r>
      </text>
    </comment>
    <comment ref="I17" authorId="0" shapeId="0" xr:uid="{00000000-0006-0000-0300-00006F000000}">
      <text>
        <r>
          <rPr>
            <sz val="11"/>
            <color theme="1"/>
            <rFont val="Calibri"/>
          </rPr>
          <t>Estimated beta (vs. S&amp;P 500). Source from FactSet or Yahoo Finance.</t>
        </r>
      </text>
    </comment>
    <comment ref="J17" authorId="0" shapeId="0" xr:uid="{00000000-0006-0000-0300-000079000000}">
      <text>
        <r>
          <rPr>
            <sz val="11"/>
            <color theme="1"/>
            <rFont val="Calibri"/>
          </rPr>
          <t>Does this security PASS your Phase 1 macro filter? Must be YES.</t>
        </r>
      </text>
    </comment>
    <comment ref="K17" authorId="0" shapeId="0" xr:uid="{00000000-0006-0000-0300-000084000000}">
      <text>
        <r>
          <rPr>
            <sz val="11"/>
            <color theme="1"/>
            <rFont val="Calibri"/>
          </rPr>
          <t>Reference number linking to your Investment Thesis Log (Section 3 of this tab). e.g. 1, 2, 3...</t>
        </r>
      </text>
    </comment>
    <comment ref="L17" authorId="0" shapeId="0" xr:uid="{00000000-0006-0000-0300-000090000000}">
      <text>
        <r>
          <rPr>
            <sz val="11"/>
            <color theme="1"/>
            <rFont val="Calibri"/>
          </rPr>
          <t>Cite your source. E.g. "FactSet @ECO, 4/15/2025" or "SEC 10-K FY2024"</t>
        </r>
      </text>
    </comment>
    <comment ref="C18" authorId="0" shapeId="0" xr:uid="{00000000-0006-0000-0300-00000A000000}">
      <text>
        <r>
          <rPr>
            <sz val="11"/>
            <color theme="1"/>
            <rFont val="Calibri"/>
          </rPr>
          <t>Enter ticker symbol (e.g. AAPL, SPY, TLT)</t>
        </r>
      </text>
    </comment>
    <comment ref="D18" authorId="0" shapeId="0" xr:uid="{00000000-0006-0000-0300-000042000000}">
      <text>
        <r>
          <rPr>
            <sz val="11"/>
            <color theme="1"/>
            <rFont val="Calibri"/>
          </rPr>
          <t>Full security or ETF name</t>
        </r>
      </text>
    </comment>
    <comment ref="E18" authorId="0" shapeId="0" xr:uid="{00000000-0006-0000-0300-00004C000000}">
      <text>
        <r>
          <rPr>
            <sz val="11"/>
            <color theme="1"/>
            <rFont val="Calibri"/>
          </rPr>
          <t>Select asset class from dropdown</t>
        </r>
      </text>
    </comment>
    <comment ref="F18" authorId="0" shapeId="0" xr:uid="{00000000-0006-0000-0300-000056000000}">
      <text>
        <r>
          <rPr>
            <sz val="11"/>
            <color theme="1"/>
            <rFont val="Calibri"/>
          </rPr>
          <t>Select sector from dropdown</t>
        </r>
      </text>
    </comment>
    <comment ref="G18" authorId="0" shapeId="0" xr:uid="{00000000-0006-0000-0300-000063000000}">
      <text>
        <r>
          <rPr>
            <sz val="11"/>
            <color theme="1"/>
            <rFont val="Calibri"/>
          </rPr>
          <t>Portfolio weight for this security. All weights must sum to 100%.</t>
        </r>
      </text>
    </comment>
    <comment ref="I18" authorId="0" shapeId="0" xr:uid="{00000000-0006-0000-0300-000070000000}">
      <text>
        <r>
          <rPr>
            <sz val="11"/>
            <color theme="1"/>
            <rFont val="Calibri"/>
          </rPr>
          <t>Estimated beta (vs. S&amp;P 500). Source from FactSet or Yahoo Finance.</t>
        </r>
      </text>
    </comment>
    <comment ref="J18" authorId="0" shapeId="0" xr:uid="{00000000-0006-0000-0300-00007A000000}">
      <text>
        <r>
          <rPr>
            <sz val="11"/>
            <color theme="1"/>
            <rFont val="Calibri"/>
          </rPr>
          <t>Does this security PASS your Phase 1 macro filter? Must be YES.</t>
        </r>
      </text>
    </comment>
    <comment ref="K18" authorId="0" shapeId="0" xr:uid="{00000000-0006-0000-0300-000085000000}">
      <text>
        <r>
          <rPr>
            <sz val="11"/>
            <color theme="1"/>
            <rFont val="Calibri"/>
          </rPr>
          <t>Reference number linking to your Investment Thesis Log (Section 3 of this tab). e.g. 1, 2, 3...</t>
        </r>
      </text>
    </comment>
    <comment ref="L18" authorId="0" shapeId="0" xr:uid="{00000000-0006-0000-0300-000091000000}">
      <text>
        <r>
          <rPr>
            <sz val="11"/>
            <color theme="1"/>
            <rFont val="Calibri"/>
          </rPr>
          <t>Cite your source. E.g. "FactSet @ECO, 4/15/2025" or "SEC 10-K FY2024"</t>
        </r>
      </text>
    </comment>
    <comment ref="C19" authorId="0" shapeId="0" xr:uid="{00000000-0006-0000-0300-00000B000000}">
      <text>
        <r>
          <rPr>
            <sz val="11"/>
            <color theme="1"/>
            <rFont val="Calibri"/>
          </rPr>
          <t>Enter ticker symbol (e.g. AAPL, SPY, TLT)</t>
        </r>
      </text>
    </comment>
    <comment ref="D19" authorId="0" shapeId="0" xr:uid="{00000000-0006-0000-0300-000043000000}">
      <text>
        <r>
          <rPr>
            <sz val="11"/>
            <color theme="1"/>
            <rFont val="Calibri"/>
          </rPr>
          <t>Full security or ETF name</t>
        </r>
      </text>
    </comment>
    <comment ref="E19" authorId="0" shapeId="0" xr:uid="{00000000-0006-0000-0300-00004D000000}">
      <text>
        <r>
          <rPr>
            <sz val="11"/>
            <color theme="1"/>
            <rFont val="Calibri"/>
          </rPr>
          <t>Select asset class from dropdown</t>
        </r>
      </text>
    </comment>
    <comment ref="F19" authorId="0" shapeId="0" xr:uid="{00000000-0006-0000-0300-000057000000}">
      <text>
        <r>
          <rPr>
            <sz val="11"/>
            <color theme="1"/>
            <rFont val="Calibri"/>
          </rPr>
          <t>Select sector from dropdown</t>
        </r>
      </text>
    </comment>
    <comment ref="G19" authorId="0" shapeId="0" xr:uid="{00000000-0006-0000-0300-000064000000}">
      <text>
        <r>
          <rPr>
            <sz val="11"/>
            <color theme="1"/>
            <rFont val="Calibri"/>
          </rPr>
          <t>Portfolio weight for this security. All weights must sum to 100%.</t>
        </r>
      </text>
    </comment>
    <comment ref="I19" authorId="0" shapeId="0" xr:uid="{00000000-0006-0000-0300-000071000000}">
      <text>
        <r>
          <rPr>
            <sz val="11"/>
            <color theme="1"/>
            <rFont val="Calibri"/>
          </rPr>
          <t>Estimated beta (vs. S&amp;P 500). Source from FactSet or Yahoo Finance.</t>
        </r>
      </text>
    </comment>
    <comment ref="J19" authorId="0" shapeId="0" xr:uid="{00000000-0006-0000-0300-00007B000000}">
      <text>
        <r>
          <rPr>
            <sz val="11"/>
            <color theme="1"/>
            <rFont val="Calibri"/>
          </rPr>
          <t>Does this security PASS your Phase 1 macro filter? Must be YES.</t>
        </r>
      </text>
    </comment>
    <comment ref="K19" authorId="0" shapeId="0" xr:uid="{00000000-0006-0000-0300-000086000000}">
      <text>
        <r>
          <rPr>
            <sz val="11"/>
            <color theme="1"/>
            <rFont val="Calibri"/>
          </rPr>
          <t>Reference number linking to your Investment Thesis Log (Section 3 of this tab). e.g. 1, 2, 3...</t>
        </r>
      </text>
    </comment>
    <comment ref="L19" authorId="0" shapeId="0" xr:uid="{00000000-0006-0000-0300-000092000000}">
      <text>
        <r>
          <rPr>
            <sz val="11"/>
            <color theme="1"/>
            <rFont val="Calibri"/>
          </rPr>
          <t>Cite your source. E.g. "FactSet @ECO, 4/15/2025" or "SEC 10-K FY2024"</t>
        </r>
      </text>
    </comment>
    <comment ref="C20" authorId="0" shapeId="0" xr:uid="{00000000-0006-0000-0300-00000C000000}">
      <text>
        <r>
          <rPr>
            <sz val="11"/>
            <color theme="1"/>
            <rFont val="Calibri"/>
          </rPr>
          <t>Enter ticker symbol (e.g. AAPL, SPY, TLT)</t>
        </r>
      </text>
    </comment>
    <comment ref="D20" authorId="0" shapeId="0" xr:uid="{00000000-0006-0000-0300-000044000000}">
      <text>
        <r>
          <rPr>
            <sz val="11"/>
            <color theme="1"/>
            <rFont val="Calibri"/>
          </rPr>
          <t>Full security or ETF name</t>
        </r>
      </text>
    </comment>
    <comment ref="E20" authorId="0" shapeId="0" xr:uid="{00000000-0006-0000-0300-00004E000000}">
      <text>
        <r>
          <rPr>
            <sz val="11"/>
            <color theme="1"/>
            <rFont val="Calibri"/>
          </rPr>
          <t>Select asset class from dropdown</t>
        </r>
      </text>
    </comment>
    <comment ref="F20" authorId="0" shapeId="0" xr:uid="{00000000-0006-0000-0300-000058000000}">
      <text>
        <r>
          <rPr>
            <sz val="11"/>
            <color theme="1"/>
            <rFont val="Calibri"/>
          </rPr>
          <t>Select sector from dropdown</t>
        </r>
      </text>
    </comment>
    <comment ref="G20" authorId="0" shapeId="0" xr:uid="{00000000-0006-0000-0300-000065000000}">
      <text>
        <r>
          <rPr>
            <sz val="11"/>
            <color theme="1"/>
            <rFont val="Calibri"/>
          </rPr>
          <t>Portfolio weight for this security. All weights must sum to 100%.</t>
        </r>
      </text>
    </comment>
    <comment ref="I20" authorId="0" shapeId="0" xr:uid="{00000000-0006-0000-0300-000072000000}">
      <text>
        <r>
          <rPr>
            <sz val="11"/>
            <color theme="1"/>
            <rFont val="Calibri"/>
          </rPr>
          <t>Estimated beta (vs. S&amp;P 500). Source from FactSet or Yahoo Finance.</t>
        </r>
      </text>
    </comment>
    <comment ref="J20" authorId="0" shapeId="0" xr:uid="{00000000-0006-0000-0300-00007C000000}">
      <text>
        <r>
          <rPr>
            <sz val="11"/>
            <color theme="1"/>
            <rFont val="Calibri"/>
          </rPr>
          <t>Does this security PASS your Phase 1 macro filter? Must be YES.</t>
        </r>
      </text>
    </comment>
    <comment ref="K20" authorId="0" shapeId="0" xr:uid="{00000000-0006-0000-0300-000087000000}">
      <text>
        <r>
          <rPr>
            <sz val="11"/>
            <color theme="1"/>
            <rFont val="Calibri"/>
          </rPr>
          <t>Reference number linking to your Investment Thesis Log (Section 3 of this tab). e.g. 1, 2, 3...</t>
        </r>
      </text>
    </comment>
    <comment ref="L20" authorId="0" shapeId="0" xr:uid="{00000000-0006-0000-0300-000093000000}">
      <text>
        <r>
          <rPr>
            <sz val="11"/>
            <color theme="1"/>
            <rFont val="Calibri"/>
          </rPr>
          <t>Cite your source. E.g. "FactSet @ECO, 4/15/2025" or "SEC 10-K FY2024"</t>
        </r>
      </text>
    </comment>
    <comment ref="C21" authorId="0" shapeId="0" xr:uid="{00000000-0006-0000-0300-00000D000000}">
      <text>
        <r>
          <rPr>
            <sz val="11"/>
            <color theme="1"/>
            <rFont val="Calibri"/>
          </rPr>
          <t>Enter ticker symbol (e.g. AAPL, SPY, TLT)</t>
        </r>
      </text>
    </comment>
    <comment ref="D21" authorId="0" shapeId="0" xr:uid="{00000000-0006-0000-0300-000045000000}">
      <text>
        <r>
          <rPr>
            <sz val="11"/>
            <color theme="1"/>
            <rFont val="Calibri"/>
          </rPr>
          <t>Full security or ETF name</t>
        </r>
      </text>
    </comment>
    <comment ref="E21" authorId="0" shapeId="0" xr:uid="{00000000-0006-0000-0300-00004F000000}">
      <text>
        <r>
          <rPr>
            <sz val="11"/>
            <color theme="1"/>
            <rFont val="Calibri"/>
          </rPr>
          <t>Select asset class from dropdown</t>
        </r>
      </text>
    </comment>
    <comment ref="F21" authorId="0" shapeId="0" xr:uid="{00000000-0006-0000-0300-000059000000}">
      <text>
        <r>
          <rPr>
            <sz val="11"/>
            <color rgb="FF000000"/>
            <rFont val="Calibri"/>
            <family val="2"/>
          </rPr>
          <t>Select sector from dropdown</t>
        </r>
      </text>
    </comment>
    <comment ref="G21" authorId="0" shapeId="0" xr:uid="{00000000-0006-0000-0300-000066000000}">
      <text>
        <r>
          <rPr>
            <sz val="11"/>
            <color theme="1"/>
            <rFont val="Calibri"/>
          </rPr>
          <t>Portfolio weight for this security. All weights must sum to 100%.</t>
        </r>
      </text>
    </comment>
    <comment ref="I21" authorId="0" shapeId="0" xr:uid="{00000000-0006-0000-0300-000073000000}">
      <text>
        <r>
          <rPr>
            <sz val="11"/>
            <color theme="1"/>
            <rFont val="Calibri"/>
          </rPr>
          <t>Estimated beta (vs. S&amp;P 500). Source from FactSet or Yahoo Finance.</t>
        </r>
      </text>
    </comment>
    <comment ref="J21" authorId="0" shapeId="0" xr:uid="{00000000-0006-0000-0300-00007D000000}">
      <text>
        <r>
          <rPr>
            <sz val="11"/>
            <color theme="1"/>
            <rFont val="Calibri"/>
          </rPr>
          <t>Does this security PASS your Phase 1 macro filter? Must be YES.</t>
        </r>
      </text>
    </comment>
    <comment ref="K21" authorId="0" shapeId="0" xr:uid="{00000000-0006-0000-0300-000088000000}">
      <text>
        <r>
          <rPr>
            <sz val="11"/>
            <color theme="1"/>
            <rFont val="Calibri"/>
          </rPr>
          <t>Reference number linking to your Investment Thesis Log (Section 3 of this tab). e.g. 1, 2, 3...</t>
        </r>
      </text>
    </comment>
    <comment ref="L21" authorId="0" shapeId="0" xr:uid="{00000000-0006-0000-0300-000094000000}">
      <text>
        <r>
          <rPr>
            <sz val="11"/>
            <color theme="1"/>
            <rFont val="Calibri"/>
          </rPr>
          <t>Cite your source. E.g. "FactSet @ECO, 4/15/2025" or "SEC 10-K FY2024"</t>
        </r>
      </text>
    </comment>
    <comment ref="C27" authorId="0" shapeId="0" xr:uid="{00000000-0006-0000-0300-00000E000000}">
      <text>
        <r>
          <rPr>
            <sz val="11"/>
            <color theme="1"/>
            <rFont val="Calibri"/>
          </rPr>
          <t>Describe the hedge strategy in plain English. E.g. 'Protective Put on SPY ETF'</t>
        </r>
      </text>
    </comment>
    <comment ref="C28" authorId="0" shapeId="0" xr:uid="{00000000-0006-0000-0300-00000F000000}">
      <text>
        <r>
          <rPr>
            <sz val="11"/>
            <color theme="1"/>
            <rFont val="Calibri"/>
          </rPr>
          <t>The security being hedged. Must match a holding in Section 1.</t>
        </r>
      </text>
    </comment>
    <comment ref="C29" authorId="0" shapeId="0" xr:uid="{00000000-0006-0000-0300-000010000000}">
      <text>
        <r>
          <rPr>
            <sz val="11"/>
            <color theme="1"/>
            <rFont val="Calibri"/>
          </rPr>
          <t>Put Option / Call Option / Futures Contract / Collar / Other</t>
        </r>
      </text>
    </comment>
    <comment ref="C30" authorId="0" shapeId="0" xr:uid="{00000000-0006-0000-0300-000011000000}">
      <text>
        <r>
          <rPr>
            <sz val="11"/>
            <color theme="1"/>
            <rFont val="Calibri"/>
          </rPr>
          <t>Strike price of the option contract. State if ITM, ATM, or OTM.</t>
        </r>
      </text>
    </comment>
    <comment ref="C31" authorId="0" shapeId="0" xr:uid="{00000000-0006-0000-0300-000012000000}">
      <text>
        <r>
          <rPr>
            <sz val="11"/>
            <color theme="1"/>
            <rFont val="Calibri"/>
          </rPr>
          <t>Option expiration date or contract duration.</t>
        </r>
      </text>
    </comment>
    <comment ref="C32" authorId="0" shapeId="0" xr:uid="{00000000-0006-0000-0300-000013000000}">
      <text>
        <r>
          <rPr>
            <sz val="11"/>
            <color theme="1"/>
            <rFont val="Calibri"/>
          </rPr>
          <t>Total cost of the hedge. Source from FactSet options chain or current market.</t>
        </r>
      </text>
    </comment>
    <comment ref="C33" authorId="0" shapeId="0" xr:uid="{00000000-0006-0000-0300-000014000000}">
      <text>
        <r>
          <rPr>
            <sz val="11"/>
            <color theme="1"/>
            <rFont val="Calibri"/>
          </rPr>
          <t>Hedge cost as a % of total portfolio value. Formula: cost / 500000</t>
        </r>
      </text>
    </comment>
    <comment ref="C34" authorId="0" shapeId="0" xr:uid="{00000000-0006-0000-0300-000015000000}">
      <text>
        <r>
          <rPr>
            <sz val="11"/>
            <color theme="1"/>
            <rFont val="Calibri"/>
          </rPr>
          <t>The maximum loss after the hedge is applied. Must be within IPS drawdown limit.</t>
        </r>
      </text>
    </comment>
    <comment ref="C35" authorId="0" shapeId="0" xr:uid="{00000000-0006-0000-0300-000016000000}">
      <text>
        <r>
          <rPr>
            <sz val="11"/>
            <color theme="1"/>
            <rFont val="Calibri"/>
          </rPr>
          <t>Portfolio Bear Case return after hedge payoff. Verify this passes IPS Tripwire.</t>
        </r>
      </text>
    </comment>
    <comment ref="B39" authorId="0" shapeId="0" xr:uid="{00000000-0006-0000-0300-000001000000}">
      <text>
        <r>
          <rPr>
            <sz val="11"/>
            <color theme="1"/>
            <rFont val="Calibri"/>
          </rPr>
          <t>Example: Covered Call</t>
        </r>
      </text>
    </comment>
    <comment ref="C39" authorId="0" shapeId="0" xr:uid="{00000000-0006-0000-0300-000017000000}">
      <text>
        <r>
          <rPr>
            <sz val="11"/>
            <color theme="1"/>
            <rFont val="Calibri"/>
          </rPr>
          <t>Example: Net credit received</t>
        </r>
      </text>
    </comment>
    <comment ref="F39" authorId="0" shapeId="0" xr:uid="{00000000-0006-0000-0300-00005A000000}">
      <text>
        <r>
          <rPr>
            <sz val="11"/>
            <color theme="1"/>
            <rFont val="Calibri"/>
          </rPr>
          <t>Example: Caps upside; no floor</t>
        </r>
      </text>
    </comment>
    <comment ref="H39" authorId="0" shapeId="0" xr:uid="{00000000-0006-0000-0300-000067000000}">
      <text>
        <r>
          <rPr>
            <sz val="11"/>
            <color theme="1"/>
            <rFont val="Calibri"/>
          </rPr>
          <t>Example: Lower cost but limits gains</t>
        </r>
      </text>
    </comment>
    <comment ref="K39" authorId="0" shapeId="0" xr:uid="{00000000-0006-0000-0300-000089000000}">
      <text>
        <r>
          <rPr>
            <sz val="11"/>
            <color theme="1"/>
            <rFont val="Calibri"/>
          </rPr>
          <t>Example: Client needs upside participation</t>
        </r>
      </text>
    </comment>
    <comment ref="B40" authorId="0" shapeId="0" xr:uid="{00000000-0006-0000-0300-000002000000}">
      <text>
        <r>
          <rPr>
            <sz val="11"/>
            <color theme="1"/>
            <rFont val="Calibri"/>
          </rPr>
          <t>Example: Increase Cash Allocation</t>
        </r>
      </text>
    </comment>
    <comment ref="C40" authorId="0" shapeId="0" xr:uid="{00000000-0006-0000-0300-000018000000}">
      <text>
        <r>
          <rPr>
            <sz val="11"/>
            <color theme="1"/>
            <rFont val="Calibri"/>
          </rPr>
          <t>Example: Opportunity cost only</t>
        </r>
      </text>
    </comment>
    <comment ref="F40" authorId="0" shapeId="0" xr:uid="{00000000-0006-0000-0300-00005B000000}">
      <text>
        <r>
          <rPr>
            <sz val="11"/>
            <color theme="1"/>
            <rFont val="Calibri"/>
          </rPr>
          <t>Example: Reduces equity exposure</t>
        </r>
      </text>
    </comment>
    <comment ref="H40" authorId="0" shapeId="0" xr:uid="{00000000-0006-0000-0300-000068000000}">
      <text>
        <r>
          <rPr>
            <sz val="11"/>
            <color theme="1"/>
            <rFont val="Calibri"/>
          </rPr>
          <t>Example: Simpler but sacrifices return</t>
        </r>
      </text>
    </comment>
    <comment ref="K40" authorId="0" shapeId="0" xr:uid="{00000000-0006-0000-0300-00008A000000}">
      <text>
        <r>
          <rPr>
            <sz val="11"/>
            <color theme="1"/>
            <rFont val="Calibri"/>
          </rPr>
          <t>Example: Below target E(R) with high cash</t>
        </r>
      </text>
    </comment>
    <comment ref="C45" authorId="0" shapeId="0" xr:uid="{00000000-0006-0000-0300-000019000000}">
      <text>
        <r>
          <rPr>
            <sz val="11"/>
            <color theme="1"/>
            <rFont val="Calibri"/>
          </rPr>
          <t>Must match an entry in Section 1.</t>
        </r>
      </text>
    </comment>
    <comment ref="C46" authorId="0" shapeId="0" xr:uid="{00000000-0006-0000-0300-00001A000000}">
      <text>
        <r>
          <rPr>
            <sz val="11"/>
            <color theme="1"/>
            <rFont val="Calibri"/>
          </rPr>
          <t>Must match columns E and F in Section 1.</t>
        </r>
      </text>
    </comment>
    <comment ref="C47" authorId="0" shapeId="0" xr:uid="{00000000-0006-0000-0300-00001B000000}">
      <text>
        <r>
          <rPr>
            <sz val="11"/>
            <color theme="1"/>
            <rFont val="Calibri"/>
          </rPr>
          <t>Required: link to Phase 1 macro regime. E.g. 'In our Base Case (Soft Landing), earnings growth of 8% supports broad equity exposure via SPY.'</t>
        </r>
      </text>
    </comment>
    <comment ref="C48" authorId="0" shapeId="0" xr:uid="{00000000-0006-0000-0300-00001C000000}">
      <text>
        <r>
          <rPr>
            <sz val="11"/>
            <color theme="1"/>
            <rFont val="Calibri"/>
          </rPr>
          <t>Bottom-up reason beyond macro. E.g. valuation, dividend yield, duration match.</t>
        </r>
      </text>
    </comment>
    <comment ref="C49" authorId="0" shapeId="0" xr:uid="{00000000-0006-0000-0300-00001D000000}">
      <text>
        <r>
          <rPr>
            <sz val="11"/>
            <color theme="1"/>
            <rFont val="Calibri"/>
          </rPr>
          <t>Cite EVERY data point. Unverified AI data = Hallucination Clause violation.</t>
        </r>
      </text>
    </comment>
    <comment ref="C50" authorId="0" shapeId="0" xr:uid="{00000000-0006-0000-0300-00001E000000}">
      <text>
        <r>
          <rPr>
            <sz val="11"/>
            <color theme="1"/>
            <rFont val="Calibri"/>
          </rPr>
          <t>Must reference client's specific IPS constraints (Phase 2).</t>
        </r>
      </text>
    </comment>
    <comment ref="C51" authorId="0" shapeId="0" xr:uid="{00000000-0006-0000-0300-00001F000000}">
      <text>
        <r>
          <rPr>
            <sz val="11"/>
            <color theme="1"/>
            <rFont val="Calibri"/>
          </rPr>
          <t>Required if AI was used. State: tool used, prompt summary, and verification source.</t>
        </r>
      </text>
    </comment>
    <comment ref="C54" authorId="0" shapeId="0" xr:uid="{00000000-0006-0000-0300-000020000000}">
      <text>
        <r>
          <rPr>
            <sz val="11"/>
            <color theme="1"/>
            <rFont val="Calibri"/>
          </rPr>
          <t>Must match an entry in Section 1.</t>
        </r>
      </text>
    </comment>
    <comment ref="C55" authorId="0" shapeId="0" xr:uid="{00000000-0006-0000-0300-000021000000}">
      <text>
        <r>
          <rPr>
            <sz val="11"/>
            <color theme="1"/>
            <rFont val="Calibri"/>
          </rPr>
          <t>Must match columns E and F in Section 1.</t>
        </r>
      </text>
    </comment>
    <comment ref="C56" authorId="0" shapeId="0" xr:uid="{00000000-0006-0000-0300-000022000000}">
      <text>
        <r>
          <rPr>
            <sz val="11"/>
            <color theme="1"/>
            <rFont val="Calibri"/>
          </rPr>
          <t>Required: link to Phase 1 macro regime. E.g. 'In our Base Case (Soft Landing), earnings growth of 8% supports broad equity exposure via SPY.'</t>
        </r>
      </text>
    </comment>
    <comment ref="C57" authorId="0" shapeId="0" xr:uid="{00000000-0006-0000-0300-000023000000}">
      <text>
        <r>
          <rPr>
            <sz val="11"/>
            <color theme="1"/>
            <rFont val="Calibri"/>
          </rPr>
          <t>Bottom-up reason beyond macro. E.g. valuation, dividend yield, duration match.</t>
        </r>
      </text>
    </comment>
    <comment ref="C58" authorId="0" shapeId="0" xr:uid="{00000000-0006-0000-0300-000024000000}">
      <text>
        <r>
          <rPr>
            <sz val="11"/>
            <color theme="1"/>
            <rFont val="Calibri"/>
          </rPr>
          <t>Cite EVERY data point. Unverified AI data = Hallucination Clause violation.</t>
        </r>
      </text>
    </comment>
    <comment ref="C59" authorId="0" shapeId="0" xr:uid="{00000000-0006-0000-0300-000025000000}">
      <text>
        <r>
          <rPr>
            <sz val="11"/>
            <color theme="1"/>
            <rFont val="Calibri"/>
          </rPr>
          <t>Must reference client's specific IPS constraints (Phase 2).</t>
        </r>
      </text>
    </comment>
    <comment ref="C60" authorId="0" shapeId="0" xr:uid="{00000000-0006-0000-0300-000026000000}">
      <text>
        <r>
          <rPr>
            <sz val="11"/>
            <color theme="1"/>
            <rFont val="Calibri"/>
          </rPr>
          <t>Required if AI was used. State: tool used, prompt summary, and verification source.</t>
        </r>
      </text>
    </comment>
    <comment ref="C63" authorId="0" shapeId="0" xr:uid="{00000000-0006-0000-0300-000027000000}">
      <text>
        <r>
          <rPr>
            <sz val="11"/>
            <color theme="1"/>
            <rFont val="Calibri"/>
          </rPr>
          <t>Must match an entry in Section 1.</t>
        </r>
      </text>
    </comment>
    <comment ref="C64" authorId="0" shapeId="0" xr:uid="{00000000-0006-0000-0300-000028000000}">
      <text>
        <r>
          <rPr>
            <sz val="11"/>
            <color theme="1"/>
            <rFont val="Calibri"/>
          </rPr>
          <t>Must match columns E and F in Section 1.</t>
        </r>
      </text>
    </comment>
    <comment ref="C65" authorId="0" shapeId="0" xr:uid="{00000000-0006-0000-0300-000029000000}">
      <text>
        <r>
          <rPr>
            <sz val="11"/>
            <color theme="1"/>
            <rFont val="Calibri"/>
          </rPr>
          <t>Required: link to Phase 1 macro regime. E.g. 'In our Base Case (Soft Landing), earnings growth of 8% supports broad equity exposure via SPY.'</t>
        </r>
      </text>
    </comment>
    <comment ref="C66" authorId="0" shapeId="0" xr:uid="{00000000-0006-0000-0300-00002A000000}">
      <text>
        <r>
          <rPr>
            <sz val="11"/>
            <color theme="1"/>
            <rFont val="Calibri"/>
          </rPr>
          <t>Bottom-up reason beyond macro. E.g. valuation, dividend yield, duration match.</t>
        </r>
      </text>
    </comment>
    <comment ref="C67" authorId="0" shapeId="0" xr:uid="{00000000-0006-0000-0300-00002B000000}">
      <text>
        <r>
          <rPr>
            <sz val="11"/>
            <color theme="1"/>
            <rFont val="Calibri"/>
          </rPr>
          <t>Cite EVERY data point. Unverified AI data = Hallucination Clause violation.</t>
        </r>
      </text>
    </comment>
    <comment ref="C68" authorId="0" shapeId="0" xr:uid="{00000000-0006-0000-0300-00002C000000}">
      <text>
        <r>
          <rPr>
            <sz val="11"/>
            <color theme="1"/>
            <rFont val="Calibri"/>
          </rPr>
          <t>Must reference client's specific IPS constraints (Phase 2).</t>
        </r>
      </text>
    </comment>
    <comment ref="C69" authorId="0" shapeId="0" xr:uid="{00000000-0006-0000-0300-00002D000000}">
      <text>
        <r>
          <rPr>
            <sz val="11"/>
            <color theme="1"/>
            <rFont val="Calibri"/>
          </rPr>
          <t>Required if AI was used. State: tool used, prompt summary, and verification source.</t>
        </r>
      </text>
    </comment>
    <comment ref="C72" authorId="0" shapeId="0" xr:uid="{00000000-0006-0000-0300-00002E000000}">
      <text>
        <r>
          <rPr>
            <sz val="11"/>
            <color theme="1"/>
            <rFont val="Calibri"/>
          </rPr>
          <t>Must match an entry in Section 1.</t>
        </r>
      </text>
    </comment>
    <comment ref="C73" authorId="0" shapeId="0" xr:uid="{00000000-0006-0000-0300-00002F000000}">
      <text>
        <r>
          <rPr>
            <sz val="11"/>
            <color theme="1"/>
            <rFont val="Calibri"/>
          </rPr>
          <t>Must match columns E and F in Section 1.</t>
        </r>
      </text>
    </comment>
    <comment ref="C74" authorId="0" shapeId="0" xr:uid="{00000000-0006-0000-0300-000030000000}">
      <text>
        <r>
          <rPr>
            <sz val="11"/>
            <color theme="1"/>
            <rFont val="Calibri"/>
          </rPr>
          <t>Required: link to Phase 1 macro regime. E.g. 'In our Base Case (Soft Landing), earnings growth of 8% supports broad equity exposure via SPY.'</t>
        </r>
      </text>
    </comment>
    <comment ref="C75" authorId="0" shapeId="0" xr:uid="{00000000-0006-0000-0300-000031000000}">
      <text>
        <r>
          <rPr>
            <sz val="11"/>
            <color theme="1"/>
            <rFont val="Calibri"/>
          </rPr>
          <t>Bottom-up reason beyond macro. E.g. valuation, dividend yield, duration match.</t>
        </r>
      </text>
    </comment>
    <comment ref="C76" authorId="0" shapeId="0" xr:uid="{00000000-0006-0000-0300-000032000000}">
      <text>
        <r>
          <rPr>
            <sz val="11"/>
            <color theme="1"/>
            <rFont val="Calibri"/>
          </rPr>
          <t>Cite EVERY data point. Unverified AI data = Hallucination Clause violation.</t>
        </r>
      </text>
    </comment>
    <comment ref="C77" authorId="0" shapeId="0" xr:uid="{00000000-0006-0000-0300-000033000000}">
      <text>
        <r>
          <rPr>
            <sz val="11"/>
            <color theme="1"/>
            <rFont val="Calibri"/>
          </rPr>
          <t>Must reference client's specific IPS constraints (Phase 2).</t>
        </r>
      </text>
    </comment>
    <comment ref="C78" authorId="0" shapeId="0" xr:uid="{00000000-0006-0000-0300-000034000000}">
      <text>
        <r>
          <rPr>
            <sz val="11"/>
            <color theme="1"/>
            <rFont val="Calibri"/>
          </rPr>
          <t>Required if AI was used. State: tool used, prompt summary, and verification source.</t>
        </r>
      </text>
    </comment>
    <comment ref="C81" authorId="0" shapeId="0" xr:uid="{00000000-0006-0000-0300-000035000000}">
      <text>
        <r>
          <rPr>
            <sz val="11"/>
            <color theme="1"/>
            <rFont val="Calibri"/>
          </rPr>
          <t>Must match an entry in Section 1.</t>
        </r>
      </text>
    </comment>
    <comment ref="C82" authorId="0" shapeId="0" xr:uid="{00000000-0006-0000-0300-000036000000}">
      <text>
        <r>
          <rPr>
            <sz val="11"/>
            <color theme="1"/>
            <rFont val="Calibri"/>
          </rPr>
          <t>Must match columns E and F in Section 1.</t>
        </r>
      </text>
    </comment>
    <comment ref="C83" authorId="0" shapeId="0" xr:uid="{00000000-0006-0000-0300-000037000000}">
      <text>
        <r>
          <rPr>
            <sz val="11"/>
            <color theme="1"/>
            <rFont val="Calibri"/>
          </rPr>
          <t>Required: link to Phase 1 macro regime. E.g. 'In our Base Case (Soft Landing), earnings growth of 8% supports broad equity exposure via SPY.'</t>
        </r>
      </text>
    </comment>
    <comment ref="C84" authorId="0" shapeId="0" xr:uid="{00000000-0006-0000-0300-000038000000}">
      <text>
        <r>
          <rPr>
            <sz val="11"/>
            <color theme="1"/>
            <rFont val="Calibri"/>
          </rPr>
          <t>Bottom-up reason beyond macro. E.g. valuation, dividend yield, duration match.</t>
        </r>
      </text>
    </comment>
    <comment ref="C85" authorId="0" shapeId="0" xr:uid="{00000000-0006-0000-0300-000039000000}">
      <text>
        <r>
          <rPr>
            <sz val="11"/>
            <color theme="1"/>
            <rFont val="Calibri"/>
          </rPr>
          <t>Cite EVERY data point. Unverified AI data = Hallucination Clause violation.</t>
        </r>
      </text>
    </comment>
    <comment ref="C86" authorId="0" shapeId="0" xr:uid="{00000000-0006-0000-0300-00003A000000}">
      <text>
        <r>
          <rPr>
            <sz val="11"/>
            <color theme="1"/>
            <rFont val="Calibri"/>
          </rPr>
          <t>Must reference client's specific IPS constraints (Phase 2).</t>
        </r>
      </text>
    </comment>
    <comment ref="C87" authorId="0" shapeId="0" xr:uid="{00000000-0006-0000-0300-00003B000000}">
      <text>
        <r>
          <rPr>
            <sz val="11"/>
            <color theme="1"/>
            <rFont val="Calibri"/>
          </rPr>
          <t>Required if AI was used. State: tool used, prompt summary, and verification source.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5" authorId="0" shapeId="0" xr:uid="{00000000-0006-0000-0400-000003000000}">
      <text>
        <r>
          <rPr>
            <sz val="11"/>
            <color theme="1"/>
            <rFont val="Calibri"/>
          </rPr>
          <t>Enter client name or ID (e.g. Eleanor Vance — Client 1)</t>
        </r>
      </text>
    </comment>
    <comment ref="G5" authorId="0" shapeId="0" xr:uid="{00000000-0006-0000-0400-00005C000000}">
      <text>
        <r>
          <rPr>
            <sz val="11"/>
            <color theme="1"/>
            <rFont val="Calibri"/>
          </rPr>
          <t>From Phase 2 IPS — client's required annual return</t>
        </r>
      </text>
    </comment>
    <comment ref="I5" authorId="0" shapeId="0" xr:uid="{00000000-0006-0000-0400-000069000000}">
      <text>
        <r>
          <rPr>
            <sz val="11"/>
            <color rgb="FF000000"/>
            <rFont val="Calibri"/>
            <family val="2"/>
          </rPr>
          <t>From Phase 2 IPS — maximum portfolio standard deviation allowed</t>
        </r>
      </text>
    </comment>
    <comment ref="K5" authorId="0" shapeId="0" xr:uid="{00000000-0006-0000-0400-00007E000000}">
      <text>
        <r>
          <rPr>
            <sz val="11"/>
            <color theme="1"/>
            <rFont val="Calibri"/>
          </rPr>
          <t>From Phase 1 — e.g. 'Late-Cycle / Base Case: Soft Landing'</t>
        </r>
      </text>
    </comment>
    <comment ref="C12" authorId="0" shapeId="0" xr:uid="{00000000-0006-0000-0400-000004000000}">
      <text>
        <r>
          <rPr>
            <sz val="11"/>
            <color theme="1"/>
            <rFont val="Calibri"/>
          </rPr>
          <t>Enter ticker symbol (e.g. AAPL, SPY, TLT)</t>
        </r>
      </text>
    </comment>
    <comment ref="D12" authorId="0" shapeId="0" xr:uid="{00000000-0006-0000-0400-00003C000000}">
      <text>
        <r>
          <rPr>
            <sz val="11"/>
            <color theme="1"/>
            <rFont val="Calibri"/>
          </rPr>
          <t>Full security or ETF name</t>
        </r>
      </text>
    </comment>
    <comment ref="E12" authorId="0" shapeId="0" xr:uid="{00000000-0006-0000-0400-000046000000}">
      <text>
        <r>
          <rPr>
            <sz val="11"/>
            <color theme="1"/>
            <rFont val="Calibri"/>
          </rPr>
          <t>Select asset class from dropdown</t>
        </r>
      </text>
    </comment>
    <comment ref="F12" authorId="0" shapeId="0" xr:uid="{00000000-0006-0000-0400-000050000000}">
      <text>
        <r>
          <rPr>
            <sz val="11"/>
            <color theme="1"/>
            <rFont val="Calibri"/>
          </rPr>
          <t>Select sector from dropdown</t>
        </r>
      </text>
    </comment>
    <comment ref="G12" authorId="0" shapeId="0" xr:uid="{00000000-0006-0000-0400-00005D000000}">
      <text>
        <r>
          <rPr>
            <sz val="11"/>
            <color theme="1"/>
            <rFont val="Calibri"/>
          </rPr>
          <t>Portfolio weight for this security. All weights must sum to 100%.</t>
        </r>
      </text>
    </comment>
    <comment ref="I12" authorId="0" shapeId="0" xr:uid="{00000000-0006-0000-0400-00006A000000}">
      <text>
        <r>
          <rPr>
            <sz val="11"/>
            <color theme="1"/>
            <rFont val="Calibri"/>
          </rPr>
          <t>Estimated beta (vs. S&amp;P 500). Source from FactSet or Yahoo Finance.</t>
        </r>
      </text>
    </comment>
    <comment ref="J12" authorId="0" shapeId="0" xr:uid="{00000000-0006-0000-0400-000074000000}">
      <text>
        <r>
          <rPr>
            <sz val="11"/>
            <color theme="1"/>
            <rFont val="Calibri"/>
          </rPr>
          <t>Does this security PASS your Phase 1 macro filter? Must be YES.</t>
        </r>
      </text>
    </comment>
    <comment ref="K12" authorId="0" shapeId="0" xr:uid="{00000000-0006-0000-0400-00007F000000}">
      <text>
        <r>
          <rPr>
            <sz val="11"/>
            <color theme="1"/>
            <rFont val="Calibri"/>
          </rPr>
          <t>Reference number linking to your Investment Thesis Log (Section 3 of this tab). e.g. 1, 2, 3...</t>
        </r>
      </text>
    </comment>
    <comment ref="L12" authorId="0" shapeId="0" xr:uid="{00000000-0006-0000-0400-00008B000000}">
      <text>
        <r>
          <rPr>
            <sz val="11"/>
            <color theme="1"/>
            <rFont val="Calibri"/>
          </rPr>
          <t>Cite your source. E.g. "FactSet @ECO, 4/15/2025" or "SEC 10-K FY2024"</t>
        </r>
      </text>
    </comment>
    <comment ref="C13" authorId="0" shapeId="0" xr:uid="{00000000-0006-0000-0400-000005000000}">
      <text>
        <r>
          <rPr>
            <sz val="11"/>
            <color theme="1"/>
            <rFont val="Calibri"/>
          </rPr>
          <t>Enter ticker symbol (e.g. AAPL, SPY, TLT)</t>
        </r>
      </text>
    </comment>
    <comment ref="D13" authorId="0" shapeId="0" xr:uid="{00000000-0006-0000-0400-00003D000000}">
      <text>
        <r>
          <rPr>
            <sz val="11"/>
            <color theme="1"/>
            <rFont val="Calibri"/>
          </rPr>
          <t>Full security or ETF name</t>
        </r>
      </text>
    </comment>
    <comment ref="E13" authorId="0" shapeId="0" xr:uid="{00000000-0006-0000-0400-000047000000}">
      <text>
        <r>
          <rPr>
            <sz val="11"/>
            <color theme="1"/>
            <rFont val="Calibri"/>
          </rPr>
          <t>Select asset class from dropdown</t>
        </r>
      </text>
    </comment>
    <comment ref="F13" authorId="0" shapeId="0" xr:uid="{00000000-0006-0000-0400-000051000000}">
      <text>
        <r>
          <rPr>
            <sz val="11"/>
            <color theme="1"/>
            <rFont val="Calibri"/>
          </rPr>
          <t>Select sector from dropdown</t>
        </r>
      </text>
    </comment>
    <comment ref="G13" authorId="0" shapeId="0" xr:uid="{00000000-0006-0000-0400-00005E000000}">
      <text>
        <r>
          <rPr>
            <sz val="11"/>
            <color theme="1"/>
            <rFont val="Calibri"/>
          </rPr>
          <t>Portfolio weight for this security. All weights must sum to 100%.</t>
        </r>
      </text>
    </comment>
    <comment ref="I13" authorId="0" shapeId="0" xr:uid="{00000000-0006-0000-0400-00006B000000}">
      <text>
        <r>
          <rPr>
            <sz val="11"/>
            <color theme="1"/>
            <rFont val="Calibri"/>
          </rPr>
          <t>Estimated beta (vs. S&amp;P 500). Source from FactSet or Yahoo Finance.</t>
        </r>
      </text>
    </comment>
    <comment ref="J13" authorId="0" shapeId="0" xr:uid="{00000000-0006-0000-0400-000075000000}">
      <text>
        <r>
          <rPr>
            <sz val="11"/>
            <color theme="1"/>
            <rFont val="Calibri"/>
          </rPr>
          <t>Does this security PASS your Phase 1 macro filter? Must be YES.</t>
        </r>
      </text>
    </comment>
    <comment ref="K13" authorId="0" shapeId="0" xr:uid="{00000000-0006-0000-0400-000080000000}">
      <text>
        <r>
          <rPr>
            <sz val="11"/>
            <color theme="1"/>
            <rFont val="Calibri"/>
          </rPr>
          <t>Reference number linking to your Investment Thesis Log (Section 3 of this tab). e.g. 1, 2, 3...</t>
        </r>
      </text>
    </comment>
    <comment ref="L13" authorId="0" shapeId="0" xr:uid="{00000000-0006-0000-0400-00008C000000}">
      <text>
        <r>
          <rPr>
            <sz val="11"/>
            <color theme="1"/>
            <rFont val="Calibri"/>
          </rPr>
          <t>Cite your source. E.g. "FactSet @ECO, 4/15/2025" or "SEC 10-K FY2024"</t>
        </r>
      </text>
    </comment>
    <comment ref="C14" authorId="0" shapeId="0" xr:uid="{00000000-0006-0000-0400-000006000000}">
      <text>
        <r>
          <rPr>
            <sz val="11"/>
            <color theme="1"/>
            <rFont val="Calibri"/>
          </rPr>
          <t>Enter ticker symbol (e.g. AAPL, SPY, TLT)</t>
        </r>
      </text>
    </comment>
    <comment ref="D14" authorId="0" shapeId="0" xr:uid="{00000000-0006-0000-0400-00003E000000}">
      <text>
        <r>
          <rPr>
            <sz val="11"/>
            <color theme="1"/>
            <rFont val="Calibri"/>
          </rPr>
          <t>Full security or ETF name</t>
        </r>
      </text>
    </comment>
    <comment ref="E14" authorId="0" shapeId="0" xr:uid="{00000000-0006-0000-0400-000048000000}">
      <text>
        <r>
          <rPr>
            <sz val="11"/>
            <color theme="1"/>
            <rFont val="Calibri"/>
          </rPr>
          <t>Select asset class from dropdown</t>
        </r>
      </text>
    </comment>
    <comment ref="F14" authorId="0" shapeId="0" xr:uid="{00000000-0006-0000-0400-000052000000}">
      <text>
        <r>
          <rPr>
            <sz val="11"/>
            <color theme="1"/>
            <rFont val="Calibri"/>
          </rPr>
          <t>Select sector from dropdown</t>
        </r>
      </text>
    </comment>
    <comment ref="G14" authorId="0" shapeId="0" xr:uid="{00000000-0006-0000-0400-00005F000000}">
      <text>
        <r>
          <rPr>
            <sz val="11"/>
            <color rgb="FF000000"/>
            <rFont val="Calibri"/>
            <family val="2"/>
          </rPr>
          <t>Portfolio weight for this security. All weights must sum to 100%.</t>
        </r>
      </text>
    </comment>
    <comment ref="I14" authorId="0" shapeId="0" xr:uid="{00000000-0006-0000-0400-00006C000000}">
      <text>
        <r>
          <rPr>
            <sz val="11"/>
            <color theme="1"/>
            <rFont val="Calibri"/>
          </rPr>
          <t>Estimated beta (vs. S&amp;P 500). Source from FactSet or Yahoo Finance.</t>
        </r>
      </text>
    </comment>
    <comment ref="J14" authorId="0" shapeId="0" xr:uid="{00000000-0006-0000-0400-000076000000}">
      <text>
        <r>
          <rPr>
            <sz val="11"/>
            <color theme="1"/>
            <rFont val="Calibri"/>
          </rPr>
          <t>Does this security PASS your Phase 1 macro filter? Must be YES.</t>
        </r>
      </text>
    </comment>
    <comment ref="K14" authorId="0" shapeId="0" xr:uid="{00000000-0006-0000-0400-000081000000}">
      <text>
        <r>
          <rPr>
            <sz val="11"/>
            <color theme="1"/>
            <rFont val="Calibri"/>
          </rPr>
          <t>Reference number linking to your Investment Thesis Log (Section 3 of this tab). e.g. 1, 2, 3...</t>
        </r>
      </text>
    </comment>
    <comment ref="L14" authorId="0" shapeId="0" xr:uid="{00000000-0006-0000-0400-00008D000000}">
      <text>
        <r>
          <rPr>
            <sz val="11"/>
            <color theme="1"/>
            <rFont val="Calibri"/>
          </rPr>
          <t>Cite your source. E.g. "FactSet @ECO, 4/15/2025" or "SEC 10-K FY2024"</t>
        </r>
      </text>
    </comment>
    <comment ref="C15" authorId="0" shapeId="0" xr:uid="{00000000-0006-0000-0400-000007000000}">
      <text>
        <r>
          <rPr>
            <sz val="11"/>
            <color theme="1"/>
            <rFont val="Calibri"/>
          </rPr>
          <t>Enter ticker symbol (e.g. AAPL, SPY, TLT)</t>
        </r>
      </text>
    </comment>
    <comment ref="D15" authorId="0" shapeId="0" xr:uid="{00000000-0006-0000-0400-00003F000000}">
      <text>
        <r>
          <rPr>
            <sz val="11"/>
            <color theme="1"/>
            <rFont val="Calibri"/>
          </rPr>
          <t>Full security or ETF name</t>
        </r>
      </text>
    </comment>
    <comment ref="E15" authorId="0" shapeId="0" xr:uid="{00000000-0006-0000-0400-000049000000}">
      <text>
        <r>
          <rPr>
            <sz val="11"/>
            <color theme="1"/>
            <rFont val="Calibri"/>
          </rPr>
          <t>Select asset class from dropdown</t>
        </r>
      </text>
    </comment>
    <comment ref="F15" authorId="0" shapeId="0" xr:uid="{00000000-0006-0000-0400-000053000000}">
      <text>
        <r>
          <rPr>
            <sz val="11"/>
            <color theme="1"/>
            <rFont val="Calibri"/>
          </rPr>
          <t>Select sector from dropdown</t>
        </r>
      </text>
    </comment>
    <comment ref="G15" authorId="0" shapeId="0" xr:uid="{00000000-0006-0000-0400-000060000000}">
      <text>
        <r>
          <rPr>
            <sz val="11"/>
            <color theme="1"/>
            <rFont val="Calibri"/>
          </rPr>
          <t>Portfolio weight for this security. All weights must sum to 100%.</t>
        </r>
      </text>
    </comment>
    <comment ref="I15" authorId="0" shapeId="0" xr:uid="{00000000-0006-0000-0400-00006D000000}">
      <text>
        <r>
          <rPr>
            <sz val="11"/>
            <color theme="1"/>
            <rFont val="Calibri"/>
          </rPr>
          <t>Estimated beta (vs. S&amp;P 500). Source from FactSet or Yahoo Finance.</t>
        </r>
      </text>
    </comment>
    <comment ref="J15" authorId="0" shapeId="0" xr:uid="{00000000-0006-0000-0400-000077000000}">
      <text>
        <r>
          <rPr>
            <sz val="11"/>
            <color theme="1"/>
            <rFont val="Calibri"/>
          </rPr>
          <t>Does this security PASS your Phase 1 macro filter? Must be YES.</t>
        </r>
      </text>
    </comment>
    <comment ref="K15" authorId="0" shapeId="0" xr:uid="{00000000-0006-0000-0400-000082000000}">
      <text>
        <r>
          <rPr>
            <sz val="11"/>
            <color theme="1"/>
            <rFont val="Calibri"/>
          </rPr>
          <t>Reference number linking to your Investment Thesis Log (Section 3 of this tab). e.g. 1, 2, 3...</t>
        </r>
      </text>
    </comment>
    <comment ref="L15" authorId="0" shapeId="0" xr:uid="{00000000-0006-0000-0400-00008E000000}">
      <text>
        <r>
          <rPr>
            <sz val="11"/>
            <color theme="1"/>
            <rFont val="Calibri"/>
          </rPr>
          <t>Cite your source. E.g. "FactSet @ECO, 4/15/2025" or "SEC 10-K FY2024"</t>
        </r>
      </text>
    </comment>
    <comment ref="C16" authorId="0" shapeId="0" xr:uid="{00000000-0006-0000-0400-000008000000}">
      <text>
        <r>
          <rPr>
            <sz val="11"/>
            <color theme="1"/>
            <rFont val="Calibri"/>
          </rPr>
          <t>Enter ticker symbol (e.g. AAPL, SPY, TLT)</t>
        </r>
      </text>
    </comment>
    <comment ref="D16" authorId="0" shapeId="0" xr:uid="{00000000-0006-0000-0400-000040000000}">
      <text>
        <r>
          <rPr>
            <sz val="11"/>
            <color theme="1"/>
            <rFont val="Calibri"/>
          </rPr>
          <t>Full security or ETF name</t>
        </r>
      </text>
    </comment>
    <comment ref="E16" authorId="0" shapeId="0" xr:uid="{00000000-0006-0000-0400-00004A000000}">
      <text>
        <r>
          <rPr>
            <sz val="11"/>
            <color theme="1"/>
            <rFont val="Calibri"/>
          </rPr>
          <t>Select asset class from dropdown</t>
        </r>
      </text>
    </comment>
    <comment ref="F16" authorId="0" shapeId="0" xr:uid="{00000000-0006-0000-0400-000054000000}">
      <text>
        <r>
          <rPr>
            <sz val="11"/>
            <color theme="1"/>
            <rFont val="Calibri"/>
          </rPr>
          <t>Select sector from dropdown</t>
        </r>
      </text>
    </comment>
    <comment ref="G16" authorId="0" shapeId="0" xr:uid="{00000000-0006-0000-0400-000061000000}">
      <text>
        <r>
          <rPr>
            <sz val="11"/>
            <color theme="1"/>
            <rFont val="Calibri"/>
          </rPr>
          <t>Portfolio weight for this security. All weights must sum to 100%.</t>
        </r>
      </text>
    </comment>
    <comment ref="I16" authorId="0" shapeId="0" xr:uid="{00000000-0006-0000-0400-00006E000000}">
      <text>
        <r>
          <rPr>
            <sz val="11"/>
            <color theme="1"/>
            <rFont val="Calibri"/>
          </rPr>
          <t>Estimated beta (vs. S&amp;P 500). Source from FactSet or Yahoo Finance.</t>
        </r>
      </text>
    </comment>
    <comment ref="J16" authorId="0" shapeId="0" xr:uid="{00000000-0006-0000-0400-000078000000}">
      <text>
        <r>
          <rPr>
            <sz val="11"/>
            <color theme="1"/>
            <rFont val="Calibri"/>
          </rPr>
          <t>Does this security PASS your Phase 1 macro filter? Must be YES.</t>
        </r>
      </text>
    </comment>
    <comment ref="K16" authorId="0" shapeId="0" xr:uid="{00000000-0006-0000-0400-000083000000}">
      <text>
        <r>
          <rPr>
            <sz val="11"/>
            <color theme="1"/>
            <rFont val="Calibri"/>
          </rPr>
          <t>Reference number linking to your Investment Thesis Log (Section 3 of this tab). e.g. 1, 2, 3...</t>
        </r>
      </text>
    </comment>
    <comment ref="L16" authorId="0" shapeId="0" xr:uid="{00000000-0006-0000-0400-00008F000000}">
      <text>
        <r>
          <rPr>
            <sz val="11"/>
            <color theme="1"/>
            <rFont val="Calibri"/>
          </rPr>
          <t>Cite your source. E.g. "FactSet @ECO, 4/15/2025" or "SEC 10-K FY2024"</t>
        </r>
      </text>
    </comment>
    <comment ref="C17" authorId="0" shapeId="0" xr:uid="{00000000-0006-0000-0400-000009000000}">
      <text>
        <r>
          <rPr>
            <sz val="11"/>
            <color theme="1"/>
            <rFont val="Calibri"/>
          </rPr>
          <t>Enter ticker symbol (e.g. AAPL, SPY, TLT)</t>
        </r>
      </text>
    </comment>
    <comment ref="D17" authorId="0" shapeId="0" xr:uid="{00000000-0006-0000-0400-000041000000}">
      <text>
        <r>
          <rPr>
            <sz val="11"/>
            <color theme="1"/>
            <rFont val="Calibri"/>
          </rPr>
          <t>Full security or ETF name</t>
        </r>
      </text>
    </comment>
    <comment ref="E17" authorId="0" shapeId="0" xr:uid="{00000000-0006-0000-0400-00004B000000}">
      <text>
        <r>
          <rPr>
            <sz val="11"/>
            <color theme="1"/>
            <rFont val="Calibri"/>
          </rPr>
          <t>Select asset class from dropdown</t>
        </r>
      </text>
    </comment>
    <comment ref="F17" authorId="0" shapeId="0" xr:uid="{00000000-0006-0000-0400-000055000000}">
      <text>
        <r>
          <rPr>
            <sz val="11"/>
            <color theme="1"/>
            <rFont val="Calibri"/>
          </rPr>
          <t>Select sector from dropdown</t>
        </r>
      </text>
    </comment>
    <comment ref="G17" authorId="0" shapeId="0" xr:uid="{00000000-0006-0000-0400-000062000000}">
      <text>
        <r>
          <rPr>
            <sz val="11"/>
            <color theme="1"/>
            <rFont val="Calibri"/>
          </rPr>
          <t>Portfolio weight for this security. All weights must sum to 100%.</t>
        </r>
      </text>
    </comment>
    <comment ref="I17" authorId="0" shapeId="0" xr:uid="{00000000-0006-0000-0400-00006F000000}">
      <text>
        <r>
          <rPr>
            <sz val="11"/>
            <color theme="1"/>
            <rFont val="Calibri"/>
          </rPr>
          <t>Estimated beta (vs. S&amp;P 500). Source from FactSet or Yahoo Finance.</t>
        </r>
      </text>
    </comment>
    <comment ref="J17" authorId="0" shapeId="0" xr:uid="{00000000-0006-0000-0400-000079000000}">
      <text>
        <r>
          <rPr>
            <sz val="11"/>
            <color theme="1"/>
            <rFont val="Calibri"/>
          </rPr>
          <t>Does this security PASS your Phase 1 macro filter? Must be YES.</t>
        </r>
      </text>
    </comment>
    <comment ref="K17" authorId="0" shapeId="0" xr:uid="{00000000-0006-0000-0400-000084000000}">
      <text>
        <r>
          <rPr>
            <sz val="11"/>
            <color theme="1"/>
            <rFont val="Calibri"/>
          </rPr>
          <t>Reference number linking to your Investment Thesis Log (Section 3 of this tab). e.g. 1, 2, 3...</t>
        </r>
      </text>
    </comment>
    <comment ref="L17" authorId="0" shapeId="0" xr:uid="{00000000-0006-0000-0400-000090000000}">
      <text>
        <r>
          <rPr>
            <sz val="11"/>
            <color theme="1"/>
            <rFont val="Calibri"/>
          </rPr>
          <t>Cite your source. E.g. "FactSet @ECO, 4/15/2025" or "SEC 10-K FY2024"</t>
        </r>
      </text>
    </comment>
    <comment ref="C18" authorId="0" shapeId="0" xr:uid="{00000000-0006-0000-0400-00000A000000}">
      <text>
        <r>
          <rPr>
            <sz val="11"/>
            <color theme="1"/>
            <rFont val="Calibri"/>
          </rPr>
          <t>Enter ticker symbol (e.g. AAPL, SPY, TLT)</t>
        </r>
      </text>
    </comment>
    <comment ref="D18" authorId="0" shapeId="0" xr:uid="{00000000-0006-0000-0400-000042000000}">
      <text>
        <r>
          <rPr>
            <sz val="11"/>
            <color theme="1"/>
            <rFont val="Calibri"/>
          </rPr>
          <t>Full security or ETF name</t>
        </r>
      </text>
    </comment>
    <comment ref="E18" authorId="0" shapeId="0" xr:uid="{00000000-0006-0000-0400-00004C000000}">
      <text>
        <r>
          <rPr>
            <sz val="11"/>
            <color theme="1"/>
            <rFont val="Calibri"/>
          </rPr>
          <t>Select asset class from dropdown</t>
        </r>
      </text>
    </comment>
    <comment ref="F18" authorId="0" shapeId="0" xr:uid="{00000000-0006-0000-0400-000056000000}">
      <text>
        <r>
          <rPr>
            <sz val="11"/>
            <color theme="1"/>
            <rFont val="Calibri"/>
          </rPr>
          <t>Select sector from dropdown</t>
        </r>
      </text>
    </comment>
    <comment ref="G18" authorId="0" shapeId="0" xr:uid="{00000000-0006-0000-0400-000063000000}">
      <text>
        <r>
          <rPr>
            <sz val="11"/>
            <color theme="1"/>
            <rFont val="Calibri"/>
          </rPr>
          <t>Portfolio weight for this security. All weights must sum to 100%.</t>
        </r>
      </text>
    </comment>
    <comment ref="I18" authorId="0" shapeId="0" xr:uid="{00000000-0006-0000-0400-000070000000}">
      <text>
        <r>
          <rPr>
            <sz val="11"/>
            <color theme="1"/>
            <rFont val="Calibri"/>
          </rPr>
          <t>Estimated beta (vs. S&amp;P 500). Source from FactSet or Yahoo Finance.</t>
        </r>
      </text>
    </comment>
    <comment ref="J18" authorId="0" shapeId="0" xr:uid="{00000000-0006-0000-0400-00007A000000}">
      <text>
        <r>
          <rPr>
            <sz val="11"/>
            <color theme="1"/>
            <rFont val="Calibri"/>
          </rPr>
          <t>Does this security PASS your Phase 1 macro filter? Must be YES.</t>
        </r>
      </text>
    </comment>
    <comment ref="K18" authorId="0" shapeId="0" xr:uid="{00000000-0006-0000-0400-000085000000}">
      <text>
        <r>
          <rPr>
            <sz val="11"/>
            <color theme="1"/>
            <rFont val="Calibri"/>
          </rPr>
          <t>Reference number linking to your Investment Thesis Log (Section 3 of this tab). e.g. 1, 2, 3...</t>
        </r>
      </text>
    </comment>
    <comment ref="L18" authorId="0" shapeId="0" xr:uid="{00000000-0006-0000-0400-000091000000}">
      <text>
        <r>
          <rPr>
            <sz val="11"/>
            <color theme="1"/>
            <rFont val="Calibri"/>
          </rPr>
          <t>Cite your source. E.g. "FactSet @ECO, 4/15/2025" or "SEC 10-K FY2024"</t>
        </r>
      </text>
    </comment>
    <comment ref="C19" authorId="0" shapeId="0" xr:uid="{00000000-0006-0000-0400-00000B000000}">
      <text>
        <r>
          <rPr>
            <sz val="11"/>
            <color theme="1"/>
            <rFont val="Calibri"/>
          </rPr>
          <t>Enter ticker symbol (e.g. AAPL, SPY, TLT)</t>
        </r>
      </text>
    </comment>
    <comment ref="D19" authorId="0" shapeId="0" xr:uid="{00000000-0006-0000-0400-000043000000}">
      <text>
        <r>
          <rPr>
            <sz val="11"/>
            <color theme="1"/>
            <rFont val="Calibri"/>
          </rPr>
          <t>Full security or ETF name</t>
        </r>
      </text>
    </comment>
    <comment ref="E19" authorId="0" shapeId="0" xr:uid="{00000000-0006-0000-0400-00004D000000}">
      <text>
        <r>
          <rPr>
            <sz val="11"/>
            <color theme="1"/>
            <rFont val="Calibri"/>
          </rPr>
          <t>Select asset class from dropdown</t>
        </r>
      </text>
    </comment>
    <comment ref="F19" authorId="0" shapeId="0" xr:uid="{00000000-0006-0000-0400-000057000000}">
      <text>
        <r>
          <rPr>
            <sz val="11"/>
            <color theme="1"/>
            <rFont val="Calibri"/>
          </rPr>
          <t>Select sector from dropdown</t>
        </r>
      </text>
    </comment>
    <comment ref="G19" authorId="0" shapeId="0" xr:uid="{00000000-0006-0000-0400-000064000000}">
      <text>
        <r>
          <rPr>
            <sz val="11"/>
            <color theme="1"/>
            <rFont val="Calibri"/>
          </rPr>
          <t>Portfolio weight for this security. All weights must sum to 100%.</t>
        </r>
      </text>
    </comment>
    <comment ref="I19" authorId="0" shapeId="0" xr:uid="{00000000-0006-0000-0400-000071000000}">
      <text>
        <r>
          <rPr>
            <sz val="11"/>
            <color theme="1"/>
            <rFont val="Calibri"/>
          </rPr>
          <t>Estimated beta (vs. S&amp;P 500). Source from FactSet or Yahoo Finance.</t>
        </r>
      </text>
    </comment>
    <comment ref="J19" authorId="0" shapeId="0" xr:uid="{00000000-0006-0000-0400-00007B000000}">
      <text>
        <r>
          <rPr>
            <sz val="11"/>
            <color theme="1"/>
            <rFont val="Calibri"/>
          </rPr>
          <t>Does this security PASS your Phase 1 macro filter? Must be YES.</t>
        </r>
      </text>
    </comment>
    <comment ref="K19" authorId="0" shapeId="0" xr:uid="{00000000-0006-0000-0400-000086000000}">
      <text>
        <r>
          <rPr>
            <sz val="11"/>
            <color theme="1"/>
            <rFont val="Calibri"/>
          </rPr>
          <t>Reference number linking to your Investment Thesis Log (Section 3 of this tab). e.g. 1, 2, 3...</t>
        </r>
      </text>
    </comment>
    <comment ref="L19" authorId="0" shapeId="0" xr:uid="{00000000-0006-0000-0400-000092000000}">
      <text>
        <r>
          <rPr>
            <sz val="11"/>
            <color theme="1"/>
            <rFont val="Calibri"/>
          </rPr>
          <t>Cite your source. E.g. "FactSet @ECO, 4/15/2025" or "SEC 10-K FY2024"</t>
        </r>
      </text>
    </comment>
    <comment ref="C20" authorId="0" shapeId="0" xr:uid="{00000000-0006-0000-0400-00000C000000}">
      <text>
        <r>
          <rPr>
            <sz val="11"/>
            <color theme="1"/>
            <rFont val="Calibri"/>
          </rPr>
          <t>Enter ticker symbol (e.g. AAPL, SPY, TLT)</t>
        </r>
      </text>
    </comment>
    <comment ref="D20" authorId="0" shapeId="0" xr:uid="{00000000-0006-0000-0400-000044000000}">
      <text>
        <r>
          <rPr>
            <sz val="11"/>
            <color theme="1"/>
            <rFont val="Calibri"/>
          </rPr>
          <t>Full security or ETF name</t>
        </r>
      </text>
    </comment>
    <comment ref="E20" authorId="0" shapeId="0" xr:uid="{00000000-0006-0000-0400-00004E000000}">
      <text>
        <r>
          <rPr>
            <sz val="11"/>
            <color theme="1"/>
            <rFont val="Calibri"/>
          </rPr>
          <t>Select asset class from dropdown</t>
        </r>
      </text>
    </comment>
    <comment ref="F20" authorId="0" shapeId="0" xr:uid="{00000000-0006-0000-0400-000058000000}">
      <text>
        <r>
          <rPr>
            <sz val="11"/>
            <color theme="1"/>
            <rFont val="Calibri"/>
          </rPr>
          <t>Select sector from dropdown</t>
        </r>
      </text>
    </comment>
    <comment ref="G20" authorId="0" shapeId="0" xr:uid="{00000000-0006-0000-0400-000065000000}">
      <text>
        <r>
          <rPr>
            <sz val="11"/>
            <color theme="1"/>
            <rFont val="Calibri"/>
          </rPr>
          <t>Portfolio weight for this security. All weights must sum to 100%.</t>
        </r>
      </text>
    </comment>
    <comment ref="I20" authorId="0" shapeId="0" xr:uid="{00000000-0006-0000-0400-000072000000}">
      <text>
        <r>
          <rPr>
            <sz val="11"/>
            <color theme="1"/>
            <rFont val="Calibri"/>
          </rPr>
          <t>Estimated beta (vs. S&amp;P 500). Source from FactSet or Yahoo Finance.</t>
        </r>
      </text>
    </comment>
    <comment ref="J20" authorId="0" shapeId="0" xr:uid="{00000000-0006-0000-0400-00007C000000}">
      <text>
        <r>
          <rPr>
            <sz val="11"/>
            <color theme="1"/>
            <rFont val="Calibri"/>
          </rPr>
          <t>Does this security PASS your Phase 1 macro filter? Must be YES.</t>
        </r>
      </text>
    </comment>
    <comment ref="K20" authorId="0" shapeId="0" xr:uid="{00000000-0006-0000-0400-000087000000}">
      <text>
        <r>
          <rPr>
            <sz val="11"/>
            <color theme="1"/>
            <rFont val="Calibri"/>
          </rPr>
          <t>Reference number linking to your Investment Thesis Log (Section 3 of this tab). e.g. 1, 2, 3...</t>
        </r>
      </text>
    </comment>
    <comment ref="L20" authorId="0" shapeId="0" xr:uid="{00000000-0006-0000-0400-000093000000}">
      <text>
        <r>
          <rPr>
            <sz val="11"/>
            <color theme="1"/>
            <rFont val="Calibri"/>
          </rPr>
          <t>Cite your source. E.g. "FactSet @ECO, 4/15/2025" or "SEC 10-K FY2024"</t>
        </r>
      </text>
    </comment>
    <comment ref="C21" authorId="0" shapeId="0" xr:uid="{00000000-0006-0000-0400-00000D000000}">
      <text>
        <r>
          <rPr>
            <sz val="11"/>
            <color theme="1"/>
            <rFont val="Calibri"/>
          </rPr>
          <t>Enter ticker symbol (e.g. AAPL, SPY, TLT)</t>
        </r>
      </text>
    </comment>
    <comment ref="D21" authorId="0" shapeId="0" xr:uid="{00000000-0006-0000-0400-000045000000}">
      <text>
        <r>
          <rPr>
            <sz val="11"/>
            <color theme="1"/>
            <rFont val="Calibri"/>
          </rPr>
          <t>Full security or ETF name</t>
        </r>
      </text>
    </comment>
    <comment ref="E21" authorId="0" shapeId="0" xr:uid="{00000000-0006-0000-0400-00004F000000}">
      <text>
        <r>
          <rPr>
            <sz val="11"/>
            <color theme="1"/>
            <rFont val="Calibri"/>
          </rPr>
          <t>Select asset class from dropdown</t>
        </r>
      </text>
    </comment>
    <comment ref="F21" authorId="0" shapeId="0" xr:uid="{00000000-0006-0000-0400-000059000000}">
      <text>
        <r>
          <rPr>
            <sz val="11"/>
            <color theme="1"/>
            <rFont val="Calibri"/>
          </rPr>
          <t>Select sector from dropdown</t>
        </r>
      </text>
    </comment>
    <comment ref="G21" authorId="0" shapeId="0" xr:uid="{00000000-0006-0000-0400-000066000000}">
      <text>
        <r>
          <rPr>
            <sz val="11"/>
            <color theme="1"/>
            <rFont val="Calibri"/>
          </rPr>
          <t>Portfolio weight for this security. All weights must sum to 100%.</t>
        </r>
      </text>
    </comment>
    <comment ref="I21" authorId="0" shapeId="0" xr:uid="{00000000-0006-0000-0400-000073000000}">
      <text>
        <r>
          <rPr>
            <sz val="11"/>
            <color rgb="FF000000"/>
            <rFont val="Calibri"/>
            <family val="2"/>
          </rPr>
          <t>Estimated beta (vs. S&amp;P 500). Source from FactSet or Yahoo Finance.</t>
        </r>
      </text>
    </comment>
    <comment ref="J21" authorId="0" shapeId="0" xr:uid="{00000000-0006-0000-0400-00007D000000}">
      <text>
        <r>
          <rPr>
            <sz val="11"/>
            <color theme="1"/>
            <rFont val="Calibri"/>
          </rPr>
          <t>Does this security PASS your Phase 1 macro filter? Must be YES.</t>
        </r>
      </text>
    </comment>
    <comment ref="K21" authorId="0" shapeId="0" xr:uid="{00000000-0006-0000-0400-000088000000}">
      <text>
        <r>
          <rPr>
            <sz val="11"/>
            <color theme="1"/>
            <rFont val="Calibri"/>
          </rPr>
          <t>Reference number linking to your Investment Thesis Log (Section 3 of this tab). e.g. 1, 2, 3...</t>
        </r>
      </text>
    </comment>
    <comment ref="L21" authorId="0" shapeId="0" xr:uid="{00000000-0006-0000-0400-000094000000}">
      <text>
        <r>
          <rPr>
            <sz val="11"/>
            <color theme="1"/>
            <rFont val="Calibri"/>
          </rPr>
          <t>Cite your source. E.g. "FactSet @ECO, 4/15/2025" or "SEC 10-K FY2024"</t>
        </r>
      </text>
    </comment>
    <comment ref="C27" authorId="0" shapeId="0" xr:uid="{00000000-0006-0000-0400-00000E000000}">
      <text>
        <r>
          <rPr>
            <sz val="11"/>
            <color theme="1"/>
            <rFont val="Calibri"/>
          </rPr>
          <t>Describe the hedge strategy in plain English. E.g. 'Protective Put on SPY ETF'</t>
        </r>
      </text>
    </comment>
    <comment ref="C28" authorId="0" shapeId="0" xr:uid="{00000000-0006-0000-0400-00000F000000}">
      <text>
        <r>
          <rPr>
            <sz val="11"/>
            <color theme="1"/>
            <rFont val="Calibri"/>
          </rPr>
          <t>The security being hedged. Must match a holding in Section 1.</t>
        </r>
      </text>
    </comment>
    <comment ref="C29" authorId="0" shapeId="0" xr:uid="{00000000-0006-0000-0400-000010000000}">
      <text>
        <r>
          <rPr>
            <sz val="11"/>
            <color theme="1"/>
            <rFont val="Calibri"/>
          </rPr>
          <t>Put Option / Call Option / Futures Contract / Collar / Other</t>
        </r>
      </text>
    </comment>
    <comment ref="C30" authorId="0" shapeId="0" xr:uid="{00000000-0006-0000-0400-000011000000}">
      <text>
        <r>
          <rPr>
            <sz val="11"/>
            <color theme="1"/>
            <rFont val="Calibri"/>
          </rPr>
          <t>Strike price of the option contract. State if ITM, ATM, or OTM.</t>
        </r>
      </text>
    </comment>
    <comment ref="C31" authorId="0" shapeId="0" xr:uid="{00000000-0006-0000-0400-000012000000}">
      <text>
        <r>
          <rPr>
            <sz val="11"/>
            <color theme="1"/>
            <rFont val="Calibri"/>
          </rPr>
          <t>Option expiration date or contract duration.</t>
        </r>
      </text>
    </comment>
    <comment ref="C32" authorId="0" shapeId="0" xr:uid="{00000000-0006-0000-0400-000013000000}">
      <text>
        <r>
          <rPr>
            <sz val="11"/>
            <color theme="1"/>
            <rFont val="Calibri"/>
          </rPr>
          <t>Total cost of the hedge. Source from FactSet options chain or current market.</t>
        </r>
      </text>
    </comment>
    <comment ref="C33" authorId="0" shapeId="0" xr:uid="{00000000-0006-0000-0400-000014000000}">
      <text>
        <r>
          <rPr>
            <sz val="11"/>
            <color theme="1"/>
            <rFont val="Calibri"/>
          </rPr>
          <t>Hedge cost as a % of total portfolio value. Formula: cost / 500000</t>
        </r>
      </text>
    </comment>
    <comment ref="C34" authorId="0" shapeId="0" xr:uid="{00000000-0006-0000-0400-000015000000}">
      <text>
        <r>
          <rPr>
            <sz val="11"/>
            <color theme="1"/>
            <rFont val="Calibri"/>
          </rPr>
          <t>The maximum loss after the hedge is applied. Must be within IPS drawdown limit.</t>
        </r>
      </text>
    </comment>
    <comment ref="C35" authorId="0" shapeId="0" xr:uid="{00000000-0006-0000-0400-000016000000}">
      <text>
        <r>
          <rPr>
            <sz val="11"/>
            <color theme="1"/>
            <rFont val="Calibri"/>
          </rPr>
          <t>Portfolio Bear Case return after hedge payoff. Verify this passes IPS Tripwire.</t>
        </r>
      </text>
    </comment>
    <comment ref="B39" authorId="0" shapeId="0" xr:uid="{00000000-0006-0000-0400-000001000000}">
      <text>
        <r>
          <rPr>
            <sz val="11"/>
            <color theme="1"/>
            <rFont val="Calibri"/>
          </rPr>
          <t>Example: Covered Call</t>
        </r>
      </text>
    </comment>
    <comment ref="C39" authorId="0" shapeId="0" xr:uid="{00000000-0006-0000-0400-000017000000}">
      <text>
        <r>
          <rPr>
            <sz val="11"/>
            <color theme="1"/>
            <rFont val="Calibri"/>
          </rPr>
          <t>Example: Net credit received</t>
        </r>
      </text>
    </comment>
    <comment ref="F39" authorId="0" shapeId="0" xr:uid="{00000000-0006-0000-0400-00005A000000}">
      <text>
        <r>
          <rPr>
            <sz val="11"/>
            <color theme="1"/>
            <rFont val="Calibri"/>
          </rPr>
          <t>Example: Caps upside; no floor</t>
        </r>
      </text>
    </comment>
    <comment ref="H39" authorId="0" shapeId="0" xr:uid="{00000000-0006-0000-0400-000067000000}">
      <text>
        <r>
          <rPr>
            <sz val="11"/>
            <color theme="1"/>
            <rFont val="Calibri"/>
          </rPr>
          <t>Example: Lower cost but limits gains</t>
        </r>
      </text>
    </comment>
    <comment ref="K39" authorId="0" shapeId="0" xr:uid="{00000000-0006-0000-0400-000089000000}">
      <text>
        <r>
          <rPr>
            <sz val="11"/>
            <color theme="1"/>
            <rFont val="Calibri"/>
          </rPr>
          <t>Example: Client needs upside participation</t>
        </r>
      </text>
    </comment>
    <comment ref="B40" authorId="0" shapeId="0" xr:uid="{00000000-0006-0000-0400-000002000000}">
      <text>
        <r>
          <rPr>
            <sz val="11"/>
            <color theme="1"/>
            <rFont val="Calibri"/>
          </rPr>
          <t>Example: Increase Cash Allocation</t>
        </r>
      </text>
    </comment>
    <comment ref="C40" authorId="0" shapeId="0" xr:uid="{00000000-0006-0000-0400-000018000000}">
      <text>
        <r>
          <rPr>
            <sz val="11"/>
            <color theme="1"/>
            <rFont val="Calibri"/>
          </rPr>
          <t>Example: Opportunity cost only</t>
        </r>
      </text>
    </comment>
    <comment ref="F40" authorId="0" shapeId="0" xr:uid="{00000000-0006-0000-0400-00005B000000}">
      <text>
        <r>
          <rPr>
            <sz val="11"/>
            <color theme="1"/>
            <rFont val="Calibri"/>
          </rPr>
          <t>Example: Reduces equity exposure</t>
        </r>
      </text>
    </comment>
    <comment ref="H40" authorId="0" shapeId="0" xr:uid="{00000000-0006-0000-0400-000068000000}">
      <text>
        <r>
          <rPr>
            <sz val="11"/>
            <color theme="1"/>
            <rFont val="Calibri"/>
          </rPr>
          <t>Example: Simpler but sacrifices return</t>
        </r>
      </text>
    </comment>
    <comment ref="K40" authorId="0" shapeId="0" xr:uid="{00000000-0006-0000-0400-00008A000000}">
      <text>
        <r>
          <rPr>
            <sz val="11"/>
            <color theme="1"/>
            <rFont val="Calibri"/>
          </rPr>
          <t>Example: Below target E(R) with high cash</t>
        </r>
      </text>
    </comment>
    <comment ref="C45" authorId="0" shapeId="0" xr:uid="{00000000-0006-0000-0400-000019000000}">
      <text>
        <r>
          <rPr>
            <sz val="11"/>
            <color theme="1"/>
            <rFont val="Calibri"/>
          </rPr>
          <t>Must match an entry in Section 1.</t>
        </r>
      </text>
    </comment>
    <comment ref="C46" authorId="0" shapeId="0" xr:uid="{00000000-0006-0000-0400-00001A000000}">
      <text>
        <r>
          <rPr>
            <sz val="11"/>
            <color theme="1"/>
            <rFont val="Calibri"/>
          </rPr>
          <t>Must match columns E and F in Section 1.</t>
        </r>
      </text>
    </comment>
    <comment ref="C47" authorId="0" shapeId="0" xr:uid="{00000000-0006-0000-0400-00001B000000}">
      <text>
        <r>
          <rPr>
            <sz val="11"/>
            <color theme="1"/>
            <rFont val="Calibri"/>
          </rPr>
          <t>Required: link to Phase 1 macro regime. E.g. 'In our Base Case (Soft Landing), earnings growth of 8% supports broad equity exposure via SPY.'</t>
        </r>
      </text>
    </comment>
    <comment ref="C48" authorId="0" shapeId="0" xr:uid="{00000000-0006-0000-0400-00001C000000}">
      <text>
        <r>
          <rPr>
            <sz val="11"/>
            <color theme="1"/>
            <rFont val="Calibri"/>
          </rPr>
          <t>Bottom-up reason beyond macro. E.g. valuation, dividend yield, duration match.</t>
        </r>
      </text>
    </comment>
    <comment ref="C49" authorId="0" shapeId="0" xr:uid="{00000000-0006-0000-0400-00001D000000}">
      <text>
        <r>
          <rPr>
            <sz val="11"/>
            <color theme="1"/>
            <rFont val="Calibri"/>
          </rPr>
          <t>Cite EVERY data point. Unverified AI data = Hallucination Clause violation.</t>
        </r>
      </text>
    </comment>
    <comment ref="C50" authorId="0" shapeId="0" xr:uid="{00000000-0006-0000-0400-00001E000000}">
      <text>
        <r>
          <rPr>
            <sz val="11"/>
            <color theme="1"/>
            <rFont val="Calibri"/>
          </rPr>
          <t>Must reference client's specific IPS constraints (Phase 2).</t>
        </r>
      </text>
    </comment>
    <comment ref="C51" authorId="0" shapeId="0" xr:uid="{00000000-0006-0000-0400-00001F000000}">
      <text>
        <r>
          <rPr>
            <sz val="11"/>
            <color theme="1"/>
            <rFont val="Calibri"/>
          </rPr>
          <t>Required if AI was used. State: tool used, prompt summary, and verification source.</t>
        </r>
      </text>
    </comment>
    <comment ref="C54" authorId="0" shapeId="0" xr:uid="{00000000-0006-0000-0400-000020000000}">
      <text>
        <r>
          <rPr>
            <sz val="11"/>
            <color theme="1"/>
            <rFont val="Calibri"/>
          </rPr>
          <t>Must match an entry in Section 1.</t>
        </r>
      </text>
    </comment>
    <comment ref="C55" authorId="0" shapeId="0" xr:uid="{00000000-0006-0000-0400-000021000000}">
      <text>
        <r>
          <rPr>
            <sz val="11"/>
            <color theme="1"/>
            <rFont val="Calibri"/>
          </rPr>
          <t>Must match columns E and F in Section 1.</t>
        </r>
      </text>
    </comment>
    <comment ref="C56" authorId="0" shapeId="0" xr:uid="{00000000-0006-0000-0400-000022000000}">
      <text>
        <r>
          <rPr>
            <sz val="11"/>
            <color theme="1"/>
            <rFont val="Calibri"/>
          </rPr>
          <t>Required: link to Phase 1 macro regime. E.g. 'In our Base Case (Soft Landing), earnings growth of 8% supports broad equity exposure via SPY.'</t>
        </r>
      </text>
    </comment>
    <comment ref="C57" authorId="0" shapeId="0" xr:uid="{00000000-0006-0000-0400-000023000000}">
      <text>
        <r>
          <rPr>
            <sz val="11"/>
            <color theme="1"/>
            <rFont val="Calibri"/>
          </rPr>
          <t>Bottom-up reason beyond macro. E.g. valuation, dividend yield, duration match.</t>
        </r>
      </text>
    </comment>
    <comment ref="C58" authorId="0" shapeId="0" xr:uid="{00000000-0006-0000-0400-000024000000}">
      <text>
        <r>
          <rPr>
            <sz val="11"/>
            <color theme="1"/>
            <rFont val="Calibri"/>
          </rPr>
          <t>Cite EVERY data point. Unverified AI data = Hallucination Clause violation.</t>
        </r>
      </text>
    </comment>
    <comment ref="C59" authorId="0" shapeId="0" xr:uid="{00000000-0006-0000-0400-000025000000}">
      <text>
        <r>
          <rPr>
            <sz val="11"/>
            <color theme="1"/>
            <rFont val="Calibri"/>
          </rPr>
          <t>Must reference client's specific IPS constraints (Phase 2).</t>
        </r>
      </text>
    </comment>
    <comment ref="C60" authorId="0" shapeId="0" xr:uid="{00000000-0006-0000-0400-000026000000}">
      <text>
        <r>
          <rPr>
            <sz val="11"/>
            <color theme="1"/>
            <rFont val="Calibri"/>
          </rPr>
          <t>Required if AI was used. State: tool used, prompt summary, and verification source.</t>
        </r>
      </text>
    </comment>
    <comment ref="C63" authorId="0" shapeId="0" xr:uid="{00000000-0006-0000-0400-000027000000}">
      <text>
        <r>
          <rPr>
            <sz val="11"/>
            <color theme="1"/>
            <rFont val="Calibri"/>
          </rPr>
          <t>Must match an entry in Section 1.</t>
        </r>
      </text>
    </comment>
    <comment ref="C64" authorId="0" shapeId="0" xr:uid="{00000000-0006-0000-0400-000028000000}">
      <text>
        <r>
          <rPr>
            <sz val="11"/>
            <color theme="1"/>
            <rFont val="Calibri"/>
          </rPr>
          <t>Must match columns E and F in Section 1.</t>
        </r>
      </text>
    </comment>
    <comment ref="C65" authorId="0" shapeId="0" xr:uid="{00000000-0006-0000-0400-000029000000}">
      <text>
        <r>
          <rPr>
            <sz val="11"/>
            <color theme="1"/>
            <rFont val="Calibri"/>
          </rPr>
          <t>Required: link to Phase 1 macro regime. E.g. 'In our Base Case (Soft Landing), earnings growth of 8% supports broad equity exposure via SPY.'</t>
        </r>
      </text>
    </comment>
    <comment ref="C66" authorId="0" shapeId="0" xr:uid="{00000000-0006-0000-0400-00002A000000}">
      <text>
        <r>
          <rPr>
            <sz val="11"/>
            <color theme="1"/>
            <rFont val="Calibri"/>
          </rPr>
          <t>Bottom-up reason beyond macro. E.g. valuation, dividend yield, duration match.</t>
        </r>
      </text>
    </comment>
    <comment ref="C67" authorId="0" shapeId="0" xr:uid="{00000000-0006-0000-0400-00002B000000}">
      <text>
        <r>
          <rPr>
            <sz val="11"/>
            <color theme="1"/>
            <rFont val="Calibri"/>
          </rPr>
          <t>Cite EVERY data point. Unverified AI data = Hallucination Clause violation.</t>
        </r>
      </text>
    </comment>
    <comment ref="C68" authorId="0" shapeId="0" xr:uid="{00000000-0006-0000-0400-00002C000000}">
      <text>
        <r>
          <rPr>
            <sz val="11"/>
            <color theme="1"/>
            <rFont val="Calibri"/>
          </rPr>
          <t>Must reference client's specific IPS constraints (Phase 2).</t>
        </r>
      </text>
    </comment>
    <comment ref="C69" authorId="0" shapeId="0" xr:uid="{00000000-0006-0000-0400-00002D000000}">
      <text>
        <r>
          <rPr>
            <sz val="11"/>
            <color theme="1"/>
            <rFont val="Calibri"/>
          </rPr>
          <t>Required if AI was used. State: tool used, prompt summary, and verification source.</t>
        </r>
      </text>
    </comment>
    <comment ref="C72" authorId="0" shapeId="0" xr:uid="{00000000-0006-0000-0400-00002E000000}">
      <text>
        <r>
          <rPr>
            <sz val="11"/>
            <color theme="1"/>
            <rFont val="Calibri"/>
          </rPr>
          <t>Must match an entry in Section 1.</t>
        </r>
      </text>
    </comment>
    <comment ref="C73" authorId="0" shapeId="0" xr:uid="{00000000-0006-0000-0400-00002F000000}">
      <text>
        <r>
          <rPr>
            <sz val="11"/>
            <color theme="1"/>
            <rFont val="Calibri"/>
          </rPr>
          <t>Must match columns E and F in Section 1.</t>
        </r>
      </text>
    </comment>
    <comment ref="C74" authorId="0" shapeId="0" xr:uid="{00000000-0006-0000-0400-000030000000}">
      <text>
        <r>
          <rPr>
            <sz val="11"/>
            <color theme="1"/>
            <rFont val="Calibri"/>
          </rPr>
          <t>Required: link to Phase 1 macro regime. E.g. 'In our Base Case (Soft Landing), earnings growth of 8% supports broad equity exposure via SPY.'</t>
        </r>
      </text>
    </comment>
    <comment ref="C75" authorId="0" shapeId="0" xr:uid="{00000000-0006-0000-0400-000031000000}">
      <text>
        <r>
          <rPr>
            <sz val="11"/>
            <color theme="1"/>
            <rFont val="Calibri"/>
          </rPr>
          <t>Bottom-up reason beyond macro. E.g. valuation, dividend yield, duration match.</t>
        </r>
      </text>
    </comment>
    <comment ref="C76" authorId="0" shapeId="0" xr:uid="{00000000-0006-0000-0400-000032000000}">
      <text>
        <r>
          <rPr>
            <sz val="11"/>
            <color theme="1"/>
            <rFont val="Calibri"/>
          </rPr>
          <t>Cite EVERY data point. Unverified AI data = Hallucination Clause violation.</t>
        </r>
      </text>
    </comment>
    <comment ref="C77" authorId="0" shapeId="0" xr:uid="{00000000-0006-0000-0400-000033000000}">
      <text>
        <r>
          <rPr>
            <sz val="11"/>
            <color theme="1"/>
            <rFont val="Calibri"/>
          </rPr>
          <t>Must reference client's specific IPS constraints (Phase 2).</t>
        </r>
      </text>
    </comment>
    <comment ref="C78" authorId="0" shapeId="0" xr:uid="{00000000-0006-0000-0400-000034000000}">
      <text>
        <r>
          <rPr>
            <sz val="11"/>
            <color theme="1"/>
            <rFont val="Calibri"/>
          </rPr>
          <t>Required if AI was used. State: tool used, prompt summary, and verification source.</t>
        </r>
      </text>
    </comment>
    <comment ref="C81" authorId="0" shapeId="0" xr:uid="{00000000-0006-0000-0400-000035000000}">
      <text>
        <r>
          <rPr>
            <sz val="11"/>
            <color theme="1"/>
            <rFont val="Calibri"/>
          </rPr>
          <t>Must match an entry in Section 1.</t>
        </r>
      </text>
    </comment>
    <comment ref="C82" authorId="0" shapeId="0" xr:uid="{00000000-0006-0000-0400-000036000000}">
      <text>
        <r>
          <rPr>
            <sz val="11"/>
            <color theme="1"/>
            <rFont val="Calibri"/>
          </rPr>
          <t>Must match columns E and F in Section 1.</t>
        </r>
      </text>
    </comment>
    <comment ref="C83" authorId="0" shapeId="0" xr:uid="{00000000-0006-0000-0400-000037000000}">
      <text>
        <r>
          <rPr>
            <sz val="11"/>
            <color theme="1"/>
            <rFont val="Calibri"/>
          </rPr>
          <t>Required: link to Phase 1 macro regime. E.g. 'In our Base Case (Soft Landing), earnings growth of 8% supports broad equity exposure via SPY.'</t>
        </r>
      </text>
    </comment>
    <comment ref="C84" authorId="0" shapeId="0" xr:uid="{00000000-0006-0000-0400-000038000000}">
      <text>
        <r>
          <rPr>
            <sz val="11"/>
            <color theme="1"/>
            <rFont val="Calibri"/>
          </rPr>
          <t>Bottom-up reason beyond macro. E.g. valuation, dividend yield, duration match.</t>
        </r>
      </text>
    </comment>
    <comment ref="C85" authorId="0" shapeId="0" xr:uid="{00000000-0006-0000-0400-000039000000}">
      <text>
        <r>
          <rPr>
            <sz val="11"/>
            <color theme="1"/>
            <rFont val="Calibri"/>
          </rPr>
          <t>Cite EVERY data point. Unverified AI data = Hallucination Clause violation.</t>
        </r>
      </text>
    </comment>
    <comment ref="C86" authorId="0" shapeId="0" xr:uid="{00000000-0006-0000-0400-00003A000000}">
      <text>
        <r>
          <rPr>
            <sz val="11"/>
            <color theme="1"/>
            <rFont val="Calibri"/>
          </rPr>
          <t>Must reference client's specific IPS constraints (Phase 2).</t>
        </r>
      </text>
    </comment>
    <comment ref="C87" authorId="0" shapeId="0" xr:uid="{00000000-0006-0000-0400-00003B000000}">
      <text>
        <r>
          <rPr>
            <sz val="11"/>
            <color theme="1"/>
            <rFont val="Calibri"/>
          </rPr>
          <t>Required if AI was used. State: tool used, prompt summary, and verification source.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<sst xmlns="http://schemas.openxmlformats.org/spreadsheetml/2006/main" count="407" uniqueCount="168">
  <si>
    <t>Student Template  |  Endicott College  |  Institutional Portfolio Management Project</t>
  </si>
  <si>
    <t xml:space="preserve">  Overview</t>
  </si>
  <si>
    <t xml:space="preserve">  Section 1 — Security Selection Table</t>
  </si>
  <si>
    <t>Enter at least 10 securities per client (add rows as needed by copying an existing row). Weights in column G must sum to 100% — the total row turns green when correct. Column J (Macro Filter) must be YES for every holding. Link each security to a thesis number in column K.</t>
  </si>
  <si>
    <t xml:space="preserve">  Section 2 — Derivative Hedge Summary</t>
  </si>
  <si>
    <t>Every client needs at least one derivative hedge (e.g. Protective Put). Document the chosen strategy in full — cost, strike, expiration, and net Bear Case impact. Then complete the alternative comparison table for at least one other strategy you considered and explain why you rejected it.</t>
  </si>
  <si>
    <t xml:space="preserve">  Section 3 — Investment Thesis Log</t>
  </si>
  <si>
    <t>Complete one thesis block per security. Number must match column K in Section 1. Each block requires: macro connection, investment rationale, data citation, IPS suitability check, and an AI audit note if AI was used. Five blocks are pre-built; copy to add more.</t>
  </si>
  <si>
    <t xml:space="preserve">  AI Audit Log Reminder</t>
  </si>
  <si>
    <t>Any AI tool used to suggest securities, expected returns, or hedge parameters must be documented in your team's AI Audit Log. The Hallucination Clause applies: unverified AI data = professional negligence. Every number must trace to FactSet, FRED, or SEC.</t>
  </si>
  <si>
    <t xml:space="preserve">  Grading Notes</t>
  </si>
  <si>
    <t xml:space="preserve">  PRE-SUBMISSION CHECKLIST</t>
  </si>
  <si>
    <t>☐  Weights sum to 100% on each client tab (total row is green)</t>
  </si>
  <si>
    <t>☐  Every Macro Filter cell = YES (no red cells in column J)</t>
  </si>
  <si>
    <t>☐  Minimum 10 securities entered per client</t>
  </si>
  <si>
    <t>☐  At least 3 distinct asset classes represented per client</t>
  </si>
  <si>
    <t>☐  Every security has a completed Investment Thesis block in Section 3</t>
  </si>
  <si>
    <t>☐  Thesis # in column K matches a thesis block in Section 3</t>
  </si>
  <si>
    <t>☐  Derivative hedge completed with cost, payoff, and Bear Case net return</t>
  </si>
  <si>
    <t>☐  At least 1 alternative hedge strategy documented and explained</t>
  </si>
  <si>
    <t>☐  Every data point has a source citation (FactSet / FRED / SEC)</t>
  </si>
  <si>
    <t>☐  AI Audit Log updated for any AI-assisted inputs</t>
  </si>
  <si>
    <t>☐  Hedge net Bear Case return is within IPS drawdown limit (Tripwire)</t>
  </si>
  <si>
    <t>Auto-linked from Client 1, 2, 3 tabs  |  Green = weights correct  |  Red = recheck</t>
  </si>
  <si>
    <t>This summary pulls key stats from each client tab. Verify all three weight totals are green (100%) and all portfolio betas are within the expected range for each client's risk profile before submitting.</t>
  </si>
  <si>
    <t>Metric</t>
  </si>
  <si>
    <t>Client 1</t>
  </si>
  <si>
    <t>Client 2</t>
  </si>
  <si>
    <t>Client 3</t>
  </si>
  <si>
    <t>Total Weight</t>
  </si>
  <si>
    <t>Total $ Invested</t>
  </si>
  <si>
    <t>Portfolio Beta (wtd)</t>
  </si>
  <si>
    <t>IPS Return Target</t>
  </si>
  <si>
    <t>IPS Max σ</t>
  </si>
  <si>
    <t>Client Name / ID:</t>
  </si>
  <si>
    <t>IPS Return Target:</t>
  </si>
  <si>
    <t>IPS Max σ:</t>
  </si>
  <si>
    <t>Macro Regime:</t>
  </si>
  <si>
    <t>⚠  MACRO FILTER (Phase 1 required): Every security below must survive your Phase 1 macro thesis. If your Base Case avoids a sector, you cannot hold it. Column J must be 'YES' for every row. Red = fails filter. Fix or remove the position.</t>
  </si>
  <si>
    <t xml:space="preserve">  SECTION 1 — SECURITY SELECTION TABLE</t>
  </si>
  <si>
    <t>Enter one security per row. Blue text = student input. Weights (column G) must sum to 100% — watch the live total in row below the table. Add rows as needed; the weight total formula auto-adjusts.</t>
  </si>
  <si>
    <t>#</t>
  </si>
  <si>
    <t>Ticker</t>
  </si>
  <si>
    <t>Security / ETF Name</t>
  </si>
  <si>
    <t>Asset Class</t>
  </si>
  <si>
    <t>Sector</t>
  </si>
  <si>
    <t>Weight
(%)</t>
  </si>
  <si>
    <t>$ Amount
(of $500K)</t>
  </si>
  <si>
    <t>Beta
(Est.)</t>
  </si>
  <si>
    <t>Macro
Filter ✓</t>
  </si>
  <si>
    <t>Thesis
Ref #</t>
  </si>
  <si>
    <t>Data Source
(FactSet / FRED / SEC)</t>
  </si>
  <si>
    <t xml:space="preserve">  TOTAL WEIGHT  (must equal 100%)</t>
  </si>
  <si>
    <t>Portfolio β (wtd. avg)</t>
  </si>
  <si>
    <t xml:space="preserve">  ← Green = weights sum to 100%   Red = recheck weights</t>
  </si>
  <si>
    <t xml:space="preserve">  SECTION 2 — DERIVATIVE HEDGE SUMMARY</t>
  </si>
  <si>
    <t>Mandatory: every client portfolio must include at least one derivative hedge strategy. Document the chosen hedge and compare it to at least one alternative. Source pricing from FactSet options screen or current market data.</t>
  </si>
  <si>
    <t>Hedge Strategy Chosen</t>
  </si>
  <si>
    <t>e.g. E.g. Protective Put on SPY — provides downside floor on equity sleeve</t>
  </si>
  <si>
    <t>Underlying Security / ETF</t>
  </si>
  <si>
    <t>e.g. E.g. SPY (SPDR S&amp;P 500 ETF)</t>
  </si>
  <si>
    <t>Contract Type</t>
  </si>
  <si>
    <t>e.g. E.g. Put Option</t>
  </si>
  <si>
    <t>Strike Price</t>
  </si>
  <si>
    <t>e.g. E.g. $480 (≈5% OTM)</t>
  </si>
  <si>
    <t>Expiration / Duration</t>
  </si>
  <si>
    <t>e.g. E.g. 12-month expiration (Dec 2026)</t>
  </si>
  <si>
    <t>Option Premium / Cost</t>
  </si>
  <si>
    <t>e.g. E.g. $12.50 per share × 100 contracts = $125,000</t>
  </si>
  <si>
    <t>% of Portfolio Cost</t>
  </si>
  <si>
    <t>e.g. E.g. 2.5% of $500,000 AUM</t>
  </si>
  <si>
    <t>Downside Protected To</t>
  </si>
  <si>
    <t>e.g. E.g. Portfolio loss floored at –8% in Bear Case</t>
  </si>
  <si>
    <t>Net Bear Case Return (hedged)</t>
  </si>
  <si>
    <t>e.g. E.g. –6.5% (vs. –14% unhedged)</t>
  </si>
  <si>
    <t xml:space="preserve">    Alternative Hedge Comparison  (required — compare to at least 1 alternative)</t>
  </si>
  <si>
    <t>Strategy</t>
  </si>
  <si>
    <t>Cost</t>
  </si>
  <si>
    <t>Max Downside Protected</t>
  </si>
  <si>
    <t>Trade-off vs. Chosen Hedge</t>
  </si>
  <si>
    <t>Why Rejected?</t>
  </si>
  <si>
    <t xml:space="preserve">  SECTION 3 — INVESTMENT THESIS LOG</t>
  </si>
  <si>
    <t>Complete one thesis block per security. Thesis # must match column K in Section 1. Each thesis must: (1) identify the macro connection to Phase 1, (2) cite a verifiable data source, and (3) confirm IPS suitability for this client.</t>
  </si>
  <si>
    <t xml:space="preserve">  Thesis #1</t>
  </si>
  <si>
    <t>Security (Ticker + Name)</t>
  </si>
  <si>
    <t>Asset Class / Sector</t>
  </si>
  <si>
    <t>Macro Connection</t>
  </si>
  <si>
    <t>Investment Rationale</t>
  </si>
  <si>
    <t>Data Source &amp; Citation</t>
  </si>
  <si>
    <t>IPS Suitability</t>
  </si>
  <si>
    <t>AI Audit Note</t>
  </si>
  <si>
    <t xml:space="preserve">  Thesis #2</t>
  </si>
  <si>
    <t xml:space="preserve">  Thesis #3</t>
  </si>
  <si>
    <t xml:space="preserve">  Thesis #4</t>
  </si>
  <si>
    <t xml:space="preserve">  Thesis #5</t>
  </si>
  <si>
    <t xml:space="preserve">  ▲ To add more thesis blocks: copy rows from any Thesis # block above and paste below. Update the Thesis # to match Section 1 column K.</t>
  </si>
  <si>
    <t xml:space="preserve">  LEGEND</t>
  </si>
  <si>
    <t>Sample</t>
  </si>
  <si>
    <t>Student Input — enter your data (blue text)</t>
  </si>
  <si>
    <t>Calculated Formula — do not edit (black text)</t>
  </si>
  <si>
    <t>Auto-generated / fixed value</t>
  </si>
  <si>
    <t>✓ PASS — constraint met</t>
  </si>
  <si>
    <t>⚠ CHECK — constraint violated or macro filter = NO</t>
  </si>
  <si>
    <t>BUS 331 — Phase 2: Security Analysis &amp; Selection</t>
  </si>
  <si>
    <t>This workbook has seven tabs: START HERE, SUMMARY, Client 1, Client 2, Client 3, ISSUER CHECK, and EVIDENCE LOG. Complete one client tab per assigned client, the required Issuer Reality Check rows, and one FactSet retrieval record for each recommendation and material portfolio-risk input.</t>
  </si>
  <si>
    <t>Before You Start — Complete Phase 1 First</t>
  </si>
  <si>
    <t>Your Phase 1 market view, client IPS, unresolved information gaps, and downstream guardrails must be approved before security research begins. Every candidate and Issuer Reality Check must trace to that mandate; the macro filter on each client tab must pass before selection.</t>
  </si>
  <si>
    <t>Reviewers will check: (1) weights sum to 100%, (2) macro filters pass, (3) each selected security has a completed thesis and candidate comparison, (4) every required direct or look-through exposure has an Issuer Reality Check, (5) yield or recent return is not the sole rationale, (6) sources and as-of dates are complete, and (7) the final mix satisfies the IPS and bear-case tripwire.</t>
  </si>
  <si>
    <t>☐  Issuer Reality Check completed for each required direct and look-through exposure</t>
  </si>
  <si>
    <t>☐  No recommendation relies on yield or recent return without evidenced issuer health and outlook</t>
  </si>
  <si>
    <t>☐  FactSet retrieval record completed for each recommendation and material portfolio-risk input</t>
  </si>
  <si>
    <t>☐  Final work and required licensed-source evidence prepared for private Canvas submission; nothing placed in the public repository</t>
  </si>
  <si>
    <t>Phase 2 Security Selection Summary — All Clients</t>
  </si>
  <si>
    <t>Phase 2 — Security Analysis &amp; Selection  |  Client 1</t>
  </si>
  <si>
    <t>BUS 331 Investments  |  Endicott College  |  Phase 2: Security Analysis &amp; Selection</t>
  </si>
  <si>
    <t>Phase 2 — Security Analysis &amp; Selection  |  Client 2</t>
  </si>
  <si>
    <t>Phase 2 — Security Analysis &amp; Selection  |  Client 3</t>
  </si>
  <si>
    <t>BUS 331 — Issuer Reality Check</t>
  </si>
  <si>
    <t>Required inside Security Analysis and Selection — not a separate accounting unit</t>
  </si>
  <si>
    <t>DECISION RULE — Yield or recent return alone cannot support a recommendation. Evidence the issuer's financial health, operating outlook, and relevance to the client's mandate.</t>
  </si>
  <si>
    <t>APPLIES TO — Every direct bond or equity exposure, plus the most material relevant issuer or holding within each selected mutual fund or ETF.</t>
  </si>
  <si>
    <t>ROLE HANDOFF — Fixed-Income: credit review  |  Fund &amp; ETF: look-through holdings/concentration  |  Client &amp; Macro: scenario impact  |  Portfolio &amp; Risk: allocation, diversification, stress, and monitoring</t>
  </si>
  <si>
    <t>EXPOSURE &amp; EVIDENCE</t>
  </si>
  <si>
    <t>ISSUER HEALTH &amp; OUTLOOK</t>
  </si>
  <si>
    <t>RISK, CLIENT FIT &amp; ALLOCATION</t>
  </si>
  <si>
    <t>REVIEW</t>
  </si>
  <si>
    <t>Client</t>
  </si>
  <si>
    <t>Exposure Type</t>
  </si>
  <si>
    <t>Security / Fund</t>
  </si>
  <si>
    <t>Issuer / Look-Through Holding</t>
  </si>
  <si>
    <t>Portfolio Weight</t>
  </si>
  <si>
    <t>Primary Owner</t>
  </si>
  <si>
    <t>Source / URL</t>
  </si>
  <si>
    <t>As-of Date</t>
  </si>
  <si>
    <t>Business Model</t>
  </si>
  <si>
    <t>Revenue Drivers</t>
  </si>
  <si>
    <t>Industry / Macro Sensitivity</t>
  </si>
  <si>
    <t>Revenue Trend</t>
  </si>
  <si>
    <t>Margin Trend</t>
  </si>
  <si>
    <t>Cash-Flow Trend</t>
  </si>
  <si>
    <t>Liquidity</t>
  </si>
  <si>
    <t>Leverage</t>
  </si>
  <si>
    <t>Interest Coverage / Debt Maturities (if relevant)</t>
  </si>
  <si>
    <t>Issuer-Specific Risk</t>
  </si>
  <si>
    <t>Client-Fit Conclusion</t>
  </si>
  <si>
    <t>Allocation Implication</t>
  </si>
  <si>
    <t>Monitoring Trigger</t>
  </si>
  <si>
    <t>Peer Reviewer</t>
  </si>
  <si>
    <t>Status</t>
  </si>
  <si>
    <t>COMPLETION STANDARD — Concise and cited. Show consistent financial periods, label missing information, and end with a client-fit and allocation conclusion. A second team member reviews each row before committee approval.</t>
  </si>
  <si>
    <t>BUS 331 — FactSet Research and Evidence Log</t>
  </si>
  <si>
    <t>Required licensed-source record — document the retrieval, interpret the evidence, and explain its effect on the recommendation</t>
  </si>
  <si>
    <t>BOUNDARY — Use licensed FactSet access for course research. Submit final work and required licensed-source evidence privately through Canvas. Do not place FactSet captures, exports, credentials, completed proprietary data files, or student work in the public repository.</t>
  </si>
  <si>
    <t>NAVIGATION NOTE — FactSet layouts, labels, and entitlements can differ. Follow course demonstrations and current FactSet support; this log defines evidence requirements, not a click path.</t>
  </si>
  <si>
    <t>Workstream</t>
  </si>
  <si>
    <t>Security / Issuer / Fund / Benchmark / Input</t>
  </si>
  <si>
    <t>Research Question or Claim Tested</t>
  </si>
  <si>
    <t>FactSet Data / Research Retrieved</t>
  </si>
  <si>
    <t>Relevant Metrics &amp; Units</t>
  </si>
  <si>
    <t>Entity / Security Identifier</t>
  </si>
  <si>
    <t>Source / Screen / Document Reference</t>
  </si>
  <si>
    <t>Data As-of Period</t>
  </si>
  <si>
    <t>Retrieval Date</t>
  </si>
  <si>
    <t>Interpretation &amp; Limitations</t>
  </si>
  <si>
    <t>Result</t>
  </si>
  <si>
    <t>Effect on Recommendation / Portfolio Input</t>
  </si>
  <si>
    <t>Canvas Submission Item / Evidence-File Reference</t>
  </si>
  <si>
    <t>Analyst Owner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</si>
</sst>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
    <numFmt numFmtId="165" formatCode="\$#,##0"/>
    <numFmt numFmtId="166" formatCode="yyyy\-mm\-dd"/>
  </numFmts>
  <fonts count="32" x14ac:knownFonts="1">
    <font>
      <sz val="11"/>
      <color theme="1"/>
      <name val="Calibri"/>
    </font>
    <font>
      <sz val="10"/>
      <name val="Arial"/>
      <family val="2"/>
    </font>
    <font>
      <b/>
      <sz val="14"/>
      <color rgb="FFFFFFFF"/>
      <name val="Arial"/>
      <family val="2"/>
    </font>
    <font>
      <i/>
      <sz val="9"/>
      <color rgb="FF5A6A7E"/>
      <name val="Arial"/>
      <family val="2"/>
    </font>
    <font>
      <b/>
      <sz val="10"/>
      <color rgb="FFFFFFFF"/>
      <name val="Arial"/>
      <family val="2"/>
    </font>
    <font>
      <sz val="9"/>
      <color rgb="FF333333"/>
      <name val="Arial"/>
      <family val="2"/>
    </font>
    <font>
      <sz val="9"/>
      <color rgb="FF5A6A7E"/>
      <name val="Arial"/>
      <family val="2"/>
    </font>
    <font>
      <b/>
      <sz val="10"/>
      <color rgb="FF0A1628"/>
      <name val="Arial"/>
      <family val="2"/>
    </font>
    <font>
      <sz val="10"/>
      <color rgb="FF008000"/>
      <name val="Arial"/>
      <family val="2"/>
    </font>
    <font>
      <b/>
      <sz val="9"/>
      <color rgb="FF0A1628"/>
      <name val="Arial"/>
      <family val="2"/>
    </font>
    <font>
      <sz val="10"/>
      <color rgb="FF0000FF"/>
      <name val="Arial"/>
      <family val="2"/>
    </font>
    <font>
      <sz val="10"/>
      <color rgb="FF000000"/>
      <name val="Arial"/>
      <family val="2"/>
    </font>
    <font>
      <sz val="9"/>
      <color rgb="FF0000FF"/>
      <name val="Arial"/>
      <family val="2"/>
    </font>
    <font>
      <sz val="9"/>
      <color rgb="FF856404"/>
      <name val="Arial"/>
      <family val="2"/>
    </font>
    <font>
      <b/>
      <sz val="9"/>
      <color rgb="FFFFFFFF"/>
      <name val="Arial"/>
      <family val="2"/>
    </font>
    <font>
      <sz val="9"/>
      <color rgb="FF000000"/>
      <name val="Arial"/>
      <family val="2"/>
    </font>
    <font>
      <b/>
      <sz val="11"/>
      <color rgb="FF000000"/>
      <name val="Arial"/>
      <family val="2"/>
    </font>
    <font>
      <b/>
      <sz val="10"/>
      <color rgb="FF000000"/>
      <name val="Arial"/>
      <family val="2"/>
    </font>
    <font>
      <b/>
      <sz val="8"/>
      <color rgb="FF5A6A7E"/>
      <name val="Arial"/>
      <family val="2"/>
    </font>
    <font>
      <i/>
      <sz val="8"/>
      <color rgb="FF5A6A7E"/>
      <name val="Arial"/>
      <family val="2"/>
    </font>
    <font>
      <b/>
      <sz val="10"/>
      <color rgb="FFC9A84C"/>
      <name val="Arial"/>
      <family val="2"/>
    </font>
    <font>
      <sz val="9"/>
      <color rgb="FF155724"/>
      <name val="Arial"/>
      <family val="2"/>
    </font>
    <font>
      <sz val="9"/>
      <color rgb="FF721C24"/>
      <name val="Arial"/>
      <family val="2"/>
    </font>
    <font>
      <b/>
      <sz val="18"/>
      <color rgb="FFFFFFFF"/>
      <name val="Calibri"/>
      <family val="2"/>
    </font>
    <font>
      <b/>
      <sz val="11"/>
      <color rgb="FF071626"/>
      <name val="Calibri"/>
      <family val="2"/>
    </font>
    <font>
      <b/>
      <sz val="11"/>
      <color rgb="FF7B2F22"/>
      <name val="Calibri"/>
      <family val="2"/>
    </font>
    <font>
      <b/>
      <sz val="11"/>
      <color rgb="FF143B45"/>
      <name val="Calibri"/>
      <family val="2"/>
    </font>
    <font>
      <b/>
      <sz val="11"/>
      <color rgb="FF102238"/>
      <name val="Calibri"/>
      <family val="2"/>
    </font>
    <font>
      <b/>
      <sz val="10"/>
      <color rgb="FFFFFFFF"/>
      <name val="Calibri"/>
      <family val="2"/>
    </font>
    <font>
      <sz val="10"/>
      <color rgb="FF0000FF"/>
      <name val="Calibri"/>
      <family val="2"/>
    </font>
    <font>
      <b/>
      <sz val="11"/>
      <color rgb="FF5B4314"/>
      <name val="Calibri"/>
      <family val="2"/>
    </font>
    <font>
      <sz val="11"/>
      <color rgb="FF000000"/>
      <name val="Calibri"/>
      <family val="2"/>
    </font>
  </fonts>
  <fills count="26">
    <fill>
      <patternFill patternType="none"/>
    </fill>
    <fill>
      <patternFill patternType="gray125"/>
    </fill>
    <fill>
      <patternFill patternType="solid">
        <fgColor rgb="FF0A1628"/>
      </patternFill>
    </fill>
    <fill>
      <patternFill patternType="solid">
        <fgColor rgb="FFFFFFFF"/>
      </patternFill>
    </fill>
    <fill>
      <patternFill patternType="solid">
        <fgColor rgb="FFEBF3FA"/>
      </patternFill>
    </fill>
    <fill>
      <patternFill patternType="solid">
        <fgColor rgb="FFFFFDE7"/>
      </patternFill>
    </fill>
    <fill>
      <patternFill patternType="solid">
        <fgColor rgb="FFFFFF00"/>
      </patternFill>
    </fill>
    <fill>
      <patternFill patternType="solid">
        <fgColor rgb="FFFFF3CD"/>
      </patternFill>
    </fill>
    <fill>
      <patternFill patternType="solid">
        <fgColor rgb="FFD6E4F0"/>
      </patternFill>
    </fill>
    <fill>
      <patternFill patternType="solid">
        <fgColor rgb="FFF4F7FB"/>
      </patternFill>
    </fill>
    <fill>
      <patternFill patternType="solid">
        <fgColor rgb="FFD4EDDA"/>
      </patternFill>
    </fill>
    <fill>
      <patternFill patternType="solid">
        <fgColor rgb="FFF8D7DA"/>
      </patternFill>
    </fill>
    <fill>
      <patternFill patternType="solid">
        <fgColor rgb="FF0B1F35"/>
      </patternFill>
    </fill>
    <fill>
      <patternFill patternType="solid">
        <fgColor rgb="FFD4A052"/>
      </patternFill>
    </fill>
    <fill>
      <patternFill patternType="solid">
        <fgColor rgb="FFF8E8E2"/>
      </patternFill>
    </fill>
    <fill>
      <patternFill patternType="solid">
        <fgColor rgb="FFEEF7F6"/>
      </patternFill>
    </fill>
    <fill>
      <patternFill patternType="solid">
        <fgColor rgb="FFE9EFF4"/>
      </patternFill>
    </fill>
    <fill>
      <patternFill patternType="solid">
        <fgColor rgb="FF1B3B60"/>
      </patternFill>
    </fill>
    <fill>
      <patternFill patternType="solid">
        <fgColor rgb="FF2F7E7B"/>
      </patternFill>
    </fill>
    <fill>
      <patternFill patternType="solid">
        <fgColor rgb="FFA4523A"/>
      </patternFill>
    </fill>
    <fill>
      <patternFill patternType="solid">
        <fgColor rgb="FF566F86"/>
      </patternFill>
    </fill>
    <fill>
      <patternFill patternType="solid">
        <fgColor rgb="FF122B49"/>
      </patternFill>
    </fill>
    <fill>
      <patternFill patternType="solid">
        <fgColor rgb="FFFFF9D9"/>
      </patternFill>
    </fill>
    <fill>
      <patternFill patternType="solid">
        <fgColor rgb="FFF2F6FA"/>
      </patternFill>
    </fill>
    <fill>
      <patternFill patternType="solid">
        <fgColor rgb="FFEEF1F4"/>
      </patternFill>
    </fill>
    <fill>
      <patternFill patternType="solid">
        <fgColor rgb="FFFFF5DE"/>
      </patternFill>
    </fill>
  </fills>
  <borders count="27">
    <border>
      <left/>
      <right/>
      <top/>
      <bottom/>
      <diagonal/>
    </border>
    <border>
      <left/>
      <right/>
      <top/>
      <bottom style="medium">
        <color rgb="FFC9A84C"/>
      </bottom>
      <diagonal/>
    </border>
    <border>
      <left style="medium">
        <color rgb="FFC9A84C"/>
      </left>
      <right/>
      <top/>
      <bottom/>
      <diagonal/>
    </border>
    <border>
      <left style="thin">
        <color rgb="FFCBD8E8"/>
      </left>
      <right/>
      <top style="thin">
        <color rgb="FFCBD8E8"/>
      </top>
      <bottom style="thin">
        <color rgb="FFCBD8E8"/>
      </bottom>
      <diagonal/>
    </border>
    <border>
      <left style="medium">
        <color rgb="FFC9A84C"/>
      </left>
      <right/>
      <top/>
      <bottom style="medium">
        <color rgb="FFC9A84C"/>
      </bottom>
      <diagonal/>
    </border>
    <border>
      <left/>
      <right/>
      <top style="medium">
        <color rgb="FFCBD8E8"/>
      </top>
      <bottom style="thin">
        <color rgb="FFCBD8E8"/>
      </bottom>
      <diagonal/>
    </border>
    <border>
      <left style="thin">
        <color rgb="FF0A1628"/>
      </left>
      <right style="thin">
        <color rgb="FF0A1628"/>
      </right>
      <top style="thin">
        <color rgb="FF0A1628"/>
      </top>
      <bottom style="thin">
        <color rgb="FF0A1628"/>
      </bottom>
      <diagonal/>
    </border>
    <border>
      <left style="thin">
        <color rgb="FFCBD8E8"/>
      </left>
      <right style="thin">
        <color rgb="FFCBD8E8"/>
      </right>
      <top style="thin">
        <color rgb="FFCBD8E8"/>
      </top>
      <bottom style="thin">
        <color rgb="FFCBD8E8"/>
      </bottom>
      <diagonal/>
    </border>
    <border>
      <left style="thin">
        <color rgb="FFC9A84C"/>
      </left>
      <right style="thin">
        <color rgb="FFC9A84C"/>
      </right>
      <top style="thin">
        <color rgb="FFC9A84C"/>
      </top>
      <bottom style="thin">
        <color rgb="FFC9A84C"/>
      </bottom>
      <diagonal/>
    </border>
    <border>
      <left style="thin">
        <color rgb="FFC9A84C"/>
      </left>
      <right/>
      <top style="thin">
        <color rgb="FFC9A84C"/>
      </top>
      <bottom style="thin">
        <color rgb="FFC9A84C"/>
      </bottom>
      <diagonal/>
    </border>
    <border>
      <left/>
      <right/>
      <top style="medium">
        <color rgb="FFC9A84C"/>
      </top>
      <bottom style="thin">
        <color rgb="FFC9A84C"/>
      </bottom>
      <diagonal/>
    </border>
    <border>
      <left style="medium">
        <color rgb="FFC9A84C"/>
      </left>
      <right/>
      <top style="thin">
        <color rgb="FF0A1628"/>
      </top>
      <bottom style="thin">
        <color rgb="FF0A1628"/>
      </bottom>
      <diagonal/>
    </border>
    <border>
      <left/>
      <right/>
      <top style="medium">
        <color rgb="FFC9A84C"/>
      </top>
      <bottom style="medium">
        <color rgb="FFC9A84C"/>
      </bottom>
      <diagonal/>
    </border>
    <border>
      <left style="thin">
        <color rgb="FF0A1628"/>
      </left>
      <right/>
      <top style="thin">
        <color rgb="FF0A1628"/>
      </top>
      <bottom style="thin">
        <color rgb="FF0A1628"/>
      </bottom>
      <diagonal/>
    </border>
    <border>
      <left/>
      <right/>
      <top style="medium">
        <color rgb="FFC9A84C"/>
      </top>
      <bottom/>
      <diagonal/>
    </border>
    <border>
      <left/>
      <right style="thin">
        <color rgb="FF6F8FAB"/>
      </right>
      <top/>
      <bottom/>
      <diagonal/>
    </border>
    <border>
      <left style="thin">
        <color rgb="FF6F8FAB"/>
      </left>
      <right style="thin">
        <color rgb="FF6F8FAB"/>
      </right>
      <top/>
      <bottom/>
      <diagonal/>
    </border>
    <border>
      <left style="thin">
        <color rgb="FF6F8FAB"/>
      </left>
      <right/>
      <top/>
      <bottom/>
      <diagonal/>
    </border>
    <border>
      <left/>
      <right style="thin">
        <color rgb="FFE6EDF2"/>
      </right>
      <top/>
      <bottom style="thin">
        <color rgb="FFD9E2EA"/>
      </bottom>
      <diagonal/>
    </border>
    <border>
      <left style="thin">
        <color rgb="FFE6EDF2"/>
      </left>
      <right style="thin">
        <color rgb="FFE6EDF2"/>
      </right>
      <top/>
      <bottom style="thin">
        <color rgb="FFD9E2EA"/>
      </bottom>
      <diagonal/>
    </border>
    <border>
      <left style="thin">
        <color rgb="FFE6EDF2"/>
      </left>
      <right/>
      <top/>
      <bottom style="thin">
        <color rgb="FFD9E2EA"/>
      </bottom>
      <diagonal/>
    </border>
    <border>
      <left/>
      <right style="thin">
        <color rgb="FFE6EDF2"/>
      </right>
      <top style="thin">
        <color rgb="FFD9E2EA"/>
      </top>
      <bottom style="thin">
        <color rgb="FFD9E2EA"/>
      </bottom>
      <diagonal/>
    </border>
    <border>
      <left style="thin">
        <color rgb="FFE6EDF2"/>
      </left>
      <right style="thin">
        <color rgb="FFE6EDF2"/>
      </right>
      <top style="thin">
        <color rgb="FFD9E2EA"/>
      </top>
      <bottom style="thin">
        <color rgb="FFD9E2EA"/>
      </bottom>
      <diagonal/>
    </border>
    <border>
      <left style="thin">
        <color rgb="FFE6EDF2"/>
      </left>
      <right/>
      <top style="thin">
        <color rgb="FFD9E2EA"/>
      </top>
      <bottom style="thin">
        <color rgb="FFD9E2EA"/>
      </bottom>
      <diagonal/>
    </border>
    <border>
      <left/>
      <right style="thin">
        <color rgb="FFE6EDF2"/>
      </right>
      <top style="thin">
        <color rgb="FFD9E2EA"/>
      </top>
      <bottom style="thin">
        <color rgb="FF9BAFC0"/>
      </bottom>
      <diagonal/>
    </border>
    <border>
      <left style="thin">
        <color rgb="FFE6EDF2"/>
      </left>
      <right style="thin">
        <color rgb="FFE6EDF2"/>
      </right>
      <top style="thin">
        <color rgb="FFD9E2EA"/>
      </top>
      <bottom style="thin">
        <color rgb="FF9BAFC0"/>
      </bottom>
      <diagonal/>
    </border>
    <border>
      <left style="thin">
        <color rgb="FFE6EDF2"/>
      </left>
      <right/>
      <top style="thin">
        <color rgb="FFD9E2EA"/>
      </top>
      <bottom style="thin">
        <color rgb="FF9BAFC0"/>
      </bottom>
      <diagonal/>
    </border>
  </borders>
  <cellStyleXfs count="6">
    <xf numFmtId="0" fontId="0" fillId="0" borderId="0"/>
    <xf numFmtId="43" fontId="1" fillId="0" borderId="0" applyBorder="0" applyAlignment="0" applyProtection="0"/>
    <xf numFmtId="41" fontId="1" fillId="0" borderId="0" applyBorder="0" applyAlignment="0" applyProtection="0"/>
    <xf numFmtId="44" fontId="1" fillId="0" borderId="0" applyBorder="0" applyAlignment="0" applyProtection="0"/>
    <xf numFmtId="42" fontId="1" fillId="0" borderId="0" applyBorder="0" applyAlignment="0" applyProtection="0"/>
    <xf numFmtId="9" fontId="1" fillId="0" borderId="0" applyBorder="0" applyAlignment="0" applyProtection="0"/>
  </cellStyleXfs>
  <cellXfs count="86">
    <xf numFmtId="0" fontId="0" fillId="0" borderId="0" xfId="0"/>
    <xf numFmtId="0" fontId="14" fillId="2" borderId="13" xfId="0" applyFont="1" applyFill="1" applyBorder="1" applyAlignment="1">
      <alignment horizontal="center" vertical="center" wrapText="1"/>
    </xf>
    <xf numFmtId="0" fontId="19" fillId="9" borderId="3" xfId="0" applyFont="1" applyFill="1" applyBorder="1" applyAlignment="1">
      <alignment horizontal="left" vertical="center"/>
    </xf>
    <xf numFmtId="0" fontId="3" fillId="4" borderId="3" xfId="0" applyFont="1" applyFill="1" applyBorder="1" applyAlignment="1">
      <alignment horizontal="left" vertical="center"/>
    </xf>
    <xf numFmtId="0" fontId="4" fillId="2" borderId="12" xfId="0" applyFont="1" applyFill="1" applyBorder="1" applyAlignment="1">
      <alignment horizontal="left" vertical="center"/>
    </xf>
    <xf numFmtId="0" fontId="4" fillId="2" borderId="11" xfId="0" applyFont="1" applyFill="1" applyBorder="1" applyAlignment="1">
      <alignment horizontal="left" vertical="center"/>
    </xf>
    <xf numFmtId="0" fontId="13" fillId="7" borderId="10" xfId="0" applyFont="1" applyFill="1" applyBorder="1" applyAlignment="1">
      <alignment horizontal="left" vertical="center" wrapText="1"/>
    </xf>
    <xf numFmtId="0" fontId="12" fillId="6" borderId="9" xfId="0" applyFont="1" applyFill="1" applyBorder="1" applyAlignment="1">
      <alignment horizontal="left" vertical="center" wrapText="1"/>
    </xf>
    <xf numFmtId="0" fontId="6" fillId="4" borderId="5" xfId="0" applyFont="1" applyFill="1" applyBorder="1" applyAlignment="1">
      <alignment horizontal="left" vertical="center" wrapText="1"/>
    </xf>
    <xf numFmtId="0" fontId="3" fillId="3" borderId="0" xfId="0" applyFont="1" applyFill="1" applyAlignment="1">
      <alignment horizontal="center" vertical="center"/>
    </xf>
    <xf numFmtId="0" fontId="2" fillId="2" borderId="1" xfId="0" applyFont="1" applyFill="1" applyBorder="1" applyAlignment="1">
      <alignment horizontal="center" vertical="center"/>
    </xf>
    <xf numFmtId="0" fontId="5" fillId="3" borderId="3" xfId="0" applyFont="1" applyFill="1" applyBorder="1" applyAlignment="1">
      <alignment horizontal="left" vertical="center" wrapText="1"/>
    </xf>
    <xf numFmtId="0" fontId="5" fillId="4" borderId="3" xfId="0" applyFont="1" applyFill="1" applyBorder="1" applyAlignment="1">
      <alignment horizontal="left" vertical="center" wrapText="1"/>
    </xf>
    <xf numFmtId="0" fontId="3" fillId="3" borderId="0" xfId="0" applyFont="1" applyFill="1" applyAlignment="1">
      <alignment horizontal="center" vertical="center" wrapText="1"/>
    </xf>
    <xf numFmtId="0" fontId="2" fillId="2" borderId="1" xfId="0" applyFont="1" applyFill="1" applyBorder="1" applyAlignment="1">
      <alignment horizontal="center" vertical="center" wrapText="1"/>
    </xf>
    <xf numFmtId="0" fontId="4" fillId="2" borderId="6" xfId="0" applyFont="1" applyFill="1" applyBorder="1" applyAlignment="1">
      <alignment horizontal="center" vertical="center"/>
    </xf>
    <xf numFmtId="0" fontId="7" fillId="4" borderId="7" xfId="0" applyFont="1" applyFill="1" applyBorder="1" applyAlignment="1">
      <alignment horizontal="left" vertical="center"/>
    </xf>
    <xf numFmtId="0" fontId="0" fillId="4" borderId="7" xfId="0" applyFill="1" applyBorder="1"/>
    <xf numFmtId="164" fontId="8" fillId="5" borderId="8" xfId="0" applyNumberFormat="1" applyFont="1" applyFill="1" applyBorder="1" applyAlignment="1">
      <alignment horizontal="center" vertical="center"/>
    </xf>
    <xf numFmtId="0" fontId="0" fillId="3" borderId="7" xfId="0" applyFill="1" applyBorder="1"/>
    <xf numFmtId="0" fontId="7" fillId="3" borderId="7" xfId="0" applyFont="1" applyFill="1" applyBorder="1" applyAlignment="1">
      <alignment horizontal="left" vertical="center"/>
    </xf>
    <xf numFmtId="165" fontId="8" fillId="5" borderId="8" xfId="0" applyNumberFormat="1" applyFont="1" applyFill="1" applyBorder="1" applyAlignment="1">
      <alignment horizontal="center" vertical="center"/>
    </xf>
    <xf numFmtId="2" fontId="8" fillId="5" borderId="8" xfId="0" applyNumberFormat="1" applyFont="1" applyFill="1" applyBorder="1" applyAlignment="1">
      <alignment horizontal="center" vertical="center"/>
    </xf>
    <xf numFmtId="0" fontId="9" fillId="4" borderId="7" xfId="0" applyFont="1" applyFill="1" applyBorder="1" applyAlignment="1">
      <alignment horizontal="left" vertical="center"/>
    </xf>
    <xf numFmtId="0" fontId="10" fillId="6" borderId="8" xfId="0" applyFont="1" applyFill="1" applyBorder="1" applyAlignment="1">
      <alignment horizontal="center" vertical="center"/>
    </xf>
    <xf numFmtId="0" fontId="11" fillId="4" borderId="7" xfId="0" applyFont="1" applyFill="1" applyBorder="1" applyAlignment="1">
      <alignment horizontal="left" vertical="center"/>
    </xf>
    <xf numFmtId="164" fontId="10" fillId="6" borderId="8" xfId="0" applyNumberFormat="1" applyFont="1" applyFill="1" applyBorder="1" applyAlignment="1">
      <alignment horizontal="center" vertical="center"/>
    </xf>
    <xf numFmtId="0" fontId="14" fillId="2" borderId="6" xfId="0" applyFont="1" applyFill="1" applyBorder="1" applyAlignment="1">
      <alignment horizontal="center" vertical="center" wrapText="1"/>
    </xf>
    <xf numFmtId="0" fontId="15" fillId="8" borderId="7" xfId="0" applyFont="1" applyFill="1" applyBorder="1" applyAlignment="1">
      <alignment horizontal="center" vertical="center"/>
    </xf>
    <xf numFmtId="0" fontId="10" fillId="6" borderId="8" xfId="0" applyFont="1" applyFill="1" applyBorder="1" applyAlignment="1">
      <alignment horizontal="left" vertical="center" wrapText="1"/>
    </xf>
    <xf numFmtId="165" fontId="11" fillId="5" borderId="8" xfId="0" applyNumberFormat="1" applyFont="1" applyFill="1" applyBorder="1" applyAlignment="1">
      <alignment horizontal="center" vertical="center"/>
    </xf>
    <xf numFmtId="2" fontId="10" fillId="6" borderId="8" xfId="0" applyNumberFormat="1" applyFont="1" applyFill="1" applyBorder="1" applyAlignment="1">
      <alignment horizontal="center" vertical="center"/>
    </xf>
    <xf numFmtId="1" fontId="10" fillId="6" borderId="8" xfId="0" applyNumberFormat="1" applyFont="1" applyFill="1" applyBorder="1" applyAlignment="1">
      <alignment horizontal="center" vertical="center"/>
    </xf>
    <xf numFmtId="164" fontId="16" fillId="5" borderId="12" xfId="0" applyNumberFormat="1" applyFont="1" applyFill="1" applyBorder="1" applyAlignment="1">
      <alignment horizontal="center" vertical="center"/>
    </xf>
    <xf numFmtId="165" fontId="17" fillId="5" borderId="12" xfId="0" applyNumberFormat="1" applyFont="1" applyFill="1" applyBorder="1" applyAlignment="1">
      <alignment horizontal="center" vertical="center"/>
    </xf>
    <xf numFmtId="2" fontId="17" fillId="5" borderId="12" xfId="0" applyNumberFormat="1" applyFont="1" applyFill="1" applyBorder="1" applyAlignment="1">
      <alignment horizontal="center" vertical="center"/>
    </xf>
    <xf numFmtId="0" fontId="18" fillId="8" borderId="7" xfId="0" applyFont="1" applyFill="1" applyBorder="1" applyAlignment="1">
      <alignment horizontal="left" vertical="center"/>
    </xf>
    <xf numFmtId="0" fontId="9" fillId="4" borderId="7" xfId="0" applyFont="1" applyFill="1" applyBorder="1" applyAlignment="1">
      <alignment horizontal="left" vertical="center" wrapText="1"/>
    </xf>
    <xf numFmtId="0" fontId="12" fillId="6" borderId="8" xfId="0" applyFont="1" applyFill="1" applyBorder="1" applyAlignment="1">
      <alignment horizontal="center" vertical="center"/>
    </xf>
    <xf numFmtId="0" fontId="15" fillId="5" borderId="8" xfId="0" applyFont="1" applyFill="1" applyBorder="1" applyAlignment="1">
      <alignment horizontal="center" vertical="center"/>
    </xf>
    <xf numFmtId="0" fontId="15" fillId="8" borderId="8" xfId="0" applyFont="1" applyFill="1" applyBorder="1" applyAlignment="1">
      <alignment horizontal="center" vertical="center"/>
    </xf>
    <xf numFmtId="0" fontId="21" fillId="10" borderId="8" xfId="0" applyFont="1" applyFill="1" applyBorder="1" applyAlignment="1">
      <alignment horizontal="center" vertical="center"/>
    </xf>
    <xf numFmtId="0" fontId="22" fillId="11" borderId="8" xfId="0" applyFont="1" applyFill="1" applyBorder="1" applyAlignment="1">
      <alignment horizontal="center" vertical="center"/>
    </xf>
    <xf numFmtId="0" fontId="0" fillId="0" borderId="0" xfId="0" applyAlignment="1">
      <alignment wrapText="1"/>
    </xf>
    <xf numFmtId="0" fontId="4" fillId="2" borderId="2" xfId="0" applyFont="1" applyFill="1" applyBorder="1" applyAlignment="1">
      <alignment horizontal="left" vertical="center" wrapText="1"/>
    </xf>
    <xf numFmtId="0" fontId="4" fillId="2" borderId="4" xfId="0" applyFont="1" applyFill="1" applyBorder="1" applyAlignment="1">
      <alignment horizontal="left" vertical="center" wrapText="1"/>
    </xf>
    <xf numFmtId="0" fontId="28" fillId="21" borderId="15" xfId="0" applyFont="1" applyFill="1" applyBorder="1" applyAlignment="1">
      <alignment horizontal="center" vertical="center" wrapText="1"/>
    </xf>
    <xf numFmtId="0" fontId="28" fillId="21" borderId="16" xfId="0" applyFont="1" applyFill="1" applyBorder="1" applyAlignment="1">
      <alignment horizontal="center" vertical="center" wrapText="1"/>
    </xf>
    <xf numFmtId="0" fontId="28" fillId="21" borderId="17" xfId="0" applyFont="1" applyFill="1" applyBorder="1" applyAlignment="1">
      <alignment horizontal="center" vertical="center" wrapText="1"/>
    </xf>
    <xf numFmtId="0" fontId="29" fillId="22" borderId="19" xfId="0" applyFont="1" applyFill="1" applyBorder="1" applyAlignment="1">
      <alignment vertical="top" wrapText="1"/>
    </xf>
    <xf numFmtId="0" fontId="29" fillId="22" borderId="22" xfId="0" applyFont="1" applyFill="1" applyBorder="1" applyAlignment="1">
      <alignment vertical="top" wrapText="1"/>
    </xf>
    <xf numFmtId="0" fontId="29" fillId="22" borderId="25" xfId="0" applyFont="1" applyFill="1" applyBorder="1" applyAlignment="1">
      <alignment vertical="top" wrapText="1"/>
    </xf>
    <xf numFmtId="0" fontId="29" fillId="23" borderId="18" xfId="0" applyFont="1" applyFill="1" applyBorder="1" applyAlignment="1">
      <alignment vertical="top" wrapText="1"/>
    </xf>
    <xf numFmtId="0" fontId="29" fillId="23" borderId="19" xfId="0" applyFont="1" applyFill="1" applyBorder="1" applyAlignment="1">
      <alignment vertical="top" wrapText="1"/>
    </xf>
    <xf numFmtId="0" fontId="29" fillId="23" borderId="21" xfId="0" applyFont="1" applyFill="1" applyBorder="1" applyAlignment="1">
      <alignment vertical="top" wrapText="1"/>
    </xf>
    <xf numFmtId="0" fontId="29" fillId="23" borderId="22" xfId="0" applyFont="1" applyFill="1" applyBorder="1" applyAlignment="1">
      <alignment vertical="top" wrapText="1"/>
    </xf>
    <xf numFmtId="0" fontId="29" fillId="23" borderId="24" xfId="0" applyFont="1" applyFill="1" applyBorder="1" applyAlignment="1">
      <alignment vertical="top" wrapText="1"/>
    </xf>
    <xf numFmtId="0" fontId="29" fillId="23" borderId="25" xfId="0" applyFont="1" applyFill="1" applyBorder="1" applyAlignment="1">
      <alignment vertical="top" wrapText="1"/>
    </xf>
    <xf numFmtId="0" fontId="29" fillId="24" borderId="19" xfId="0" applyFont="1" applyFill="1" applyBorder="1" applyAlignment="1">
      <alignment vertical="top" wrapText="1"/>
    </xf>
    <xf numFmtId="0" fontId="29" fillId="24" borderId="20" xfId="0" applyFont="1" applyFill="1" applyBorder="1" applyAlignment="1">
      <alignment vertical="top" wrapText="1"/>
    </xf>
    <xf numFmtId="0" fontId="29" fillId="24" borderId="22" xfId="0" applyFont="1" applyFill="1" applyBorder="1" applyAlignment="1">
      <alignment vertical="top" wrapText="1"/>
    </xf>
    <xf numFmtId="0" fontId="29" fillId="24" borderId="23" xfId="0" applyFont="1" applyFill="1" applyBorder="1" applyAlignment="1">
      <alignment vertical="top" wrapText="1"/>
    </xf>
    <xf numFmtId="0" fontId="29" fillId="24" borderId="25" xfId="0" applyFont="1" applyFill="1" applyBorder="1" applyAlignment="1">
      <alignment vertical="top" wrapText="1"/>
    </xf>
    <xf numFmtId="0" fontId="29" fillId="24" borderId="26" xfId="0" applyFont="1" applyFill="1" applyBorder="1" applyAlignment="1">
      <alignment vertical="top" wrapText="1"/>
    </xf>
    <xf numFmtId="164" fontId="29" fillId="23" borderId="19" xfId="0" applyNumberFormat="1" applyFont="1" applyFill="1" applyBorder="1" applyAlignment="1">
      <alignment vertical="top" wrapText="1"/>
    </xf>
    <xf numFmtId="164" fontId="29" fillId="23" borderId="22" xfId="0" applyNumberFormat="1" applyFont="1" applyFill="1" applyBorder="1" applyAlignment="1">
      <alignment vertical="top" wrapText="1"/>
    </xf>
    <xf numFmtId="164" fontId="29" fillId="23" borderId="25" xfId="0" applyNumberFormat="1" applyFont="1" applyFill="1" applyBorder="1" applyAlignment="1">
      <alignment vertical="top" wrapText="1"/>
    </xf>
    <xf numFmtId="166" fontId="29" fillId="23" borderId="19" xfId="0" applyNumberFormat="1" applyFont="1" applyFill="1" applyBorder="1" applyAlignment="1">
      <alignment vertical="top" wrapText="1"/>
    </xf>
    <xf numFmtId="166" fontId="29" fillId="23" borderId="22" xfId="0" applyNumberFormat="1" applyFont="1" applyFill="1" applyBorder="1" applyAlignment="1">
      <alignment vertical="top" wrapText="1"/>
    </xf>
    <xf numFmtId="166" fontId="29" fillId="23" borderId="25" xfId="0" applyNumberFormat="1" applyFont="1" applyFill="1" applyBorder="1" applyAlignment="1">
      <alignment vertical="top" wrapText="1"/>
    </xf>
    <xf numFmtId="166" fontId="29" fillId="22" borderId="19" xfId="0" applyNumberFormat="1" applyFont="1" applyFill="1" applyBorder="1" applyAlignment="1">
      <alignment vertical="top" wrapText="1"/>
    </xf>
    <xf numFmtId="166" fontId="29" fillId="22" borderId="22" xfId="0" applyNumberFormat="1" applyFont="1" applyFill="1" applyBorder="1" applyAlignment="1">
      <alignment vertical="top" wrapText="1"/>
    </xf>
    <xf numFmtId="166" fontId="29" fillId="22" borderId="25" xfId="0" applyNumberFormat="1" applyFont="1" applyFill="1" applyBorder="1" applyAlignment="1">
      <alignment vertical="top" wrapText="1"/>
    </xf>
    <xf numFmtId="0" fontId="20" fillId="2" borderId="2" xfId="0" applyFont="1" applyFill="1" applyBorder="1" applyAlignment="1">
      <alignment horizontal="left" vertical="center"/>
    </xf>
    <xf numFmtId="0" fontId="3" fillId="7" borderId="14" xfId="0" applyFont="1" applyFill="1" applyBorder="1" applyAlignment="1">
      <alignment horizontal="left" vertical="center"/>
    </xf>
    <xf numFmtId="0" fontId="5" fillId="3" borderId="3" xfId="0" applyFont="1" applyFill="1" applyBorder="1" applyAlignment="1">
      <alignment horizontal="left" vertical="center"/>
    </xf>
    <xf numFmtId="0" fontId="23" fillId="12" borderId="0" xfId="0" applyFont="1" applyFill="1" applyAlignment="1">
      <alignment vertical="center"/>
    </xf>
    <xf numFmtId="0" fontId="24" fillId="13" borderId="0" xfId="0" applyFont="1" applyFill="1" applyAlignment="1">
      <alignment vertical="center"/>
    </xf>
    <xf numFmtId="0" fontId="25" fillId="14" borderId="0" xfId="0" applyFont="1" applyFill="1" applyAlignment="1">
      <alignment vertical="center" wrapText="1"/>
    </xf>
    <xf numFmtId="0" fontId="26" fillId="15" borderId="0" xfId="0" applyFont="1" applyFill="1" applyAlignment="1">
      <alignment vertical="center" wrapText="1"/>
    </xf>
    <xf numFmtId="0" fontId="27" fillId="16" borderId="0" xfId="0" applyFont="1" applyFill="1" applyAlignment="1">
      <alignment vertical="center" wrapText="1"/>
    </xf>
    <xf numFmtId="0" fontId="28" fillId="17" borderId="0" xfId="0" applyFont="1" applyFill="1" applyAlignment="1">
      <alignment horizontal="center" vertical="center"/>
    </xf>
    <xf numFmtId="0" fontId="28" fillId="18" borderId="0" xfId="0" applyFont="1" applyFill="1" applyAlignment="1">
      <alignment horizontal="center" vertical="center"/>
    </xf>
    <xf numFmtId="0" fontId="28" fillId="19" borderId="0" xfId="0" applyFont="1" applyFill="1" applyAlignment="1">
      <alignment horizontal="center" vertical="center"/>
    </xf>
    <xf numFmtId="0" fontId="28" fillId="20" borderId="0" xfId="0" applyFont="1" applyFill="1" applyAlignment="1">
      <alignment horizontal="center" vertical="center"/>
    </xf>
    <xf numFmtId="0" fontId="30" fillId="25" borderId="0" xfId="0" applyFont="1" applyFill="1" applyAlignment="1">
      <alignment vertical="center" wrapText="1"/>
    </xf>
  </cellXfs>
  <cellStyles count="6">
    <cellStyle name="Comma" xfId="1" xr:uid="{00000000-0005-0000-0000-000001000000}"/>
    <cellStyle name="Comma [0]" xfId="2" xr:uid="{00000000-0005-0000-0000-000002000000}"/>
    <cellStyle name="Currency" xfId="3" xr:uid="{00000000-0005-0000-0000-000003000000}"/>
    <cellStyle name="Currency [0]" xfId="4" xr:uid="{00000000-0005-0000-0000-000004000000}"/>
    <cellStyle name="Normal" xfId="0" builtinId="0"/>
    <cellStyle name="Percent" xfId="5" xr:uid="{00000000-0005-0000-0000-000005000000}"/>
  </cellStyles>
  <dxfs count="18">
    <dxf>
      <font>
        <b/>
        <color rgb="FF155724"/>
        <name val="Arial"/>
      </font>
      <fill>
        <patternFill>
          <bgColor rgb="FFD4EDDA"/>
        </patternFill>
      </fill>
    </dxf>
    <dxf>
      <font>
        <b/>
        <color rgb="FF721C24"/>
        <name val="Arial"/>
      </font>
      <fill>
        <patternFill>
          <bgColor rgb="FFF8D7DA"/>
        </patternFill>
      </fill>
    </dxf>
    <dxf>
      <font>
        <b/>
        <color rgb="FF721C24"/>
        <name val="Arial"/>
      </font>
      <fill>
        <patternFill>
          <bgColor rgb="FFF8D7DA"/>
        </patternFill>
      </fill>
    </dxf>
    <dxf>
      <font>
        <b/>
        <color rgb="FF155724"/>
        <name val="Arial"/>
      </font>
      <fill>
        <patternFill>
          <bgColor rgb="FFD4EDDA"/>
        </patternFill>
      </fill>
    </dxf>
    <dxf>
      <font>
        <b/>
        <color rgb="FF155724"/>
        <name val="Arial"/>
      </font>
      <fill>
        <patternFill>
          <bgColor rgb="FFD4EDDA"/>
        </patternFill>
      </fill>
    </dxf>
    <dxf>
      <font>
        <b/>
        <color rgb="FF721C24"/>
        <name val="Arial"/>
      </font>
      <fill>
        <patternFill>
          <bgColor rgb="FFF8D7DA"/>
        </patternFill>
      </fill>
    </dxf>
    <dxf>
      <font>
        <b/>
        <color rgb="FF721C24"/>
        <name val="Arial"/>
      </font>
      <fill>
        <patternFill>
          <bgColor rgb="FFF8D7DA"/>
        </patternFill>
      </fill>
    </dxf>
    <dxf>
      <font>
        <b/>
        <color rgb="FF155724"/>
        <name val="Arial"/>
      </font>
      <fill>
        <patternFill>
          <bgColor rgb="FFD4EDDA"/>
        </patternFill>
      </fill>
    </dxf>
    <dxf>
      <font>
        <b/>
        <color rgb="FF155724"/>
        <name val="Arial"/>
      </font>
      <fill>
        <patternFill>
          <bgColor rgb="FFD4EDDA"/>
        </patternFill>
      </fill>
    </dxf>
    <dxf>
      <font>
        <b/>
        <color rgb="FF721C24"/>
        <name val="Arial"/>
      </font>
      <fill>
        <patternFill>
          <bgColor rgb="FFF8D7DA"/>
        </patternFill>
      </fill>
    </dxf>
    <dxf>
      <font>
        <b/>
        <color rgb="FF721C24"/>
        <name val="Arial"/>
      </font>
      <fill>
        <patternFill>
          <bgColor rgb="FFF8D7DA"/>
        </patternFill>
      </fill>
    </dxf>
    <dxf>
      <font>
        <b/>
        <color rgb="FF155724"/>
        <name val="Arial"/>
      </font>
      <fill>
        <patternFill>
          <bgColor rgb="FFD4EDDA"/>
        </patternFill>
      </fill>
    </dxf>
    <dxf>
      <font>
        <b/>
        <color rgb="FF721C24"/>
        <name val="Arial"/>
      </font>
      <fill>
        <patternFill>
          <bgColor rgb="FFF8D7DA"/>
        </patternFill>
      </fill>
    </dxf>
    <dxf>
      <font>
        <b/>
        <color rgb="FF155724"/>
        <name val="Arial"/>
      </font>
      <fill>
        <patternFill>
          <bgColor rgb="FFD4EDDA"/>
        </patternFill>
      </fill>
    </dxf>
    <dxf>
      <font>
        <b/>
        <color rgb="FF721C24"/>
        <name val="Arial"/>
      </font>
      <fill>
        <patternFill>
          <bgColor rgb="FFF8D7DA"/>
        </patternFill>
      </fill>
    </dxf>
    <dxf>
      <font>
        <b/>
        <color rgb="FF155724"/>
        <name val="Arial"/>
      </font>
      <fill>
        <patternFill>
          <bgColor rgb="FFD4EDDA"/>
        </patternFill>
      </fill>
    </dxf>
    <dxf>
      <font>
        <b/>
        <color rgb="FF721C24"/>
        <name val="Arial"/>
      </font>
      <fill>
        <patternFill>
          <bgColor rgb="FFF8D7DA"/>
        </patternFill>
      </fill>
    </dxf>
    <dxf>
      <font>
        <b/>
        <color rgb="FF155724"/>
        <name val="Arial"/>
      </font>
      <fill>
        <patternFill>
          <bgColor rgb="FFD4EDDA"/>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721C24"/>
      <rgbColor rgb="FF008000"/>
      <rgbColor rgb="FF000080"/>
      <rgbColor rgb="FF856404"/>
      <rgbColor rgb="FF800080"/>
      <rgbColor rgb="FF1F6B3A"/>
      <rgbColor rgb="FFF4F7FB"/>
      <rgbColor rgb="FF808080"/>
      <rgbColor rgb="FF9999FF"/>
      <rgbColor rgb="FF993366"/>
      <rgbColor rgb="FFFFFDE7"/>
      <rgbColor rgb="FFEBF3FA"/>
      <rgbColor rgb="FF660066"/>
      <rgbColor rgb="FFFF8080"/>
      <rgbColor rgb="FF0066CC"/>
      <rgbColor rgb="FFCBD8E8"/>
      <rgbColor rgb="FF000080"/>
      <rgbColor rgb="FFFF00FF"/>
      <rgbColor rgb="FFFFFF00"/>
      <rgbColor rgb="FF00FFFF"/>
      <rgbColor rgb="FF800080"/>
      <rgbColor rgb="FF800000"/>
      <rgbColor rgb="FF008080"/>
      <rgbColor rgb="FF0000FF"/>
      <rgbColor rgb="FF00CCFF"/>
      <rgbColor rgb="FFD6E4F0"/>
      <rgbColor rgb="FFD4EDDA"/>
      <rgbColor rgb="FFFFF3CD"/>
      <rgbColor rgb="FF99CCFF"/>
      <rgbColor rgb="FFFF99CC"/>
      <rgbColor rgb="FFCC99FF"/>
      <rgbColor rgb="FFF8D7DA"/>
      <rgbColor rgb="FF3366FF"/>
      <rgbColor rgb="FF33CCCC"/>
      <rgbColor rgb="FF99CC00"/>
      <rgbColor rgb="FFFFCC00"/>
      <rgbColor rgb="FFFF9900"/>
      <rgbColor rgb="FFFF6600"/>
      <rgbColor rgb="FF5A6A7E"/>
      <rgbColor rgb="FFC9A84C"/>
      <rgbColor rgb="FF003366"/>
      <rgbColor rgb="FF339966"/>
      <rgbColor rgb="FF0A1628"/>
      <rgbColor rgb="FF155724"/>
      <rgbColor rgb="FF8B1A1A"/>
      <rgbColor rgb="FF993366"/>
      <rgbColor rgb="FF1A3A8B"/>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1270000</xdr:colOff>
      <xdr:row>48</xdr:row>
      <xdr:rowOff>177800</xdr:rowOff>
    </xdr:to>
    <xdr:sp macro="" textlink="">
      <xdr:nvSpPr>
        <xdr:cNvPr id="1173" name="Text Box 149" hidden="1">
          <a:extLst>
            <a:ext uri="{FF2B5EF4-FFF2-40B4-BE49-F238E27FC236}">
              <a16:creationId xmlns:a16="http://schemas.microsoft.com/office/drawing/2014/main" id="{0C81D0A9-2FE2-036B-1B10-6A38067D4010}"/>
            </a:ext>
          </a:extLst>
        </xdr:cNvPr>
        <xdr:cNvSpPr txBox="1">
          <a:spLocks noSelect="1" noChangeArrowheads="1"/>
        </xdr:cNvSpPr>
      </xdr:nvSpPr>
      <xdr:spPr bwMode="auto">
        <a:xfrm>
          <a:off x="0" y="0"/>
          <a:ext cx="12700000" cy="12700000"/>
        </a:xfrm>
        <a:prstGeom prst="rect">
          <a:avLst/>
        </a:prstGeom>
        <a:solidFill>
          <a:srgbClr val="FFFFFF"/>
        </a:solidFill>
        <a:ln w="9525">
          <a:solidFill>
            <a:srgbClr val="000000"/>
          </a:solidFill>
          <a:miter lim="800000"/>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1270000</xdr:colOff>
      <xdr:row>48</xdr:row>
      <xdr:rowOff>177800</xdr:rowOff>
    </xdr:to>
    <xdr:sp macro="" textlink="">
      <xdr:nvSpPr>
        <xdr:cNvPr id="2197" name="Text Box 149" hidden="1">
          <a:extLst>
            <a:ext uri="{FF2B5EF4-FFF2-40B4-BE49-F238E27FC236}">
              <a16:creationId xmlns:a16="http://schemas.microsoft.com/office/drawing/2014/main" id="{1E15D90E-0F16-B22E-A3C6-37F0C773106D}"/>
            </a:ext>
          </a:extLst>
        </xdr:cNvPr>
        <xdr:cNvSpPr txBox="1">
          <a:spLocks noSelect="1" noChangeArrowheads="1"/>
        </xdr:cNvSpPr>
      </xdr:nvSpPr>
      <xdr:spPr bwMode="auto">
        <a:xfrm>
          <a:off x="0" y="0"/>
          <a:ext cx="12700000" cy="12700000"/>
        </a:xfrm>
        <a:prstGeom prst="rect">
          <a:avLst/>
        </a:prstGeom>
        <a:solidFill>
          <a:srgbClr val="FFFFFF"/>
        </a:solidFill>
        <a:ln w="9525">
          <a:solidFill>
            <a:srgbClr val="000000"/>
          </a:solidFill>
          <a:miter lim="800000"/>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1270000</xdr:colOff>
      <xdr:row>48</xdr:row>
      <xdr:rowOff>177800</xdr:rowOff>
    </xdr:to>
    <xdr:sp macro="" textlink="">
      <xdr:nvSpPr>
        <xdr:cNvPr id="3221" name="Text Box 149" hidden="1">
          <a:extLst>
            <a:ext uri="{FF2B5EF4-FFF2-40B4-BE49-F238E27FC236}">
              <a16:creationId xmlns:a16="http://schemas.microsoft.com/office/drawing/2014/main" id="{6BF350CA-4F49-102F-E30A-E2FC1372E5A0}"/>
            </a:ext>
          </a:extLst>
        </xdr:cNvPr>
        <xdr:cNvSpPr txBox="1">
          <a:spLocks noSelect="1" noChangeArrowheads="1"/>
        </xdr:cNvSpPr>
      </xdr:nvSpPr>
      <xdr:spPr bwMode="auto">
        <a:xfrm>
          <a:off x="0" y="0"/>
          <a:ext cx="12700000" cy="12700000"/>
        </a:xfrm>
        <a:prstGeom prst="rect">
          <a:avLst/>
        </a:prstGeom>
        <a:solidFill>
          <a:srgbClr val="FFFFFF"/>
        </a:solidFill>
        <a:ln w="9525">
          <a:solidFill>
            <a:srgbClr val="000000"/>
          </a:solidFill>
          <a:miter lim="800000"/>
          <a:headEnd/>
          <a:tailEnd/>
        </a:ln>
      </xdr:spPr>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AD753F0-4989-B640-9625-F9A9A6939702}">
  <we:reference id="wa200010215" version="2.0.0.0" store="en-US" storeType="OMEX"/>
  <we:alternateReferences>
    <we:reference id="WA200010215" version="2.0.0.0" store="" storeType="OMEX"/>
  </we:alternateReferences>
  <we:properties>
    <we:property name="bps.codex_control.document_id" value="&quot;6bbf8ef5-4e15-4dfe-84cf-82fb7b088186&quot;"/>
  </we:properties>
  <we:bindings/>
  <we:snapshot xmlns:r="http://schemas.openxmlformats.org/officeDocument/2006/relationships"/>
</we:webextension>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A1628"/>
  </sheetPr>
  <dimension ref="A1:K42"/>
  <sheetViews>
    <sheetView showGridLines="0" workbookViewId="0"/>
  </sheetViews>
  <sheetFormatPr baseColWidth="10" defaultColWidth="8.6640625" defaultRowHeight="15" x14ac:dyDescent="0.2"/>
  <cols>
    <col min="1" max="1" width="2" customWidth="1"/>
    <col min="2" max="2" width="32" customWidth="1"/>
    <col min="3" max="3" width="52" customWidth="1"/>
    <col min="4" max="4" width="2" customWidth="1"/>
  </cols>
  <sheetData>
    <row r="1" spans="1:11" ht="6" customHeight="1" x14ac:dyDescent="0.2">
      <c r="A1" s="43"/>
      <c r="B1" s="43"/>
      <c r="C1" s="43"/>
      <c r="D1" s="43"/>
      <c r="E1" s="43"/>
      <c r="F1" s="43"/>
      <c r="G1" s="43"/>
      <c r="H1" s="43"/>
      <c r="I1" s="43"/>
      <c r="J1" s="43"/>
      <c r="K1" s="43"/>
    </row>
    <row r="2" spans="1:11" ht="37.5" customHeight="1" x14ac:dyDescent="0.2">
      <c r="A2" s="14" t="s">
        <v>103</v>
      </c>
      <c r="B2" s="14"/>
      <c r="C2" s="14"/>
      <c r="D2" s="43"/>
      <c r="E2" s="43"/>
      <c r="F2" s="43"/>
      <c r="G2" s="43"/>
      <c r="H2" s="43"/>
      <c r="I2" s="43"/>
      <c r="J2" s="43"/>
      <c r="K2" s="43"/>
    </row>
    <row r="3" spans="1:11" ht="18" customHeight="1" x14ac:dyDescent="0.2">
      <c r="A3" s="13" t="s">
        <v>0</v>
      </c>
      <c r="B3" s="13"/>
      <c r="C3" s="13"/>
      <c r="D3" s="43"/>
      <c r="E3" s="43"/>
      <c r="F3" s="43"/>
      <c r="G3" s="43"/>
      <c r="H3" s="43"/>
      <c r="I3" s="43"/>
      <c r="J3" s="43"/>
      <c r="K3" s="43"/>
    </row>
    <row r="4" spans="1:11" ht="7.5" customHeight="1" x14ac:dyDescent="0.2">
      <c r="A4" s="43"/>
      <c r="B4" s="43"/>
      <c r="C4" s="43"/>
      <c r="D4" s="43"/>
      <c r="E4" s="43"/>
      <c r="F4" s="43"/>
      <c r="G4" s="43"/>
      <c r="H4" s="43"/>
      <c r="I4" s="43"/>
      <c r="J4" s="43"/>
      <c r="K4" s="43"/>
    </row>
    <row r="5" spans="1:11" ht="19.5" customHeight="1" x14ac:dyDescent="0.2">
      <c r="A5" s="43"/>
      <c r="B5" s="44" t="s">
        <v>1</v>
      </c>
      <c r="C5" s="43"/>
      <c r="D5" s="43"/>
      <c r="E5" s="43"/>
      <c r="F5" s="43"/>
      <c r="G5" s="43"/>
      <c r="H5" s="43"/>
      <c r="I5" s="43"/>
      <c r="J5" s="43"/>
      <c r="K5" s="43"/>
    </row>
    <row r="6" spans="1:11" ht="45.75" customHeight="1" x14ac:dyDescent="0.2">
      <c r="A6" s="43"/>
      <c r="B6" s="12" t="s">
        <v>104</v>
      </c>
      <c r="C6" s="12"/>
      <c r="D6" s="43"/>
      <c r="E6" s="43"/>
      <c r="F6" s="43"/>
      <c r="G6" s="43"/>
      <c r="H6" s="43"/>
      <c r="I6" s="43"/>
      <c r="J6" s="43"/>
      <c r="K6" s="43"/>
    </row>
    <row r="7" spans="1:11" ht="7.5" customHeight="1" x14ac:dyDescent="0.2">
      <c r="A7" s="43"/>
      <c r="B7" s="43"/>
      <c r="C7" s="43"/>
      <c r="D7" s="43"/>
      <c r="E7" s="43"/>
      <c r="F7" s="43"/>
      <c r="G7" s="43"/>
      <c r="H7" s="43"/>
      <c r="I7" s="43"/>
      <c r="J7" s="43"/>
      <c r="K7" s="43"/>
    </row>
    <row r="8" spans="1:11" ht="19.5" customHeight="1" x14ac:dyDescent="0.2">
      <c r="A8" s="43"/>
      <c r="B8" s="44" t="s">
        <v>105</v>
      </c>
      <c r="C8" s="43"/>
      <c r="D8" s="43"/>
      <c r="E8" s="43"/>
      <c r="F8" s="43"/>
      <c r="G8" s="43"/>
      <c r="H8" s="43"/>
      <c r="I8" s="43"/>
      <c r="J8" s="43"/>
      <c r="K8" s="43"/>
    </row>
    <row r="9" spans="1:11" ht="45.75" customHeight="1" x14ac:dyDescent="0.2">
      <c r="A9" s="43"/>
      <c r="B9" s="12" t="s">
        <v>106</v>
      </c>
      <c r="C9" s="12"/>
      <c r="D9" s="43"/>
      <c r="E9" s="43"/>
      <c r="F9" s="43"/>
      <c r="G9" s="43"/>
      <c r="H9" s="43"/>
      <c r="I9" s="43"/>
      <c r="J9" s="43"/>
      <c r="K9" s="43"/>
    </row>
    <row r="10" spans="1:11" ht="7.5" customHeight="1" x14ac:dyDescent="0.2">
      <c r="A10" s="43"/>
      <c r="B10" s="43"/>
      <c r="C10" s="43"/>
      <c r="D10" s="43"/>
      <c r="E10" s="43"/>
      <c r="F10" s="43"/>
      <c r="G10" s="43"/>
      <c r="H10" s="43"/>
      <c r="I10" s="43"/>
      <c r="J10" s="43"/>
      <c r="K10" s="43"/>
    </row>
    <row r="11" spans="1:11" ht="19.5" customHeight="1" x14ac:dyDescent="0.2">
      <c r="A11" s="43"/>
      <c r="B11" s="44" t="s">
        <v>2</v>
      </c>
      <c r="C11" s="43"/>
      <c r="D11" s="43"/>
      <c r="E11" s="43"/>
      <c r="F11" s="43"/>
      <c r="G11" s="43"/>
      <c r="H11" s="43"/>
      <c r="I11" s="43"/>
      <c r="J11" s="43"/>
      <c r="K11" s="43"/>
    </row>
    <row r="12" spans="1:11" ht="45.75" customHeight="1" x14ac:dyDescent="0.2">
      <c r="A12" s="43"/>
      <c r="B12" s="12" t="s">
        <v>3</v>
      </c>
      <c r="C12" s="12"/>
      <c r="D12" s="43"/>
      <c r="E12" s="43"/>
      <c r="F12" s="43"/>
      <c r="G12" s="43"/>
      <c r="H12" s="43"/>
      <c r="I12" s="43"/>
      <c r="J12" s="43"/>
      <c r="K12" s="43"/>
    </row>
    <row r="13" spans="1:11" ht="7.5" customHeight="1" x14ac:dyDescent="0.2">
      <c r="A13" s="43"/>
      <c r="B13" s="43"/>
      <c r="C13" s="43"/>
      <c r="D13" s="43"/>
      <c r="E13" s="43"/>
      <c r="F13" s="43"/>
      <c r="G13" s="43"/>
      <c r="H13" s="43"/>
      <c r="I13" s="43"/>
      <c r="J13" s="43"/>
      <c r="K13" s="43"/>
    </row>
    <row r="14" spans="1:11" ht="19.5" customHeight="1" x14ac:dyDescent="0.2">
      <c r="A14" s="43"/>
      <c r="B14" s="44" t="s">
        <v>4</v>
      </c>
      <c r="C14" s="43"/>
      <c r="D14" s="43"/>
      <c r="E14" s="43"/>
      <c r="F14" s="43"/>
      <c r="G14" s="43"/>
      <c r="H14" s="43"/>
      <c r="I14" s="43"/>
      <c r="J14" s="43"/>
      <c r="K14" s="43"/>
    </row>
    <row r="15" spans="1:11" ht="45.75" customHeight="1" x14ac:dyDescent="0.2">
      <c r="A15" s="43"/>
      <c r="B15" s="12" t="s">
        <v>5</v>
      </c>
      <c r="C15" s="12"/>
      <c r="D15" s="43"/>
      <c r="E15" s="43"/>
      <c r="F15" s="43"/>
      <c r="G15" s="43"/>
      <c r="H15" s="43"/>
      <c r="I15" s="43"/>
      <c r="J15" s="43"/>
      <c r="K15" s="43"/>
    </row>
    <row r="16" spans="1:11" ht="7.5" customHeight="1" x14ac:dyDescent="0.2">
      <c r="A16" s="43"/>
      <c r="B16" s="43"/>
      <c r="C16" s="43"/>
      <c r="D16" s="43"/>
      <c r="E16" s="43"/>
      <c r="F16" s="43"/>
      <c r="G16" s="43"/>
      <c r="H16" s="43"/>
      <c r="I16" s="43"/>
      <c r="J16" s="43"/>
      <c r="K16" s="43"/>
    </row>
    <row r="17" spans="1:11" ht="19.5" customHeight="1" x14ac:dyDescent="0.2">
      <c r="A17" s="43"/>
      <c r="B17" s="44" t="s">
        <v>6</v>
      </c>
      <c r="C17" s="43"/>
      <c r="D17" s="43"/>
      <c r="E17" s="43"/>
      <c r="F17" s="43"/>
      <c r="G17" s="43"/>
      <c r="H17" s="43"/>
      <c r="I17" s="43"/>
      <c r="J17" s="43"/>
      <c r="K17" s="43"/>
    </row>
    <row r="18" spans="1:11" ht="45.75" customHeight="1" x14ac:dyDescent="0.2">
      <c r="A18" s="43"/>
      <c r="B18" s="12" t="s">
        <v>7</v>
      </c>
      <c r="C18" s="12"/>
      <c r="D18" s="43"/>
      <c r="E18" s="43"/>
      <c r="F18" s="43"/>
      <c r="G18" s="43"/>
      <c r="H18" s="43"/>
      <c r="I18" s="43"/>
      <c r="J18" s="43"/>
      <c r="K18" s="43"/>
    </row>
    <row r="19" spans="1:11" ht="7.5" customHeight="1" x14ac:dyDescent="0.2">
      <c r="A19" s="43"/>
      <c r="B19" s="43"/>
      <c r="C19" s="43"/>
      <c r="D19" s="43"/>
      <c r="E19" s="43"/>
      <c r="F19" s="43"/>
      <c r="G19" s="43"/>
      <c r="H19" s="43"/>
      <c r="I19" s="43"/>
      <c r="J19" s="43"/>
      <c r="K19" s="43"/>
    </row>
    <row r="20" spans="1:11" ht="19.5" customHeight="1" x14ac:dyDescent="0.2">
      <c r="A20" s="43"/>
      <c r="B20" s="44" t="s">
        <v>8</v>
      </c>
      <c r="C20" s="43"/>
      <c r="D20" s="43"/>
      <c r="E20" s="43"/>
      <c r="F20" s="43"/>
      <c r="G20" s="43"/>
      <c r="H20" s="43"/>
      <c r="I20" s="43"/>
      <c r="J20" s="43"/>
      <c r="K20" s="43"/>
    </row>
    <row r="21" spans="1:11" ht="45.75" customHeight="1" x14ac:dyDescent="0.2">
      <c r="A21" s="43"/>
      <c r="B21" s="12" t="s">
        <v>9</v>
      </c>
      <c r="C21" s="12"/>
      <c r="D21" s="43"/>
      <c r="E21" s="43"/>
      <c r="F21" s="43"/>
      <c r="G21" s="43"/>
      <c r="H21" s="43"/>
      <c r="I21" s="43"/>
      <c r="J21" s="43"/>
      <c r="K21" s="43"/>
    </row>
    <row r="22" spans="1:11" ht="7.5" customHeight="1" x14ac:dyDescent="0.2">
      <c r="A22" s="43"/>
      <c r="B22" s="43"/>
      <c r="C22" s="43"/>
      <c r="D22" s="43"/>
      <c r="E22" s="43"/>
      <c r="F22" s="43"/>
      <c r="G22" s="43"/>
      <c r="H22" s="43"/>
      <c r="I22" s="43"/>
      <c r="J22" s="43"/>
      <c r="K22" s="43"/>
    </row>
    <row r="23" spans="1:11" ht="19.5" customHeight="1" x14ac:dyDescent="0.2">
      <c r="A23" s="43"/>
      <c r="B23" s="44" t="s">
        <v>10</v>
      </c>
      <c r="C23" s="43"/>
      <c r="D23" s="43"/>
      <c r="E23" s="43"/>
      <c r="F23" s="43"/>
      <c r="G23" s="43"/>
      <c r="H23" s="43"/>
      <c r="I23" s="43"/>
      <c r="J23" s="43"/>
      <c r="K23" s="43"/>
    </row>
    <row r="24" spans="1:11" ht="45.75" customHeight="1" x14ac:dyDescent="0.2">
      <c r="A24" s="43"/>
      <c r="B24" s="12" t="s">
        <v>107</v>
      </c>
      <c r="C24" s="12"/>
      <c r="D24" s="43"/>
      <c r="E24" s="43"/>
      <c r="F24" s="43"/>
      <c r="G24" s="43"/>
      <c r="H24" s="43"/>
      <c r="I24" s="43"/>
      <c r="J24" s="43"/>
      <c r="K24" s="43"/>
    </row>
    <row r="25" spans="1:11" x14ac:dyDescent="0.2">
      <c r="A25" s="43"/>
      <c r="B25" s="43"/>
      <c r="C25" s="43"/>
      <c r="D25" s="43"/>
      <c r="E25" s="43"/>
      <c r="F25" s="43"/>
      <c r="G25" s="43"/>
      <c r="H25" s="43"/>
      <c r="I25" s="43"/>
      <c r="J25" s="43"/>
      <c r="K25" s="43"/>
    </row>
    <row r="26" spans="1:11" ht="19.5" customHeight="1" x14ac:dyDescent="0.2">
      <c r="A26" s="43"/>
      <c r="B26" s="45" t="s">
        <v>11</v>
      </c>
      <c r="C26" s="43"/>
      <c r="D26" s="43"/>
      <c r="E26" s="43"/>
      <c r="F26" s="43"/>
      <c r="G26" s="43"/>
      <c r="H26" s="43"/>
      <c r="I26" s="43"/>
      <c r="J26" s="43"/>
      <c r="K26" s="43"/>
    </row>
    <row r="27" spans="1:11" ht="18" customHeight="1" x14ac:dyDescent="0.2">
      <c r="A27" s="43"/>
      <c r="B27" s="11" t="s">
        <v>12</v>
      </c>
      <c r="C27" s="11"/>
      <c r="D27" s="43"/>
      <c r="E27" s="43"/>
      <c r="F27" s="43"/>
      <c r="G27" s="43"/>
      <c r="H27" s="43"/>
      <c r="I27" s="43"/>
      <c r="J27" s="43"/>
      <c r="K27" s="43"/>
    </row>
    <row r="28" spans="1:11" ht="18" customHeight="1" x14ac:dyDescent="0.2">
      <c r="A28" s="43"/>
      <c r="B28" s="11" t="s">
        <v>13</v>
      </c>
      <c r="C28" s="11"/>
      <c r="D28" s="43"/>
      <c r="E28" s="43"/>
      <c r="F28" s="43"/>
      <c r="G28" s="43"/>
      <c r="H28" s="43"/>
      <c r="I28" s="43"/>
      <c r="J28" s="43"/>
      <c r="K28" s="43"/>
    </row>
    <row r="29" spans="1:11" ht="18" customHeight="1" x14ac:dyDescent="0.2">
      <c r="A29" s="43"/>
      <c r="B29" s="11" t="s">
        <v>14</v>
      </c>
      <c r="C29" s="11"/>
      <c r="D29" s="43"/>
      <c r="E29" s="43"/>
      <c r="F29" s="43"/>
      <c r="G29" s="43"/>
      <c r="H29" s="43"/>
      <c r="I29" s="43"/>
      <c r="J29" s="43"/>
      <c r="K29" s="43"/>
    </row>
    <row r="30" spans="1:11" ht="18" customHeight="1" x14ac:dyDescent="0.2">
      <c r="A30" s="43"/>
      <c r="B30" s="11" t="s">
        <v>15</v>
      </c>
      <c r="C30" s="11"/>
      <c r="D30" s="43"/>
      <c r="E30" s="43"/>
      <c r="F30" s="43"/>
      <c r="G30" s="43"/>
      <c r="H30" s="43"/>
      <c r="I30" s="43"/>
      <c r="J30" s="43"/>
      <c r="K30" s="43"/>
    </row>
    <row r="31" spans="1:11" ht="18" customHeight="1" x14ac:dyDescent="0.2">
      <c r="A31" s="43"/>
      <c r="B31" s="11" t="s">
        <v>16</v>
      </c>
      <c r="C31" s="11"/>
      <c r="D31" s="43"/>
      <c r="E31" s="43"/>
      <c r="F31" s="43"/>
      <c r="G31" s="43"/>
      <c r="H31" s="43"/>
      <c r="I31" s="43"/>
      <c r="J31" s="43"/>
      <c r="K31" s="43"/>
    </row>
    <row r="32" spans="1:11" ht="18" customHeight="1" x14ac:dyDescent="0.2">
      <c r="A32" s="43"/>
      <c r="B32" s="11" t="s">
        <v>17</v>
      </c>
      <c r="C32" s="11"/>
      <c r="D32" s="43"/>
      <c r="E32" s="43"/>
      <c r="F32" s="43"/>
      <c r="G32" s="43"/>
      <c r="H32" s="43"/>
      <c r="I32" s="43"/>
      <c r="J32" s="43"/>
      <c r="K32" s="43"/>
    </row>
    <row r="33" spans="1:11" ht="18" customHeight="1" x14ac:dyDescent="0.2">
      <c r="A33" s="43"/>
      <c r="B33" s="11" t="s">
        <v>18</v>
      </c>
      <c r="C33" s="11"/>
      <c r="D33" s="43"/>
      <c r="E33" s="43"/>
      <c r="F33" s="43"/>
      <c r="G33" s="43"/>
      <c r="H33" s="43"/>
      <c r="I33" s="43"/>
      <c r="J33" s="43"/>
      <c r="K33" s="43"/>
    </row>
    <row r="34" spans="1:11" ht="18" customHeight="1" x14ac:dyDescent="0.2">
      <c r="A34" s="43"/>
      <c r="B34" s="11" t="s">
        <v>19</v>
      </c>
      <c r="C34" s="11"/>
      <c r="D34" s="43"/>
      <c r="E34" s="43"/>
      <c r="F34" s="43"/>
      <c r="G34" s="43"/>
      <c r="H34" s="43"/>
      <c r="I34" s="43"/>
      <c r="J34" s="43"/>
      <c r="K34" s="43"/>
    </row>
    <row r="35" spans="1:11" ht="18" customHeight="1" x14ac:dyDescent="0.2">
      <c r="A35" s="43"/>
      <c r="B35" s="11" t="s">
        <v>20</v>
      </c>
      <c r="C35" s="11"/>
      <c r="D35" s="43"/>
      <c r="E35" s="43"/>
      <c r="F35" s="43"/>
      <c r="G35" s="43"/>
      <c r="H35" s="43"/>
      <c r="I35" s="43"/>
      <c r="J35" s="43"/>
      <c r="K35" s="43"/>
    </row>
    <row r="36" spans="1:11" ht="18" customHeight="1" x14ac:dyDescent="0.2">
      <c r="A36" s="43"/>
      <c r="B36" s="11" t="s">
        <v>21</v>
      </c>
      <c r="C36" s="11"/>
      <c r="D36" s="43"/>
      <c r="E36" s="43"/>
      <c r="F36" s="43"/>
      <c r="G36" s="43"/>
      <c r="H36" s="43"/>
      <c r="I36" s="43"/>
      <c r="J36" s="43"/>
      <c r="K36" s="43"/>
    </row>
    <row r="37" spans="1:11" ht="18" customHeight="1" x14ac:dyDescent="0.2">
      <c r="A37" s="43"/>
      <c r="B37" s="11" t="s">
        <v>22</v>
      </c>
      <c r="C37" s="11"/>
      <c r="D37" s="43"/>
      <c r="E37" s="43"/>
      <c r="F37" s="43"/>
      <c r="G37" s="43"/>
      <c r="H37" s="43"/>
      <c r="I37" s="43"/>
      <c r="J37" s="43"/>
      <c r="K37" s="43"/>
    </row>
    <row r="38" spans="1:11" ht="60" customHeight="1" x14ac:dyDescent="0.2">
      <c r="A38" s="43"/>
      <c r="B38" s="43" t="s">
        <v>108</v>
      </c>
      <c r="C38" s="43"/>
      <c r="D38" s="43"/>
      <c r="E38" s="43"/>
      <c r="F38" s="43"/>
      <c r="G38" s="43"/>
      <c r="H38" s="43"/>
      <c r="I38" s="43"/>
      <c r="J38" s="43"/>
      <c r="K38" s="43"/>
    </row>
    <row r="39" spans="1:11" ht="60" customHeight="1" x14ac:dyDescent="0.2">
      <c r="A39" s="43"/>
      <c r="B39" s="43" t="s">
        <v>109</v>
      </c>
      <c r="C39" s="43"/>
      <c r="D39" s="43"/>
      <c r="E39" s="43"/>
      <c r="F39" s="43"/>
      <c r="G39" s="43"/>
      <c r="H39" s="43"/>
      <c r="I39" s="43"/>
      <c r="J39" s="43"/>
      <c r="K39" s="43"/>
    </row>
    <row r="40" spans="1:11" ht="60" customHeight="1" x14ac:dyDescent="0.2">
      <c r="A40" s="43"/>
      <c r="B40" s="43" t="s">
        <v>110</v>
      </c>
      <c r="C40" s="43"/>
      <c r="D40" s="43"/>
      <c r="E40" s="43"/>
      <c r="F40" s="43"/>
      <c r="G40" s="43"/>
      <c r="H40" s="43"/>
      <c r="I40" s="43"/>
      <c r="J40" s="43"/>
      <c r="K40" s="43"/>
    </row>
    <row r="41" spans="1:11" ht="60" customHeight="1" x14ac:dyDescent="0.2">
      <c r="A41" s="43"/>
      <c r="B41" s="43" t="s">
        <v>111</v>
      </c>
      <c r="C41" s="43"/>
      <c r="D41" s="43"/>
      <c r="E41" s="43"/>
      <c r="F41" s="43"/>
      <c r="G41" s="43"/>
      <c r="H41" s="43"/>
      <c r="I41" s="43"/>
      <c r="J41" s="43"/>
      <c r="K41" s="43"/>
    </row>
    <row r="42" spans="1:11" x14ac:dyDescent="0.2">
      <c r="A42" s="43"/>
      <c r="B42" s="43"/>
      <c r="C42" s="43"/>
      <c r="D42" s="43"/>
      <c r="E42" s="43"/>
      <c r="F42" s="43"/>
      <c r="G42" s="43"/>
      <c r="H42" s="43"/>
      <c r="I42" s="43"/>
      <c r="J42" s="43"/>
      <c r="K42" s="43"/>
    </row>
  </sheetData>
  <mergeCells count="20">
    <mergeCell ref="B33:C33"/>
    <mergeCell ref="B34:C34"/>
    <mergeCell ref="B35:C35"/>
    <mergeCell ref="B36:C36"/>
    <mergeCell ref="B37:C37"/>
    <mergeCell ref="B28:C28"/>
    <mergeCell ref="B29:C29"/>
    <mergeCell ref="B30:C30"/>
    <mergeCell ref="B31:C31"/>
    <mergeCell ref="B32:C32"/>
    <mergeCell ref="B15:C15"/>
    <mergeCell ref="B18:C18"/>
    <mergeCell ref="B21:C21"/>
    <mergeCell ref="B24:C24"/>
    <mergeCell ref="B27:C27"/>
    <mergeCell ref="A2:C2"/>
    <mergeCell ref="A3:C3"/>
    <mergeCell ref="B6:C6"/>
    <mergeCell ref="B9:C9"/>
    <mergeCell ref="B12:C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9A84C"/>
  </sheetPr>
  <dimension ref="A1:I11"/>
  <sheetViews>
    <sheetView showGridLines="0" workbookViewId="0"/>
  </sheetViews>
  <sheetFormatPr baseColWidth="10" defaultColWidth="8.6640625" defaultRowHeight="15" x14ac:dyDescent="0.2"/>
  <cols>
    <col min="1" max="1" width="2" customWidth="1"/>
    <col min="2" max="2" width="20" customWidth="1"/>
    <col min="3" max="5" width="16" customWidth="1"/>
    <col min="6" max="9" width="14" customWidth="1"/>
    <col min="10" max="10" width="2" customWidth="1"/>
  </cols>
  <sheetData>
    <row r="1" spans="1:9" ht="6" customHeight="1" x14ac:dyDescent="0.2"/>
    <row r="2" spans="1:9" ht="37.5" customHeight="1" x14ac:dyDescent="0.2">
      <c r="A2" s="10" t="s">
        <v>112</v>
      </c>
      <c r="B2" s="10"/>
      <c r="C2" s="10"/>
      <c r="D2" s="10"/>
      <c r="E2" s="10"/>
      <c r="F2" s="10"/>
      <c r="G2" s="10"/>
      <c r="H2" s="10"/>
      <c r="I2" s="10"/>
    </row>
    <row r="3" spans="1:9" ht="18" customHeight="1" x14ac:dyDescent="0.2">
      <c r="A3" s="9" t="s">
        <v>23</v>
      </c>
      <c r="B3" s="9"/>
      <c r="C3" s="9"/>
      <c r="D3" s="9"/>
      <c r="E3" s="9"/>
      <c r="F3" s="9"/>
      <c r="G3" s="9"/>
      <c r="H3" s="9"/>
      <c r="I3" s="9"/>
    </row>
    <row r="4" spans="1:9" ht="30" customHeight="1" x14ac:dyDescent="0.2">
      <c r="A4" s="8" t="s">
        <v>24</v>
      </c>
      <c r="B4" s="8"/>
      <c r="C4" s="8"/>
      <c r="D4" s="8"/>
      <c r="E4" s="8"/>
      <c r="F4" s="8"/>
      <c r="G4" s="8"/>
      <c r="H4" s="8"/>
      <c r="I4" s="8"/>
    </row>
    <row r="5" spans="1:9" ht="7.5" customHeight="1" x14ac:dyDescent="0.2"/>
    <row r="6" spans="1:9" ht="30" customHeight="1" x14ac:dyDescent="0.2">
      <c r="B6" s="15" t="s">
        <v>25</v>
      </c>
      <c r="D6" s="15" t="s">
        <v>26</v>
      </c>
      <c r="F6" s="15" t="s">
        <v>27</v>
      </c>
      <c r="H6" s="15" t="s">
        <v>28</v>
      </c>
    </row>
    <row r="7" spans="1:9" ht="21.75" customHeight="1" x14ac:dyDescent="0.2">
      <c r="B7" s="16" t="s">
        <v>29</v>
      </c>
      <c r="C7" s="17"/>
      <c r="D7" s="18">
        <f>'Client 1'!G22</f>
        <v>0</v>
      </c>
      <c r="E7" s="17"/>
      <c r="F7" s="18">
        <f>'Client 2'!G22</f>
        <v>0</v>
      </c>
      <c r="G7" s="17"/>
      <c r="H7" s="18">
        <f>'Client 3'!G22</f>
        <v>0</v>
      </c>
      <c r="I7" s="19"/>
    </row>
    <row r="8" spans="1:9" ht="21.75" customHeight="1" x14ac:dyDescent="0.2">
      <c r="B8" s="20" t="s">
        <v>30</v>
      </c>
      <c r="C8" s="19"/>
      <c r="D8" s="21">
        <f>'Client 1'!H22</f>
        <v>0</v>
      </c>
      <c r="E8" s="19"/>
      <c r="F8" s="21">
        <f>'Client 2'!H22</f>
        <v>0</v>
      </c>
      <c r="G8" s="19"/>
      <c r="H8" s="21">
        <f>'Client 3'!H22</f>
        <v>0</v>
      </c>
      <c r="I8" s="19"/>
    </row>
    <row r="9" spans="1:9" ht="21.75" customHeight="1" x14ac:dyDescent="0.2">
      <c r="B9" s="16" t="s">
        <v>31</v>
      </c>
      <c r="C9" s="17"/>
      <c r="D9" s="22" t="str">
        <f>'Client 1'!I22</f>
        <v/>
      </c>
      <c r="E9" s="17"/>
      <c r="F9" s="22" t="str">
        <f>'Client 2'!I22</f>
        <v/>
      </c>
      <c r="G9" s="17"/>
      <c r="H9" s="22" t="str">
        <f>'Client 3'!I22</f>
        <v/>
      </c>
      <c r="I9" s="19"/>
    </row>
    <row r="10" spans="1:9" ht="21.75" customHeight="1" x14ac:dyDescent="0.2">
      <c r="B10" s="20" t="s">
        <v>32</v>
      </c>
      <c r="C10" s="19"/>
      <c r="D10" s="18">
        <f>'Client 1'!G5</f>
        <v>0</v>
      </c>
      <c r="E10" s="19"/>
      <c r="F10" s="18">
        <f>'Client 2'!G5</f>
        <v>0</v>
      </c>
      <c r="G10" s="19"/>
      <c r="H10" s="18">
        <f>'Client 3'!G5</f>
        <v>0</v>
      </c>
      <c r="I10" s="19"/>
    </row>
    <row r="11" spans="1:9" ht="21.75" customHeight="1" x14ac:dyDescent="0.2">
      <c r="B11" s="16" t="s">
        <v>33</v>
      </c>
      <c r="C11" s="17"/>
      <c r="D11" s="18">
        <f>'Client 1'!I5</f>
        <v>0</v>
      </c>
      <c r="E11" s="17"/>
      <c r="F11" s="18">
        <f>'Client 2'!I5</f>
        <v>0</v>
      </c>
      <c r="G11" s="17"/>
      <c r="H11" s="18">
        <f>'Client 3'!I5</f>
        <v>0</v>
      </c>
      <c r="I11" s="19"/>
    </row>
  </sheetData>
  <mergeCells count="3">
    <mergeCell ref="A2:I2"/>
    <mergeCell ref="A3:I3"/>
    <mergeCell ref="A4:I4"/>
  </mergeCells>
  <conditionalFormatting sqref="D7">
    <cfRule type="cellIs" dxfId="17" priority="2" operator="equal">
      <formula>1</formula>
    </cfRule>
    <cfRule type="cellIs" dxfId="16" priority="3" operator="notEqual">
      <formula>1</formula>
    </cfRule>
  </conditionalFormatting>
  <conditionalFormatting sqref="F7">
    <cfRule type="cellIs" dxfId="15" priority="4" operator="equal">
      <formula>1</formula>
    </cfRule>
    <cfRule type="cellIs" dxfId="14" priority="5" operator="notEqual">
      <formula>1</formula>
    </cfRule>
  </conditionalFormatting>
  <conditionalFormatting sqref="H7">
    <cfRule type="cellIs" dxfId="13" priority="6" operator="equal">
      <formula>1</formula>
    </cfRule>
    <cfRule type="cellIs" dxfId="12" priority="7" operator="notEqual">
      <formula>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6B3A"/>
  </sheetPr>
  <dimension ref="A1:M97"/>
  <sheetViews>
    <sheetView showGridLines="0" workbookViewId="0">
      <selection activeCell="I23" sqref="I23"/>
    </sheetView>
  </sheetViews>
  <sheetFormatPr baseColWidth="10" defaultColWidth="8.6640625" defaultRowHeight="15" x14ac:dyDescent="0.2"/>
  <cols>
    <col min="1" max="1" width="2" customWidth="1"/>
    <col min="2" max="2" width="5" customWidth="1"/>
    <col min="3" max="3" width="10" customWidth="1"/>
    <col min="4" max="4" width="28" customWidth="1"/>
    <col min="5" max="6" width="18" customWidth="1"/>
    <col min="7" max="7" width="10" customWidth="1"/>
    <col min="8" max="8" width="14" customWidth="1"/>
    <col min="9" max="9" width="9" customWidth="1"/>
    <col min="10" max="10" width="14" customWidth="1"/>
    <col min="11" max="11" width="22" customWidth="1"/>
    <col min="12" max="12" width="24" customWidth="1"/>
    <col min="13" max="13" width="2" customWidth="1"/>
  </cols>
  <sheetData>
    <row r="1" spans="1:13" ht="6" customHeight="1" x14ac:dyDescent="0.2"/>
    <row r="2" spans="1:13" ht="37.5" customHeight="1" x14ac:dyDescent="0.2">
      <c r="A2" s="10" t="s">
        <v>113</v>
      </c>
      <c r="B2" s="10"/>
      <c r="C2" s="10"/>
      <c r="D2" s="10"/>
      <c r="E2" s="10"/>
      <c r="F2" s="10"/>
      <c r="G2" s="10"/>
      <c r="H2" s="10"/>
      <c r="I2" s="10"/>
      <c r="J2" s="10"/>
      <c r="K2" s="10"/>
      <c r="L2" s="10"/>
      <c r="M2" s="10"/>
    </row>
    <row r="3" spans="1:13" ht="18" customHeight="1" x14ac:dyDescent="0.2">
      <c r="A3" s="9" t="s">
        <v>114</v>
      </c>
      <c r="B3" s="9"/>
      <c r="C3" s="9"/>
      <c r="D3" s="9"/>
      <c r="E3" s="9"/>
      <c r="F3" s="9"/>
      <c r="G3" s="9"/>
      <c r="H3" s="9"/>
      <c r="I3" s="9"/>
      <c r="J3" s="9"/>
      <c r="K3" s="9"/>
      <c r="L3" s="9"/>
      <c r="M3" s="9"/>
    </row>
    <row r="4" spans="1:13" ht="6" customHeight="1" x14ac:dyDescent="0.2"/>
    <row r="5" spans="1:13" ht="21.75" customHeight="1" x14ac:dyDescent="0.2">
      <c r="B5" s="23" t="s">
        <v>34</v>
      </c>
      <c r="C5" s="24"/>
      <c r="D5" s="25"/>
      <c r="F5" s="23" t="s">
        <v>35</v>
      </c>
      <c r="G5" s="26"/>
      <c r="H5" s="23" t="s">
        <v>36</v>
      </c>
      <c r="I5" s="26"/>
      <c r="J5" s="23" t="s">
        <v>37</v>
      </c>
      <c r="K5" s="7"/>
      <c r="L5" s="7"/>
    </row>
    <row r="6" spans="1:13" ht="6" customHeight="1" x14ac:dyDescent="0.2"/>
    <row r="7" spans="1:13" ht="30" customHeight="1" x14ac:dyDescent="0.2">
      <c r="A7" s="6" t="s">
        <v>38</v>
      </c>
      <c r="B7" s="6"/>
      <c r="C7" s="6"/>
      <c r="D7" s="6"/>
      <c r="E7" s="6"/>
      <c r="F7" s="6"/>
      <c r="G7" s="6"/>
      <c r="H7" s="6"/>
      <c r="I7" s="6"/>
      <c r="J7" s="6"/>
      <c r="K7" s="6"/>
      <c r="L7" s="6"/>
      <c r="M7" s="6"/>
    </row>
    <row r="8" spans="1:13" ht="7.5" customHeight="1" x14ac:dyDescent="0.2"/>
    <row r="9" spans="1:13" ht="19.5" customHeight="1" x14ac:dyDescent="0.2">
      <c r="A9" s="5" t="s">
        <v>39</v>
      </c>
      <c r="B9" s="5"/>
      <c r="C9" s="5"/>
      <c r="D9" s="5"/>
      <c r="E9" s="5"/>
      <c r="F9" s="5"/>
      <c r="G9" s="5"/>
      <c r="H9" s="5"/>
      <c r="I9" s="5"/>
      <c r="J9" s="5"/>
      <c r="K9" s="5"/>
      <c r="L9" s="5"/>
      <c r="M9" s="5"/>
    </row>
    <row r="10" spans="1:13" ht="30" customHeight="1" x14ac:dyDescent="0.2">
      <c r="A10" s="8" t="s">
        <v>40</v>
      </c>
      <c r="B10" s="8"/>
      <c r="C10" s="8"/>
      <c r="D10" s="8"/>
      <c r="E10" s="8"/>
      <c r="F10" s="8"/>
      <c r="G10" s="8"/>
      <c r="H10" s="8"/>
      <c r="I10" s="8"/>
      <c r="J10" s="8"/>
      <c r="K10" s="8"/>
      <c r="L10" s="8"/>
      <c r="M10" s="8"/>
    </row>
    <row r="11" spans="1:13" ht="36" customHeight="1" x14ac:dyDescent="0.2">
      <c r="B11" s="27" t="s">
        <v>41</v>
      </c>
      <c r="C11" s="27" t="s">
        <v>42</v>
      </c>
      <c r="D11" s="27" t="s">
        <v>43</v>
      </c>
      <c r="E11" s="27" t="s">
        <v>44</v>
      </c>
      <c r="F11" s="27" t="s">
        <v>45</v>
      </c>
      <c r="G11" s="27" t="s">
        <v>46</v>
      </c>
      <c r="H11" s="27" t="s">
        <v>47</v>
      </c>
      <c r="I11" s="27" t="s">
        <v>48</v>
      </c>
      <c r="J11" s="27" t="s">
        <v>49</v>
      </c>
      <c r="K11" s="27" t="s">
        <v>50</v>
      </c>
      <c r="L11" s="27" t="s">
        <v>51</v>
      </c>
    </row>
    <row r="12" spans="1:13" ht="21.75" customHeight="1" x14ac:dyDescent="0.2">
      <c r="B12" s="28">
        <f>1</f>
        <v>1</v>
      </c>
      <c r="C12" s="24"/>
      <c r="D12" s="29"/>
      <c r="E12" s="24"/>
      <c r="F12" s="24"/>
      <c r="G12" s="26"/>
      <c r="H12" s="30" t="str">
        <f t="shared" ref="H12:H21" si="0">IF(G12&lt;&gt;"",G12*500000,"")</f>
        <v/>
      </c>
      <c r="I12" s="31"/>
      <c r="J12" s="24"/>
      <c r="K12" s="32"/>
      <c r="L12" s="29"/>
    </row>
    <row r="13" spans="1:13" ht="21.75" customHeight="1" x14ac:dyDescent="0.2">
      <c r="B13" s="28">
        <f>2</f>
        <v>2</v>
      </c>
      <c r="C13" s="24"/>
      <c r="D13" s="29"/>
      <c r="E13" s="24"/>
      <c r="F13" s="24"/>
      <c r="G13" s="26"/>
      <c r="H13" s="30" t="str">
        <f t="shared" si="0"/>
        <v/>
      </c>
      <c r="I13" s="31"/>
      <c r="J13" s="24"/>
      <c r="K13" s="32"/>
      <c r="L13" s="29"/>
    </row>
    <row r="14" spans="1:13" ht="21.75" customHeight="1" x14ac:dyDescent="0.2">
      <c r="B14" s="28">
        <f>3</f>
        <v>3</v>
      </c>
      <c r="C14" s="24"/>
      <c r="D14" s="29"/>
      <c r="E14" s="24"/>
      <c r="F14" s="24"/>
      <c r="G14" s="26"/>
      <c r="H14" s="30" t="str">
        <f t="shared" si="0"/>
        <v/>
      </c>
      <c r="I14" s="31"/>
      <c r="J14" s="24"/>
      <c r="K14" s="32"/>
      <c r="L14" s="29"/>
    </row>
    <row r="15" spans="1:13" ht="21.75" customHeight="1" x14ac:dyDescent="0.2">
      <c r="B15" s="28">
        <f>4</f>
        <v>4</v>
      </c>
      <c r="C15" s="24"/>
      <c r="D15" s="29"/>
      <c r="E15" s="24"/>
      <c r="F15" s="24"/>
      <c r="G15" s="26"/>
      <c r="H15" s="30" t="str">
        <f t="shared" si="0"/>
        <v/>
      </c>
      <c r="I15" s="31"/>
      <c r="J15" s="24"/>
      <c r="K15" s="32"/>
      <c r="L15" s="29"/>
    </row>
    <row r="16" spans="1:13" ht="21.75" customHeight="1" x14ac:dyDescent="0.2">
      <c r="B16" s="28">
        <f>5</f>
        <v>5</v>
      </c>
      <c r="C16" s="24"/>
      <c r="D16" s="29"/>
      <c r="E16" s="24"/>
      <c r="F16" s="24"/>
      <c r="G16" s="26"/>
      <c r="H16" s="30" t="str">
        <f t="shared" si="0"/>
        <v/>
      </c>
      <c r="I16" s="31"/>
      <c r="J16" s="24"/>
      <c r="K16" s="32"/>
      <c r="L16" s="29"/>
    </row>
    <row r="17" spans="1:13" ht="21.75" customHeight="1" x14ac:dyDescent="0.2">
      <c r="B17" s="28">
        <f>6</f>
        <v>6</v>
      </c>
      <c r="C17" s="24"/>
      <c r="D17" s="29"/>
      <c r="E17" s="24"/>
      <c r="F17" s="24"/>
      <c r="G17" s="26"/>
      <c r="H17" s="30" t="str">
        <f t="shared" si="0"/>
        <v/>
      </c>
      <c r="I17" s="31"/>
      <c r="J17" s="24"/>
      <c r="K17" s="32"/>
      <c r="L17" s="29"/>
    </row>
    <row r="18" spans="1:13" ht="21.75" customHeight="1" x14ac:dyDescent="0.2">
      <c r="B18" s="28">
        <f>7</f>
        <v>7</v>
      </c>
      <c r="C18" s="24"/>
      <c r="D18" s="29"/>
      <c r="E18" s="24"/>
      <c r="F18" s="24"/>
      <c r="G18" s="26"/>
      <c r="H18" s="30" t="str">
        <f t="shared" si="0"/>
        <v/>
      </c>
      <c r="I18" s="31"/>
      <c r="J18" s="24"/>
      <c r="K18" s="32"/>
      <c r="L18" s="29"/>
    </row>
    <row r="19" spans="1:13" ht="21.75" customHeight="1" x14ac:dyDescent="0.2">
      <c r="B19" s="28">
        <f>8</f>
        <v>8</v>
      </c>
      <c r="C19" s="24"/>
      <c r="D19" s="29"/>
      <c r="E19" s="24"/>
      <c r="F19" s="24"/>
      <c r="G19" s="26"/>
      <c r="H19" s="30" t="str">
        <f t="shared" si="0"/>
        <v/>
      </c>
      <c r="I19" s="31"/>
      <c r="J19" s="24"/>
      <c r="K19" s="32"/>
      <c r="L19" s="29"/>
    </row>
    <row r="20" spans="1:13" ht="21.75" customHeight="1" x14ac:dyDescent="0.2">
      <c r="B20" s="28">
        <f>9</f>
        <v>9</v>
      </c>
      <c r="C20" s="24"/>
      <c r="D20" s="29"/>
      <c r="E20" s="24"/>
      <c r="F20" s="24"/>
      <c r="G20" s="26"/>
      <c r="H20" s="30" t="str">
        <f t="shared" si="0"/>
        <v/>
      </c>
      <c r="I20" s="31"/>
      <c r="J20" s="24"/>
      <c r="K20" s="32"/>
      <c r="L20" s="29"/>
    </row>
    <row r="21" spans="1:13" ht="21.75" customHeight="1" x14ac:dyDescent="0.2">
      <c r="B21" s="28">
        <f>10</f>
        <v>10</v>
      </c>
      <c r="C21" s="24"/>
      <c r="D21" s="29"/>
      <c r="E21" s="24"/>
      <c r="F21" s="24"/>
      <c r="G21" s="26"/>
      <c r="H21" s="30" t="str">
        <f t="shared" si="0"/>
        <v/>
      </c>
      <c r="I21" s="31"/>
      <c r="J21" s="24"/>
      <c r="K21" s="32"/>
      <c r="L21" s="29"/>
    </row>
    <row r="22" spans="1:13" ht="21.75" customHeight="1" x14ac:dyDescent="0.2">
      <c r="A22" s="4" t="s">
        <v>52</v>
      </c>
      <c r="B22" s="4"/>
      <c r="C22" s="4"/>
      <c r="D22" s="4"/>
      <c r="E22" s="4"/>
      <c r="F22" s="4"/>
      <c r="G22" s="33">
        <f>IFERROR(SUM(G12:G21),0)</f>
        <v>0</v>
      </c>
      <c r="H22" s="34">
        <f>IFERROR(SUMIF(G12:G21,"&lt;&gt;",H12:H21),0)</f>
        <v>0</v>
      </c>
      <c r="I22" s="35" t="str" cm="1">
        <f t="array" ref="I22">IFERROR(SUMPRODUCT((G12:G21)*IF(ISNUMBER(_xlfn.SINGLE(I12:I21)),I12:I21,0))/IFERROR(SUM(G12:G21),1),"")</f>
        <v/>
      </c>
      <c r="J22" s="36" t="s">
        <v>53</v>
      </c>
      <c r="K22" s="3" t="s">
        <v>54</v>
      </c>
      <c r="L22" s="3"/>
      <c r="M22" s="3"/>
    </row>
    <row r="24" spans="1:13" ht="9.75" customHeight="1" x14ac:dyDescent="0.2"/>
    <row r="25" spans="1:13" ht="19.5" customHeight="1" x14ac:dyDescent="0.2">
      <c r="A25" s="5" t="s">
        <v>55</v>
      </c>
      <c r="B25" s="5"/>
      <c r="C25" s="5"/>
      <c r="D25" s="5"/>
      <c r="E25" s="5"/>
      <c r="F25" s="5"/>
      <c r="G25" s="5"/>
      <c r="H25" s="5"/>
      <c r="I25" s="5"/>
      <c r="J25" s="5"/>
      <c r="K25" s="5"/>
      <c r="L25" s="5"/>
      <c r="M25" s="5"/>
    </row>
    <row r="26" spans="1:13" ht="30" customHeight="1" x14ac:dyDescent="0.2">
      <c r="A26" s="6" t="s">
        <v>56</v>
      </c>
      <c r="B26" s="6"/>
      <c r="C26" s="6"/>
      <c r="D26" s="6"/>
      <c r="E26" s="6"/>
      <c r="F26" s="6"/>
      <c r="G26" s="6"/>
      <c r="H26" s="6"/>
      <c r="I26" s="6"/>
      <c r="J26" s="6"/>
      <c r="K26" s="6"/>
      <c r="L26" s="6"/>
      <c r="M26" s="6"/>
    </row>
    <row r="27" spans="1:13" ht="21.75" customHeight="1" x14ac:dyDescent="0.2">
      <c r="B27" s="23" t="s">
        <v>57</v>
      </c>
      <c r="C27" s="7"/>
      <c r="D27" s="7"/>
      <c r="E27" s="7"/>
      <c r="F27" s="7"/>
      <c r="G27" s="7"/>
      <c r="H27" s="7"/>
      <c r="I27" s="7"/>
      <c r="J27" s="2" t="s">
        <v>58</v>
      </c>
      <c r="K27" s="2"/>
      <c r="L27" s="2"/>
      <c r="M27" s="2"/>
    </row>
    <row r="28" spans="1:13" ht="21.75" customHeight="1" x14ac:dyDescent="0.2">
      <c r="B28" s="23" t="s">
        <v>59</v>
      </c>
      <c r="C28" s="7"/>
      <c r="D28" s="7"/>
      <c r="E28" s="7"/>
      <c r="F28" s="7"/>
      <c r="G28" s="7"/>
      <c r="H28" s="7"/>
      <c r="I28" s="7"/>
      <c r="J28" s="2" t="s">
        <v>60</v>
      </c>
      <c r="K28" s="2"/>
      <c r="L28" s="2"/>
      <c r="M28" s="2"/>
    </row>
    <row r="29" spans="1:13" ht="21.75" customHeight="1" x14ac:dyDescent="0.2">
      <c r="B29" s="23" t="s">
        <v>61</v>
      </c>
      <c r="C29" s="7"/>
      <c r="D29" s="7"/>
      <c r="E29" s="7"/>
      <c r="F29" s="7"/>
      <c r="G29" s="7"/>
      <c r="H29" s="7"/>
      <c r="I29" s="7"/>
      <c r="J29" s="2" t="s">
        <v>62</v>
      </c>
      <c r="K29" s="2"/>
      <c r="L29" s="2"/>
      <c r="M29" s="2"/>
    </row>
    <row r="30" spans="1:13" ht="21.75" customHeight="1" x14ac:dyDescent="0.2">
      <c r="B30" s="23" t="s">
        <v>63</v>
      </c>
      <c r="C30" s="7"/>
      <c r="D30" s="7"/>
      <c r="E30" s="7"/>
      <c r="F30" s="7"/>
      <c r="G30" s="7"/>
      <c r="H30" s="7"/>
      <c r="I30" s="7"/>
      <c r="J30" s="2" t="s">
        <v>64</v>
      </c>
      <c r="K30" s="2"/>
      <c r="L30" s="2"/>
      <c r="M30" s="2"/>
    </row>
    <row r="31" spans="1:13" ht="21.75" customHeight="1" x14ac:dyDescent="0.2">
      <c r="B31" s="23" t="s">
        <v>65</v>
      </c>
      <c r="C31" s="7"/>
      <c r="D31" s="7"/>
      <c r="E31" s="7"/>
      <c r="F31" s="7"/>
      <c r="G31" s="7"/>
      <c r="H31" s="7"/>
      <c r="I31" s="7"/>
      <c r="J31" s="2" t="s">
        <v>66</v>
      </c>
      <c r="K31" s="2"/>
      <c r="L31" s="2"/>
      <c r="M31" s="2"/>
    </row>
    <row r="32" spans="1:13" ht="21.75" customHeight="1" x14ac:dyDescent="0.2">
      <c r="B32" s="23" t="s">
        <v>67</v>
      </c>
      <c r="C32" s="7"/>
      <c r="D32" s="7"/>
      <c r="E32" s="7"/>
      <c r="F32" s="7"/>
      <c r="G32" s="7"/>
      <c r="H32" s="7"/>
      <c r="I32" s="7"/>
      <c r="J32" s="2" t="s">
        <v>68</v>
      </c>
      <c r="K32" s="2"/>
      <c r="L32" s="2"/>
      <c r="M32" s="2"/>
    </row>
    <row r="33" spans="1:13" ht="21.75" customHeight="1" x14ac:dyDescent="0.2">
      <c r="B33" s="23" t="s">
        <v>69</v>
      </c>
      <c r="C33" s="7"/>
      <c r="D33" s="7"/>
      <c r="E33" s="7"/>
      <c r="F33" s="7"/>
      <c r="G33" s="7"/>
      <c r="H33" s="7"/>
      <c r="I33" s="7"/>
      <c r="J33" s="2" t="s">
        <v>70</v>
      </c>
      <c r="K33" s="2"/>
      <c r="L33" s="2"/>
      <c r="M33" s="2"/>
    </row>
    <row r="34" spans="1:13" ht="21.75" customHeight="1" x14ac:dyDescent="0.2">
      <c r="B34" s="23" t="s">
        <v>71</v>
      </c>
      <c r="C34" s="7"/>
      <c r="D34" s="7"/>
      <c r="E34" s="7"/>
      <c r="F34" s="7"/>
      <c r="G34" s="7"/>
      <c r="H34" s="7"/>
      <c r="I34" s="7"/>
      <c r="J34" s="2" t="s">
        <v>72</v>
      </c>
      <c r="K34" s="2"/>
      <c r="L34" s="2"/>
      <c r="M34" s="2"/>
    </row>
    <row r="35" spans="1:13" ht="21.75" customHeight="1" x14ac:dyDescent="0.2">
      <c r="B35" s="23" t="s">
        <v>73</v>
      </c>
      <c r="C35" s="7"/>
      <c r="D35" s="7"/>
      <c r="E35" s="7"/>
      <c r="F35" s="7"/>
      <c r="G35" s="7"/>
      <c r="H35" s="7"/>
      <c r="I35" s="7"/>
      <c r="J35" s="2" t="s">
        <v>74</v>
      </c>
      <c r="K35" s="2"/>
      <c r="L35" s="2"/>
      <c r="M35" s="2"/>
    </row>
    <row r="36" spans="1:13" ht="9.75" customHeight="1" x14ac:dyDescent="0.2"/>
    <row r="37" spans="1:13" ht="19.5" customHeight="1" x14ac:dyDescent="0.2">
      <c r="B37" s="5" t="s">
        <v>75</v>
      </c>
      <c r="C37" s="5"/>
      <c r="D37" s="5"/>
      <c r="E37" s="5"/>
      <c r="F37" s="5"/>
      <c r="G37" s="5"/>
      <c r="H37" s="5"/>
      <c r="I37" s="5"/>
      <c r="J37" s="5"/>
      <c r="K37" s="5"/>
      <c r="L37" s="5"/>
      <c r="M37" s="5"/>
    </row>
    <row r="38" spans="1:13" ht="30" customHeight="1" x14ac:dyDescent="0.2">
      <c r="B38" s="27" t="s">
        <v>76</v>
      </c>
      <c r="C38" s="1" t="s">
        <v>77</v>
      </c>
      <c r="D38" s="1"/>
      <c r="E38" s="1"/>
      <c r="F38" s="1" t="s">
        <v>78</v>
      </c>
      <c r="G38" s="1"/>
      <c r="H38" s="1" t="s">
        <v>79</v>
      </c>
      <c r="I38" s="1"/>
      <c r="J38" s="1"/>
      <c r="K38" s="1" t="s">
        <v>80</v>
      </c>
      <c r="L38" s="1"/>
    </row>
    <row r="39" spans="1:13" ht="21.75" customHeight="1" x14ac:dyDescent="0.2">
      <c r="B39" s="24"/>
      <c r="C39" s="7"/>
      <c r="D39" s="7"/>
      <c r="E39" s="7"/>
      <c r="F39" s="7"/>
      <c r="G39" s="7"/>
      <c r="H39" s="7"/>
      <c r="I39" s="7"/>
      <c r="J39" s="7"/>
      <c r="K39" s="7"/>
      <c r="L39" s="7"/>
    </row>
    <row r="40" spans="1:13" ht="21.75" customHeight="1" x14ac:dyDescent="0.2">
      <c r="B40" s="24"/>
      <c r="C40" s="7"/>
      <c r="D40" s="7"/>
      <c r="E40" s="7"/>
      <c r="F40" s="7"/>
      <c r="G40" s="7"/>
      <c r="H40" s="7"/>
      <c r="I40" s="7"/>
      <c r="J40" s="7"/>
      <c r="K40" s="7"/>
      <c r="L40" s="7"/>
    </row>
    <row r="41" spans="1:13" ht="9.75" customHeight="1" x14ac:dyDescent="0.2"/>
    <row r="42" spans="1:13" ht="19.5" customHeight="1" x14ac:dyDescent="0.2">
      <c r="A42" s="5" t="s">
        <v>81</v>
      </c>
      <c r="B42" s="5"/>
      <c r="C42" s="5"/>
      <c r="D42" s="5"/>
      <c r="E42" s="5"/>
      <c r="F42" s="5"/>
      <c r="G42" s="5"/>
      <c r="H42" s="5"/>
      <c r="I42" s="5"/>
      <c r="J42" s="5"/>
      <c r="K42" s="5"/>
      <c r="L42" s="5"/>
      <c r="M42" s="5"/>
    </row>
    <row r="43" spans="1:13" ht="30" customHeight="1" x14ac:dyDescent="0.2">
      <c r="A43" s="8" t="s">
        <v>82</v>
      </c>
      <c r="B43" s="8"/>
      <c r="C43" s="8"/>
      <c r="D43" s="8"/>
      <c r="E43" s="8"/>
      <c r="F43" s="8"/>
      <c r="G43" s="8"/>
      <c r="H43" s="8"/>
      <c r="I43" s="8"/>
      <c r="J43" s="8"/>
      <c r="K43" s="8"/>
      <c r="L43" s="8"/>
      <c r="M43" s="8"/>
    </row>
    <row r="44" spans="1:13" ht="19.5" customHeight="1" x14ac:dyDescent="0.2">
      <c r="A44" s="73" t="s">
        <v>83</v>
      </c>
      <c r="B44" s="73"/>
      <c r="C44" s="73"/>
      <c r="D44" s="73"/>
      <c r="E44" s="73"/>
      <c r="F44" s="73"/>
      <c r="G44" s="73"/>
      <c r="H44" s="73"/>
      <c r="I44" s="73"/>
      <c r="J44" s="73"/>
      <c r="K44" s="73"/>
      <c r="L44" s="73"/>
      <c r="M44" s="73"/>
    </row>
    <row r="45" spans="1:13" ht="25.5" customHeight="1" x14ac:dyDescent="0.2">
      <c r="B45" s="37" t="s">
        <v>84</v>
      </c>
      <c r="C45" s="7"/>
      <c r="D45" s="7"/>
      <c r="E45" s="7"/>
      <c r="F45" s="7"/>
      <c r="G45" s="7"/>
      <c r="H45" s="7"/>
      <c r="I45" s="7"/>
      <c r="J45" s="7"/>
      <c r="K45" s="7"/>
      <c r="L45" s="7"/>
      <c r="M45" s="7"/>
    </row>
    <row r="46" spans="1:13" ht="25.5" customHeight="1" x14ac:dyDescent="0.2">
      <c r="B46" s="37" t="s">
        <v>85</v>
      </c>
      <c r="C46" s="7"/>
      <c r="D46" s="7"/>
      <c r="E46" s="7"/>
      <c r="F46" s="7"/>
      <c r="G46" s="7"/>
      <c r="H46" s="7"/>
      <c r="I46" s="7"/>
      <c r="J46" s="7"/>
      <c r="K46" s="7"/>
      <c r="L46" s="7"/>
      <c r="M46" s="7"/>
    </row>
    <row r="47" spans="1:13" ht="25.5" customHeight="1" x14ac:dyDescent="0.2">
      <c r="B47" s="37" t="s">
        <v>86</v>
      </c>
      <c r="C47" s="7"/>
      <c r="D47" s="7"/>
      <c r="E47" s="7"/>
      <c r="F47" s="7"/>
      <c r="G47" s="7"/>
      <c r="H47" s="7"/>
      <c r="I47" s="7"/>
      <c r="J47" s="7"/>
      <c r="K47" s="7"/>
      <c r="L47" s="7"/>
      <c r="M47" s="7"/>
    </row>
    <row r="48" spans="1:13" ht="25.5" customHeight="1" x14ac:dyDescent="0.2">
      <c r="B48" s="37" t="s">
        <v>87</v>
      </c>
      <c r="C48" s="7"/>
      <c r="D48" s="7"/>
      <c r="E48" s="7"/>
      <c r="F48" s="7"/>
      <c r="G48" s="7"/>
      <c r="H48" s="7"/>
      <c r="I48" s="7"/>
      <c r="J48" s="7"/>
      <c r="K48" s="7"/>
      <c r="L48" s="7"/>
      <c r="M48" s="7"/>
    </row>
    <row r="49" spans="1:13" ht="25.5" customHeight="1" x14ac:dyDescent="0.2">
      <c r="B49" s="37" t="s">
        <v>88</v>
      </c>
      <c r="C49" s="7"/>
      <c r="D49" s="7"/>
      <c r="E49" s="7"/>
      <c r="F49" s="7"/>
      <c r="G49" s="7"/>
      <c r="H49" s="7"/>
      <c r="I49" s="7"/>
      <c r="J49" s="7"/>
      <c r="K49" s="7"/>
      <c r="L49" s="7"/>
      <c r="M49" s="7"/>
    </row>
    <row r="50" spans="1:13" ht="25.5" customHeight="1" x14ac:dyDescent="0.2">
      <c r="B50" s="37" t="s">
        <v>89</v>
      </c>
      <c r="C50" s="7"/>
      <c r="D50" s="7"/>
      <c r="E50" s="7"/>
      <c r="F50" s="7"/>
      <c r="G50" s="7"/>
      <c r="H50" s="7"/>
      <c r="I50" s="7"/>
      <c r="J50" s="7"/>
      <c r="K50" s="7"/>
      <c r="L50" s="7"/>
      <c r="M50" s="7"/>
    </row>
    <row r="51" spans="1:13" ht="25.5" customHeight="1" x14ac:dyDescent="0.2">
      <c r="B51" s="37" t="s">
        <v>90</v>
      </c>
      <c r="C51" s="7"/>
      <c r="D51" s="7"/>
      <c r="E51" s="7"/>
      <c r="F51" s="7"/>
      <c r="G51" s="7"/>
      <c r="H51" s="7"/>
      <c r="I51" s="7"/>
      <c r="J51" s="7"/>
      <c r="K51" s="7"/>
      <c r="L51" s="7"/>
      <c r="M51" s="7"/>
    </row>
    <row r="52" spans="1:13" ht="6" customHeight="1" x14ac:dyDescent="0.2"/>
    <row r="53" spans="1:13" ht="19.5" customHeight="1" x14ac:dyDescent="0.2">
      <c r="A53" s="73" t="s">
        <v>91</v>
      </c>
      <c r="B53" s="73"/>
      <c r="C53" s="73"/>
      <c r="D53" s="73"/>
      <c r="E53" s="73"/>
      <c r="F53" s="73"/>
      <c r="G53" s="73"/>
      <c r="H53" s="73"/>
      <c r="I53" s="73"/>
      <c r="J53" s="73"/>
      <c r="K53" s="73"/>
      <c r="L53" s="73"/>
      <c r="M53" s="73"/>
    </row>
    <row r="54" spans="1:13" ht="25.5" customHeight="1" x14ac:dyDescent="0.2">
      <c r="B54" s="37" t="s">
        <v>84</v>
      </c>
      <c r="C54" s="7"/>
      <c r="D54" s="7"/>
      <c r="E54" s="7"/>
      <c r="F54" s="7"/>
      <c r="G54" s="7"/>
      <c r="H54" s="7"/>
      <c r="I54" s="7"/>
      <c r="J54" s="7"/>
      <c r="K54" s="7"/>
      <c r="L54" s="7"/>
      <c r="M54" s="7"/>
    </row>
    <row r="55" spans="1:13" ht="25.5" customHeight="1" x14ac:dyDescent="0.2">
      <c r="B55" s="37" t="s">
        <v>85</v>
      </c>
      <c r="C55" s="7"/>
      <c r="D55" s="7"/>
      <c r="E55" s="7"/>
      <c r="F55" s="7"/>
      <c r="G55" s="7"/>
      <c r="H55" s="7"/>
      <c r="I55" s="7"/>
      <c r="J55" s="7"/>
      <c r="K55" s="7"/>
      <c r="L55" s="7"/>
      <c r="M55" s="7"/>
    </row>
    <row r="56" spans="1:13" ht="25.5" customHeight="1" x14ac:dyDescent="0.2">
      <c r="B56" s="37" t="s">
        <v>86</v>
      </c>
      <c r="C56" s="7"/>
      <c r="D56" s="7"/>
      <c r="E56" s="7"/>
      <c r="F56" s="7"/>
      <c r="G56" s="7"/>
      <c r="H56" s="7"/>
      <c r="I56" s="7"/>
      <c r="J56" s="7"/>
      <c r="K56" s="7"/>
      <c r="L56" s="7"/>
      <c r="M56" s="7"/>
    </row>
    <row r="57" spans="1:13" ht="25.5" customHeight="1" x14ac:dyDescent="0.2">
      <c r="B57" s="37" t="s">
        <v>87</v>
      </c>
      <c r="C57" s="7"/>
      <c r="D57" s="7"/>
      <c r="E57" s="7"/>
      <c r="F57" s="7"/>
      <c r="G57" s="7"/>
      <c r="H57" s="7"/>
      <c r="I57" s="7"/>
      <c r="J57" s="7"/>
      <c r="K57" s="7"/>
      <c r="L57" s="7"/>
      <c r="M57" s="7"/>
    </row>
    <row r="58" spans="1:13" ht="25.5" customHeight="1" x14ac:dyDescent="0.2">
      <c r="B58" s="37" t="s">
        <v>88</v>
      </c>
      <c r="C58" s="7"/>
      <c r="D58" s="7"/>
      <c r="E58" s="7"/>
      <c r="F58" s="7"/>
      <c r="G58" s="7"/>
      <c r="H58" s="7"/>
      <c r="I58" s="7"/>
      <c r="J58" s="7"/>
      <c r="K58" s="7"/>
      <c r="L58" s="7"/>
      <c r="M58" s="7"/>
    </row>
    <row r="59" spans="1:13" ht="25.5" customHeight="1" x14ac:dyDescent="0.2">
      <c r="B59" s="37" t="s">
        <v>89</v>
      </c>
      <c r="C59" s="7"/>
      <c r="D59" s="7"/>
      <c r="E59" s="7"/>
      <c r="F59" s="7"/>
      <c r="G59" s="7"/>
      <c r="H59" s="7"/>
      <c r="I59" s="7"/>
      <c r="J59" s="7"/>
      <c r="K59" s="7"/>
      <c r="L59" s="7"/>
      <c r="M59" s="7"/>
    </row>
    <row r="60" spans="1:13" ht="25.5" customHeight="1" x14ac:dyDescent="0.2">
      <c r="B60" s="37" t="s">
        <v>90</v>
      </c>
      <c r="C60" s="7"/>
      <c r="D60" s="7"/>
      <c r="E60" s="7"/>
      <c r="F60" s="7"/>
      <c r="G60" s="7"/>
      <c r="H60" s="7"/>
      <c r="I60" s="7"/>
      <c r="J60" s="7"/>
      <c r="K60" s="7"/>
      <c r="L60" s="7"/>
      <c r="M60" s="7"/>
    </row>
    <row r="61" spans="1:13" ht="6" customHeight="1" x14ac:dyDescent="0.2"/>
    <row r="62" spans="1:13" ht="19.5" customHeight="1" x14ac:dyDescent="0.2">
      <c r="A62" s="73" t="s">
        <v>92</v>
      </c>
      <c r="B62" s="73"/>
      <c r="C62" s="73"/>
      <c r="D62" s="73"/>
      <c r="E62" s="73"/>
      <c r="F62" s="73"/>
      <c r="G62" s="73"/>
      <c r="H62" s="73"/>
      <c r="I62" s="73"/>
      <c r="J62" s="73"/>
      <c r="K62" s="73"/>
      <c r="L62" s="73"/>
      <c r="M62" s="73"/>
    </row>
    <row r="63" spans="1:13" ht="25.5" customHeight="1" x14ac:dyDescent="0.2">
      <c r="B63" s="37" t="s">
        <v>84</v>
      </c>
      <c r="C63" s="7"/>
      <c r="D63" s="7"/>
      <c r="E63" s="7"/>
      <c r="F63" s="7"/>
      <c r="G63" s="7"/>
      <c r="H63" s="7"/>
      <c r="I63" s="7"/>
      <c r="J63" s="7"/>
      <c r="K63" s="7"/>
      <c r="L63" s="7"/>
      <c r="M63" s="7"/>
    </row>
    <row r="64" spans="1:13" ht="25.5" customHeight="1" x14ac:dyDescent="0.2">
      <c r="B64" s="37" t="s">
        <v>85</v>
      </c>
      <c r="C64" s="7"/>
      <c r="D64" s="7"/>
      <c r="E64" s="7"/>
      <c r="F64" s="7"/>
      <c r="G64" s="7"/>
      <c r="H64" s="7"/>
      <c r="I64" s="7"/>
      <c r="J64" s="7"/>
      <c r="K64" s="7"/>
      <c r="L64" s="7"/>
      <c r="M64" s="7"/>
    </row>
    <row r="65" spans="1:13" ht="25.5" customHeight="1" x14ac:dyDescent="0.2">
      <c r="B65" s="37" t="s">
        <v>86</v>
      </c>
      <c r="C65" s="7"/>
      <c r="D65" s="7"/>
      <c r="E65" s="7"/>
      <c r="F65" s="7"/>
      <c r="G65" s="7"/>
      <c r="H65" s="7"/>
      <c r="I65" s="7"/>
      <c r="J65" s="7"/>
      <c r="K65" s="7"/>
      <c r="L65" s="7"/>
      <c r="M65" s="7"/>
    </row>
    <row r="66" spans="1:13" ht="25.5" customHeight="1" x14ac:dyDescent="0.2">
      <c r="B66" s="37" t="s">
        <v>87</v>
      </c>
      <c r="C66" s="7"/>
      <c r="D66" s="7"/>
      <c r="E66" s="7"/>
      <c r="F66" s="7"/>
      <c r="G66" s="7"/>
      <c r="H66" s="7"/>
      <c r="I66" s="7"/>
      <c r="J66" s="7"/>
      <c r="K66" s="7"/>
      <c r="L66" s="7"/>
      <c r="M66" s="7"/>
    </row>
    <row r="67" spans="1:13" ht="25.5" customHeight="1" x14ac:dyDescent="0.2">
      <c r="B67" s="37" t="s">
        <v>88</v>
      </c>
      <c r="C67" s="7"/>
      <c r="D67" s="7"/>
      <c r="E67" s="7"/>
      <c r="F67" s="7"/>
      <c r="G67" s="7"/>
      <c r="H67" s="7"/>
      <c r="I67" s="7"/>
      <c r="J67" s="7"/>
      <c r="K67" s="7"/>
      <c r="L67" s="7"/>
      <c r="M67" s="7"/>
    </row>
    <row r="68" spans="1:13" ht="25.5" customHeight="1" x14ac:dyDescent="0.2">
      <c r="B68" s="37" t="s">
        <v>89</v>
      </c>
      <c r="C68" s="7"/>
      <c r="D68" s="7"/>
      <c r="E68" s="7"/>
      <c r="F68" s="7"/>
      <c r="G68" s="7"/>
      <c r="H68" s="7"/>
      <c r="I68" s="7"/>
      <c r="J68" s="7"/>
      <c r="K68" s="7"/>
      <c r="L68" s="7"/>
      <c r="M68" s="7"/>
    </row>
    <row r="69" spans="1:13" ht="25.5" customHeight="1" x14ac:dyDescent="0.2">
      <c r="B69" s="37" t="s">
        <v>90</v>
      </c>
      <c r="C69" s="7"/>
      <c r="D69" s="7"/>
      <c r="E69" s="7"/>
      <c r="F69" s="7"/>
      <c r="G69" s="7"/>
      <c r="H69" s="7"/>
      <c r="I69" s="7"/>
      <c r="J69" s="7"/>
      <c r="K69" s="7"/>
      <c r="L69" s="7"/>
      <c r="M69" s="7"/>
    </row>
    <row r="70" spans="1:13" ht="6" customHeight="1" x14ac:dyDescent="0.2"/>
    <row r="71" spans="1:13" ht="19.5" customHeight="1" x14ac:dyDescent="0.2">
      <c r="A71" s="73" t="s">
        <v>93</v>
      </c>
      <c r="B71" s="73"/>
      <c r="C71" s="73"/>
      <c r="D71" s="73"/>
      <c r="E71" s="73"/>
      <c r="F71" s="73"/>
      <c r="G71" s="73"/>
      <c r="H71" s="73"/>
      <c r="I71" s="73"/>
      <c r="J71" s="73"/>
      <c r="K71" s="73"/>
      <c r="L71" s="73"/>
      <c r="M71" s="73"/>
    </row>
    <row r="72" spans="1:13" ht="25.5" customHeight="1" x14ac:dyDescent="0.2">
      <c r="B72" s="37" t="s">
        <v>84</v>
      </c>
      <c r="C72" s="7"/>
      <c r="D72" s="7"/>
      <c r="E72" s="7"/>
      <c r="F72" s="7"/>
      <c r="G72" s="7"/>
      <c r="H72" s="7"/>
      <c r="I72" s="7"/>
      <c r="J72" s="7"/>
      <c r="K72" s="7"/>
      <c r="L72" s="7"/>
      <c r="M72" s="7"/>
    </row>
    <row r="73" spans="1:13" ht="25.5" customHeight="1" x14ac:dyDescent="0.2">
      <c r="B73" s="37" t="s">
        <v>85</v>
      </c>
      <c r="C73" s="7"/>
      <c r="D73" s="7"/>
      <c r="E73" s="7"/>
      <c r="F73" s="7"/>
      <c r="G73" s="7"/>
      <c r="H73" s="7"/>
      <c r="I73" s="7"/>
      <c r="J73" s="7"/>
      <c r="K73" s="7"/>
      <c r="L73" s="7"/>
      <c r="M73" s="7"/>
    </row>
    <row r="74" spans="1:13" ht="25.5" customHeight="1" x14ac:dyDescent="0.2">
      <c r="B74" s="37" t="s">
        <v>86</v>
      </c>
      <c r="C74" s="7"/>
      <c r="D74" s="7"/>
      <c r="E74" s="7"/>
      <c r="F74" s="7"/>
      <c r="G74" s="7"/>
      <c r="H74" s="7"/>
      <c r="I74" s="7"/>
      <c r="J74" s="7"/>
      <c r="K74" s="7"/>
      <c r="L74" s="7"/>
      <c r="M74" s="7"/>
    </row>
    <row r="75" spans="1:13" ht="25.5" customHeight="1" x14ac:dyDescent="0.2">
      <c r="B75" s="37" t="s">
        <v>87</v>
      </c>
      <c r="C75" s="7"/>
      <c r="D75" s="7"/>
      <c r="E75" s="7"/>
      <c r="F75" s="7"/>
      <c r="G75" s="7"/>
      <c r="H75" s="7"/>
      <c r="I75" s="7"/>
      <c r="J75" s="7"/>
      <c r="K75" s="7"/>
      <c r="L75" s="7"/>
      <c r="M75" s="7"/>
    </row>
    <row r="76" spans="1:13" ht="25.5" customHeight="1" x14ac:dyDescent="0.2">
      <c r="B76" s="37" t="s">
        <v>88</v>
      </c>
      <c r="C76" s="7"/>
      <c r="D76" s="7"/>
      <c r="E76" s="7"/>
      <c r="F76" s="7"/>
      <c r="G76" s="7"/>
      <c r="H76" s="7"/>
      <c r="I76" s="7"/>
      <c r="J76" s="7"/>
      <c r="K76" s="7"/>
      <c r="L76" s="7"/>
      <c r="M76" s="7"/>
    </row>
    <row r="77" spans="1:13" ht="25.5" customHeight="1" x14ac:dyDescent="0.2">
      <c r="B77" s="37" t="s">
        <v>89</v>
      </c>
      <c r="C77" s="7"/>
      <c r="D77" s="7"/>
      <c r="E77" s="7"/>
      <c r="F77" s="7"/>
      <c r="G77" s="7"/>
      <c r="H77" s="7"/>
      <c r="I77" s="7"/>
      <c r="J77" s="7"/>
      <c r="K77" s="7"/>
      <c r="L77" s="7"/>
      <c r="M77" s="7"/>
    </row>
    <row r="78" spans="1:13" ht="25.5" customHeight="1" x14ac:dyDescent="0.2">
      <c r="B78" s="37" t="s">
        <v>90</v>
      </c>
      <c r="C78" s="7"/>
      <c r="D78" s="7"/>
      <c r="E78" s="7"/>
      <c r="F78" s="7"/>
      <c r="G78" s="7"/>
      <c r="H78" s="7"/>
      <c r="I78" s="7"/>
      <c r="J78" s="7"/>
      <c r="K78" s="7"/>
      <c r="L78" s="7"/>
      <c r="M78" s="7"/>
    </row>
    <row r="79" spans="1:13" ht="6" customHeight="1" x14ac:dyDescent="0.2"/>
    <row r="80" spans="1:13" ht="19.5" customHeight="1" x14ac:dyDescent="0.2">
      <c r="A80" s="73" t="s">
        <v>94</v>
      </c>
      <c r="B80" s="73"/>
      <c r="C80" s="73"/>
      <c r="D80" s="73"/>
      <c r="E80" s="73"/>
      <c r="F80" s="73"/>
      <c r="G80" s="73"/>
      <c r="H80" s="73"/>
      <c r="I80" s="73"/>
      <c r="J80" s="73"/>
      <c r="K80" s="73"/>
      <c r="L80" s="73"/>
      <c r="M80" s="73"/>
    </row>
    <row r="81" spans="1:13" ht="25.5" customHeight="1" x14ac:dyDescent="0.2">
      <c r="B81" s="37" t="s">
        <v>84</v>
      </c>
      <c r="C81" s="7"/>
      <c r="D81" s="7"/>
      <c r="E81" s="7"/>
      <c r="F81" s="7"/>
      <c r="G81" s="7"/>
      <c r="H81" s="7"/>
      <c r="I81" s="7"/>
      <c r="J81" s="7"/>
      <c r="K81" s="7"/>
      <c r="L81" s="7"/>
      <c r="M81" s="7"/>
    </row>
    <row r="82" spans="1:13" ht="25.5" customHeight="1" x14ac:dyDescent="0.2">
      <c r="B82" s="37" t="s">
        <v>85</v>
      </c>
      <c r="C82" s="7"/>
      <c r="D82" s="7"/>
      <c r="E82" s="7"/>
      <c r="F82" s="7"/>
      <c r="G82" s="7"/>
      <c r="H82" s="7"/>
      <c r="I82" s="7"/>
      <c r="J82" s="7"/>
      <c r="K82" s="7"/>
      <c r="L82" s="7"/>
      <c r="M82" s="7"/>
    </row>
    <row r="83" spans="1:13" ht="25.5" customHeight="1" x14ac:dyDescent="0.2">
      <c r="B83" s="37" t="s">
        <v>86</v>
      </c>
      <c r="C83" s="7"/>
      <c r="D83" s="7"/>
      <c r="E83" s="7"/>
      <c r="F83" s="7"/>
      <c r="G83" s="7"/>
      <c r="H83" s="7"/>
      <c r="I83" s="7"/>
      <c r="J83" s="7"/>
      <c r="K83" s="7"/>
      <c r="L83" s="7"/>
      <c r="M83" s="7"/>
    </row>
    <row r="84" spans="1:13" ht="25.5" customHeight="1" x14ac:dyDescent="0.2">
      <c r="B84" s="37" t="s">
        <v>87</v>
      </c>
      <c r="C84" s="7"/>
      <c r="D84" s="7"/>
      <c r="E84" s="7"/>
      <c r="F84" s="7"/>
      <c r="G84" s="7"/>
      <c r="H84" s="7"/>
      <c r="I84" s="7"/>
      <c r="J84" s="7"/>
      <c r="K84" s="7"/>
      <c r="L84" s="7"/>
      <c r="M84" s="7"/>
    </row>
    <row r="85" spans="1:13" ht="25.5" customHeight="1" x14ac:dyDescent="0.2">
      <c r="B85" s="37" t="s">
        <v>88</v>
      </c>
      <c r="C85" s="7"/>
      <c r="D85" s="7"/>
      <c r="E85" s="7"/>
      <c r="F85" s="7"/>
      <c r="G85" s="7"/>
      <c r="H85" s="7"/>
      <c r="I85" s="7"/>
      <c r="J85" s="7"/>
      <c r="K85" s="7"/>
      <c r="L85" s="7"/>
      <c r="M85" s="7"/>
    </row>
    <row r="86" spans="1:13" ht="25.5" customHeight="1" x14ac:dyDescent="0.2">
      <c r="B86" s="37" t="s">
        <v>89</v>
      </c>
      <c r="C86" s="7"/>
      <c r="D86" s="7"/>
      <c r="E86" s="7"/>
      <c r="F86" s="7"/>
      <c r="G86" s="7"/>
      <c r="H86" s="7"/>
      <c r="I86" s="7"/>
      <c r="J86" s="7"/>
      <c r="K86" s="7"/>
      <c r="L86" s="7"/>
      <c r="M86" s="7"/>
    </row>
    <row r="87" spans="1:13" ht="25.5" customHeight="1" x14ac:dyDescent="0.2">
      <c r="B87" s="37" t="s">
        <v>90</v>
      </c>
      <c r="C87" s="7"/>
      <c r="D87" s="7"/>
      <c r="E87" s="7"/>
      <c r="F87" s="7"/>
      <c r="G87" s="7"/>
      <c r="H87" s="7"/>
      <c r="I87" s="7"/>
      <c r="J87" s="7"/>
      <c r="K87" s="7"/>
      <c r="L87" s="7"/>
      <c r="M87" s="7"/>
    </row>
    <row r="88" spans="1:13" ht="6" customHeight="1" x14ac:dyDescent="0.2"/>
    <row r="89" spans="1:13" ht="27.75" customHeight="1" x14ac:dyDescent="0.2">
      <c r="A89" s="74" t="s">
        <v>95</v>
      </c>
      <c r="B89" s="74"/>
      <c r="C89" s="74"/>
      <c r="D89" s="74"/>
      <c r="E89" s="74"/>
      <c r="F89" s="74"/>
      <c r="G89" s="74"/>
      <c r="H89" s="74"/>
      <c r="I89" s="74"/>
      <c r="J89" s="74"/>
      <c r="K89" s="74"/>
      <c r="L89" s="74"/>
      <c r="M89" s="74"/>
    </row>
    <row r="91" spans="1:13" ht="9.75" customHeight="1" x14ac:dyDescent="0.2"/>
    <row r="92" spans="1:13" ht="19.5" customHeight="1" x14ac:dyDescent="0.2">
      <c r="A92" s="5" t="s">
        <v>96</v>
      </c>
      <c r="B92" s="5"/>
      <c r="C92" s="5"/>
      <c r="D92" s="5"/>
      <c r="E92" s="5"/>
      <c r="F92" s="5"/>
      <c r="G92" s="5"/>
      <c r="H92" s="5"/>
      <c r="I92" s="5"/>
      <c r="J92" s="5"/>
      <c r="K92" s="5"/>
      <c r="L92" s="5"/>
      <c r="M92" s="5"/>
    </row>
    <row r="93" spans="1:13" ht="18" customHeight="1" x14ac:dyDescent="0.2">
      <c r="B93" s="38" t="s">
        <v>97</v>
      </c>
      <c r="C93" s="75" t="s">
        <v>98</v>
      </c>
      <c r="D93" s="75"/>
      <c r="E93" s="75"/>
      <c r="F93" s="75"/>
      <c r="G93" s="75"/>
      <c r="H93" s="75"/>
      <c r="I93" s="75"/>
      <c r="J93" s="75"/>
      <c r="K93" s="75"/>
      <c r="L93" s="75"/>
      <c r="M93" s="75"/>
    </row>
    <row r="94" spans="1:13" ht="18" customHeight="1" x14ac:dyDescent="0.2">
      <c r="B94" s="39" t="s">
        <v>97</v>
      </c>
      <c r="C94" s="75" t="s">
        <v>99</v>
      </c>
      <c r="D94" s="75"/>
      <c r="E94" s="75"/>
      <c r="F94" s="75"/>
      <c r="G94" s="75"/>
      <c r="H94" s="75"/>
      <c r="I94" s="75"/>
      <c r="J94" s="75"/>
      <c r="K94" s="75"/>
      <c r="L94" s="75"/>
      <c r="M94" s="75"/>
    </row>
    <row r="95" spans="1:13" ht="18" customHeight="1" x14ac:dyDescent="0.2">
      <c r="B95" s="40" t="s">
        <v>97</v>
      </c>
      <c r="C95" s="75" t="s">
        <v>100</v>
      </c>
      <c r="D95" s="75"/>
      <c r="E95" s="75"/>
      <c r="F95" s="75"/>
      <c r="G95" s="75"/>
      <c r="H95" s="75"/>
      <c r="I95" s="75"/>
      <c r="J95" s="75"/>
      <c r="K95" s="75"/>
      <c r="L95" s="75"/>
      <c r="M95" s="75"/>
    </row>
    <row r="96" spans="1:13" ht="18" customHeight="1" x14ac:dyDescent="0.2">
      <c r="B96" s="41" t="s">
        <v>97</v>
      </c>
      <c r="C96" s="75" t="s">
        <v>101</v>
      </c>
      <c r="D96" s="75"/>
      <c r="E96" s="75"/>
      <c r="F96" s="75"/>
      <c r="G96" s="75"/>
      <c r="H96" s="75"/>
      <c r="I96" s="75"/>
      <c r="J96" s="75"/>
      <c r="K96" s="75"/>
      <c r="L96" s="75"/>
      <c r="M96" s="75"/>
    </row>
    <row r="97" spans="2:13" ht="18" customHeight="1" x14ac:dyDescent="0.2">
      <c r="B97" s="42" t="s">
        <v>97</v>
      </c>
      <c r="C97" s="75" t="s">
        <v>102</v>
      </c>
      <c r="D97" s="75"/>
      <c r="E97" s="75"/>
      <c r="F97" s="75"/>
      <c r="G97" s="75"/>
      <c r="H97" s="75"/>
      <c r="I97" s="75"/>
      <c r="J97" s="75"/>
      <c r="K97" s="75"/>
      <c r="L97" s="75"/>
      <c r="M97" s="75"/>
    </row>
  </sheetData>
  <mergeCells count="90">
    <mergeCell ref="C94:M94"/>
    <mergeCell ref="C95:M95"/>
    <mergeCell ref="C96:M96"/>
    <mergeCell ref="C97:M97"/>
    <mergeCell ref="C86:M86"/>
    <mergeCell ref="C87:M87"/>
    <mergeCell ref="A89:M89"/>
    <mergeCell ref="A92:M92"/>
    <mergeCell ref="C93:M93"/>
    <mergeCell ref="C81:M81"/>
    <mergeCell ref="C82:M82"/>
    <mergeCell ref="C83:M83"/>
    <mergeCell ref="C84:M84"/>
    <mergeCell ref="C85:M85"/>
    <mergeCell ref="C75:M75"/>
    <mergeCell ref="C76:M76"/>
    <mergeCell ref="C77:M77"/>
    <mergeCell ref="C78:M78"/>
    <mergeCell ref="A80:M80"/>
    <mergeCell ref="C69:M69"/>
    <mergeCell ref="A71:M71"/>
    <mergeCell ref="C72:M72"/>
    <mergeCell ref="C73:M73"/>
    <mergeCell ref="C74:M74"/>
    <mergeCell ref="C64:M64"/>
    <mergeCell ref="C65:M65"/>
    <mergeCell ref="C66:M66"/>
    <mergeCell ref="C67:M67"/>
    <mergeCell ref="C68:M68"/>
    <mergeCell ref="C58:M58"/>
    <mergeCell ref="C59:M59"/>
    <mergeCell ref="C60:M60"/>
    <mergeCell ref="A62:M62"/>
    <mergeCell ref="C63:M63"/>
    <mergeCell ref="A53:M53"/>
    <mergeCell ref="C54:M54"/>
    <mergeCell ref="C55:M55"/>
    <mergeCell ref="C56:M56"/>
    <mergeCell ref="C57:M57"/>
    <mergeCell ref="C47:M47"/>
    <mergeCell ref="C48:M48"/>
    <mergeCell ref="C49:M49"/>
    <mergeCell ref="C50:M50"/>
    <mergeCell ref="C51:M51"/>
    <mergeCell ref="A42:M42"/>
    <mergeCell ref="A43:M43"/>
    <mergeCell ref="A44:M44"/>
    <mergeCell ref="C45:M45"/>
    <mergeCell ref="C46:M46"/>
    <mergeCell ref="C39:E39"/>
    <mergeCell ref="F39:G39"/>
    <mergeCell ref="H39:J39"/>
    <mergeCell ref="K39:L39"/>
    <mergeCell ref="C40:E40"/>
    <mergeCell ref="F40:G40"/>
    <mergeCell ref="H40:J40"/>
    <mergeCell ref="K40:L40"/>
    <mergeCell ref="B37:M37"/>
    <mergeCell ref="C38:E38"/>
    <mergeCell ref="F38:G38"/>
    <mergeCell ref="H38:J38"/>
    <mergeCell ref="K38:L38"/>
    <mergeCell ref="C33:I33"/>
    <mergeCell ref="J33:M33"/>
    <mergeCell ref="C34:I34"/>
    <mergeCell ref="J34:M34"/>
    <mergeCell ref="C35:I35"/>
    <mergeCell ref="J35:M35"/>
    <mergeCell ref="C30:I30"/>
    <mergeCell ref="J30:M30"/>
    <mergeCell ref="C31:I31"/>
    <mergeCell ref="J31:M31"/>
    <mergeCell ref="C32:I32"/>
    <mergeCell ref="J32:M32"/>
    <mergeCell ref="C27:I27"/>
    <mergeCell ref="J27:M27"/>
    <mergeCell ref="C28:I28"/>
    <mergeCell ref="J28:M28"/>
    <mergeCell ref="C29:I29"/>
    <mergeCell ref="J29:M29"/>
    <mergeCell ref="A10:M10"/>
    <mergeCell ref="A22:F22"/>
    <mergeCell ref="K22:M22"/>
    <mergeCell ref="A25:M25"/>
    <mergeCell ref="A26:M26"/>
    <mergeCell ref="A2:M2"/>
    <mergeCell ref="A3:M3"/>
    <mergeCell ref="K5:L5"/>
    <mergeCell ref="A7:M7"/>
    <mergeCell ref="A9:M9"/>
  </mergeCells>
  <conditionalFormatting sqref="G22">
    <cfRule type="cellIs" dxfId="11" priority="22" operator="equal">
      <formula>1</formula>
    </cfRule>
    <cfRule type="cellIs" dxfId="10" priority="23" operator="notEqual">
      <formula>1</formula>
    </cfRule>
  </conditionalFormatting>
  <conditionalFormatting sqref="J12:J21">
    <cfRule type="expression" dxfId="9" priority="2">
      <formula>J12="NO"</formula>
    </cfRule>
    <cfRule type="expression" dxfId="8" priority="3">
      <formula>J12="YES"</formula>
    </cfRule>
  </conditionalFormatting>
  <dataValidations count="3">
    <dataValidation type="list" allowBlank="1" showErrorMessage="1" errorTitle="Invalid" error="Select from dropdown list." sqref="E12:E21" xr:uid="{00000000-0002-0000-0200-000000000000}">
      <formula1>"U.S. Equities,Fixed Income,Cash / Equiv.,International Equity,Real Estate / REIT,Commodities,Derivatives,Other"</formula1>
      <formula2>0</formula2>
    </dataValidation>
    <dataValidation type="list" allowBlank="1" showErrorMessage="1" errorTitle="Invalid" error="Select from dropdown list." sqref="F12:F21" xr:uid="{00000000-0002-0000-0200-000001000000}">
      <formula1>"Technology,Healthcare,Financials,Consumer Disc.,Consumer Staples,Energy,Industrials,Materials,Utilities,Real Estate,Communication Svcs.,Government Bond,Corporate Bond,Municipal Bond,Money Market,Commodity,N/A"</formula1>
      <formula2>0</formula2>
    </dataValidation>
    <dataValidation type="list" showErrorMessage="1" errorTitle="Required" error="Must be YES or NO." sqref="J12:J21" xr:uid="{00000000-0002-0000-0200-000002000000}">
      <formula1>"YES,NO"</formula1>
      <formula2>0</formula2>
    </dataValidation>
  </dataValidations>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8B1A1A"/>
  </sheetPr>
  <dimension ref="A1:M97"/>
  <sheetViews>
    <sheetView showGridLines="0" workbookViewId="0">
      <selection activeCell="I23" sqref="I23"/>
    </sheetView>
  </sheetViews>
  <sheetFormatPr baseColWidth="10" defaultColWidth="8.6640625" defaultRowHeight="15" x14ac:dyDescent="0.2"/>
  <cols>
    <col min="1" max="1" width="2" customWidth="1"/>
    <col min="2" max="2" width="5" customWidth="1"/>
    <col min="3" max="3" width="10" customWidth="1"/>
    <col min="4" max="4" width="28" customWidth="1"/>
    <col min="5" max="6" width="18" customWidth="1"/>
    <col min="7" max="7" width="10" customWidth="1"/>
    <col min="8" max="8" width="14" customWidth="1"/>
    <col min="9" max="9" width="9" customWidth="1"/>
    <col min="10" max="10" width="14" customWidth="1"/>
    <col min="11" max="11" width="22" customWidth="1"/>
    <col min="12" max="12" width="24" customWidth="1"/>
    <col min="13" max="13" width="2" customWidth="1"/>
  </cols>
  <sheetData>
    <row r="1" spans="1:13" ht="6" customHeight="1" x14ac:dyDescent="0.2"/>
    <row r="2" spans="1:13" ht="37.5" customHeight="1" x14ac:dyDescent="0.2">
      <c r="A2" s="10" t="s">
        <v>115</v>
      </c>
      <c r="B2" s="10"/>
      <c r="C2" s="10"/>
      <c r="D2" s="10"/>
      <c r="E2" s="10"/>
      <c r="F2" s="10"/>
      <c r="G2" s="10"/>
      <c r="H2" s="10"/>
      <c r="I2" s="10"/>
      <c r="J2" s="10"/>
      <c r="K2" s="10"/>
      <c r="L2" s="10"/>
      <c r="M2" s="10"/>
    </row>
    <row r="3" spans="1:13" ht="18" customHeight="1" x14ac:dyDescent="0.2">
      <c r="A3" s="9" t="s">
        <v>114</v>
      </c>
      <c r="B3" s="9"/>
      <c r="C3" s="9"/>
      <c r="D3" s="9"/>
      <c r="E3" s="9"/>
      <c r="F3" s="9"/>
      <c r="G3" s="9"/>
      <c r="H3" s="9"/>
      <c r="I3" s="9"/>
      <c r="J3" s="9"/>
      <c r="K3" s="9"/>
      <c r="L3" s="9"/>
      <c r="M3" s="9"/>
    </row>
    <row r="4" spans="1:13" ht="6" customHeight="1" x14ac:dyDescent="0.2"/>
    <row r="5" spans="1:13" ht="21.75" customHeight="1" x14ac:dyDescent="0.2">
      <c r="B5" s="23" t="s">
        <v>34</v>
      </c>
      <c r="C5" s="24"/>
      <c r="D5" s="25"/>
      <c r="F5" s="23" t="s">
        <v>35</v>
      </c>
      <c r="G5" s="26"/>
      <c r="H5" s="23" t="s">
        <v>36</v>
      </c>
      <c r="I5" s="26"/>
      <c r="J5" s="23" t="s">
        <v>37</v>
      </c>
      <c r="K5" s="7"/>
      <c r="L5" s="7"/>
    </row>
    <row r="6" spans="1:13" ht="6" customHeight="1" x14ac:dyDescent="0.2"/>
    <row r="7" spans="1:13" ht="30" customHeight="1" x14ac:dyDescent="0.2">
      <c r="A7" s="6" t="s">
        <v>38</v>
      </c>
      <c r="B7" s="6"/>
      <c r="C7" s="6"/>
      <c r="D7" s="6"/>
      <c r="E7" s="6"/>
      <c r="F7" s="6"/>
      <c r="G7" s="6"/>
      <c r="H7" s="6"/>
      <c r="I7" s="6"/>
      <c r="J7" s="6"/>
      <c r="K7" s="6"/>
      <c r="L7" s="6"/>
      <c r="M7" s="6"/>
    </row>
    <row r="8" spans="1:13" ht="7.5" customHeight="1" x14ac:dyDescent="0.2"/>
    <row r="9" spans="1:13" ht="19.5" customHeight="1" x14ac:dyDescent="0.2">
      <c r="A9" s="5" t="s">
        <v>39</v>
      </c>
      <c r="B9" s="5"/>
      <c r="C9" s="5"/>
      <c r="D9" s="5"/>
      <c r="E9" s="5"/>
      <c r="F9" s="5"/>
      <c r="G9" s="5"/>
      <c r="H9" s="5"/>
      <c r="I9" s="5"/>
      <c r="J9" s="5"/>
      <c r="K9" s="5"/>
      <c r="L9" s="5"/>
      <c r="M9" s="5"/>
    </row>
    <row r="10" spans="1:13" ht="30" customHeight="1" x14ac:dyDescent="0.2">
      <c r="A10" s="8" t="s">
        <v>40</v>
      </c>
      <c r="B10" s="8"/>
      <c r="C10" s="8"/>
      <c r="D10" s="8"/>
      <c r="E10" s="8"/>
      <c r="F10" s="8"/>
      <c r="G10" s="8"/>
      <c r="H10" s="8"/>
      <c r="I10" s="8"/>
      <c r="J10" s="8"/>
      <c r="K10" s="8"/>
      <c r="L10" s="8"/>
      <c r="M10" s="8"/>
    </row>
    <row r="11" spans="1:13" ht="36" customHeight="1" x14ac:dyDescent="0.2">
      <c r="B11" s="27" t="s">
        <v>41</v>
      </c>
      <c r="C11" s="27" t="s">
        <v>42</v>
      </c>
      <c r="D11" s="27" t="s">
        <v>43</v>
      </c>
      <c r="E11" s="27" t="s">
        <v>44</v>
      </c>
      <c r="F11" s="27" t="s">
        <v>45</v>
      </c>
      <c r="G11" s="27" t="s">
        <v>46</v>
      </c>
      <c r="H11" s="27" t="s">
        <v>47</v>
      </c>
      <c r="I11" s="27" t="s">
        <v>48</v>
      </c>
      <c r="J11" s="27" t="s">
        <v>49</v>
      </c>
      <c r="K11" s="27" t="s">
        <v>50</v>
      </c>
      <c r="L11" s="27" t="s">
        <v>51</v>
      </c>
    </row>
    <row r="12" spans="1:13" ht="21.75" customHeight="1" x14ac:dyDescent="0.2">
      <c r="B12" s="28">
        <f>1</f>
        <v>1</v>
      </c>
      <c r="C12" s="24"/>
      <c r="D12" s="29"/>
      <c r="E12" s="24"/>
      <c r="F12" s="24"/>
      <c r="G12" s="26"/>
      <c r="H12" s="30" t="str">
        <f t="shared" ref="H12:H21" si="0">IF(G12&lt;&gt;"",G12*500000,"")</f>
        <v/>
      </c>
      <c r="I12" s="31"/>
      <c r="J12" s="24"/>
      <c r="K12" s="32"/>
      <c r="L12" s="29"/>
    </row>
    <row r="13" spans="1:13" ht="21.75" customHeight="1" x14ac:dyDescent="0.2">
      <c r="B13" s="28">
        <f>2</f>
        <v>2</v>
      </c>
      <c r="C13" s="24"/>
      <c r="D13" s="29"/>
      <c r="E13" s="24"/>
      <c r="F13" s="24"/>
      <c r="G13" s="26"/>
      <c r="H13" s="30" t="str">
        <f t="shared" si="0"/>
        <v/>
      </c>
      <c r="I13" s="31"/>
      <c r="J13" s="24"/>
      <c r="K13" s="32"/>
      <c r="L13" s="29"/>
    </row>
    <row r="14" spans="1:13" ht="21.75" customHeight="1" x14ac:dyDescent="0.2">
      <c r="B14" s="28">
        <f>3</f>
        <v>3</v>
      </c>
      <c r="C14" s="24"/>
      <c r="D14" s="29"/>
      <c r="E14" s="24"/>
      <c r="F14" s="24"/>
      <c r="G14" s="26"/>
      <c r="H14" s="30" t="str">
        <f t="shared" si="0"/>
        <v/>
      </c>
      <c r="I14" s="31"/>
      <c r="J14" s="24"/>
      <c r="K14" s="32"/>
      <c r="L14" s="29"/>
    </row>
    <row r="15" spans="1:13" ht="21.75" customHeight="1" x14ac:dyDescent="0.2">
      <c r="B15" s="28">
        <f>4</f>
        <v>4</v>
      </c>
      <c r="C15" s="24"/>
      <c r="D15" s="29"/>
      <c r="E15" s="24"/>
      <c r="F15" s="24"/>
      <c r="G15" s="26"/>
      <c r="H15" s="30" t="str">
        <f t="shared" si="0"/>
        <v/>
      </c>
      <c r="I15" s="31"/>
      <c r="J15" s="24"/>
      <c r="K15" s="32"/>
      <c r="L15" s="29"/>
    </row>
    <row r="16" spans="1:13" ht="21.75" customHeight="1" x14ac:dyDescent="0.2">
      <c r="B16" s="28">
        <f>5</f>
        <v>5</v>
      </c>
      <c r="C16" s="24"/>
      <c r="D16" s="29"/>
      <c r="E16" s="24"/>
      <c r="F16" s="24"/>
      <c r="G16" s="26"/>
      <c r="H16" s="30" t="str">
        <f t="shared" si="0"/>
        <v/>
      </c>
      <c r="I16" s="31"/>
      <c r="J16" s="24"/>
      <c r="K16" s="32"/>
      <c r="L16" s="29"/>
    </row>
    <row r="17" spans="1:13" ht="21.75" customHeight="1" x14ac:dyDescent="0.2">
      <c r="B17" s="28">
        <f>6</f>
        <v>6</v>
      </c>
      <c r="C17" s="24"/>
      <c r="D17" s="29"/>
      <c r="E17" s="24"/>
      <c r="F17" s="24"/>
      <c r="G17" s="26"/>
      <c r="H17" s="30" t="str">
        <f t="shared" si="0"/>
        <v/>
      </c>
      <c r="I17" s="31"/>
      <c r="J17" s="24"/>
      <c r="K17" s="32"/>
      <c r="L17" s="29"/>
    </row>
    <row r="18" spans="1:13" ht="21.75" customHeight="1" x14ac:dyDescent="0.2">
      <c r="B18" s="28">
        <f>7</f>
        <v>7</v>
      </c>
      <c r="C18" s="24"/>
      <c r="D18" s="29"/>
      <c r="E18" s="24"/>
      <c r="F18" s="24"/>
      <c r="G18" s="26"/>
      <c r="H18" s="30" t="str">
        <f t="shared" si="0"/>
        <v/>
      </c>
      <c r="I18" s="31"/>
      <c r="J18" s="24"/>
      <c r="K18" s="32"/>
      <c r="L18" s="29"/>
    </row>
    <row r="19" spans="1:13" ht="21.75" customHeight="1" x14ac:dyDescent="0.2">
      <c r="B19" s="28">
        <f>8</f>
        <v>8</v>
      </c>
      <c r="C19" s="24"/>
      <c r="D19" s="29"/>
      <c r="E19" s="24"/>
      <c r="F19" s="24"/>
      <c r="G19" s="26"/>
      <c r="H19" s="30" t="str">
        <f t="shared" si="0"/>
        <v/>
      </c>
      <c r="I19" s="31"/>
      <c r="J19" s="24"/>
      <c r="K19" s="32"/>
      <c r="L19" s="29"/>
    </row>
    <row r="20" spans="1:13" ht="21.75" customHeight="1" x14ac:dyDescent="0.2">
      <c r="B20" s="28">
        <f>9</f>
        <v>9</v>
      </c>
      <c r="C20" s="24"/>
      <c r="D20" s="29"/>
      <c r="E20" s="24"/>
      <c r="F20" s="24"/>
      <c r="G20" s="26"/>
      <c r="H20" s="30" t="str">
        <f t="shared" si="0"/>
        <v/>
      </c>
      <c r="I20" s="31"/>
      <c r="J20" s="24"/>
      <c r="K20" s="32"/>
      <c r="L20" s="29"/>
    </row>
    <row r="21" spans="1:13" ht="21.75" customHeight="1" x14ac:dyDescent="0.2">
      <c r="B21" s="28">
        <f>10</f>
        <v>10</v>
      </c>
      <c r="C21" s="24"/>
      <c r="D21" s="29"/>
      <c r="E21" s="24"/>
      <c r="F21" s="24"/>
      <c r="G21" s="26"/>
      <c r="H21" s="30" t="str">
        <f t="shared" si="0"/>
        <v/>
      </c>
      <c r="I21" s="31"/>
      <c r="J21" s="24"/>
      <c r="K21" s="32"/>
      <c r="L21" s="29"/>
    </row>
    <row r="22" spans="1:13" ht="21.75" customHeight="1" x14ac:dyDescent="0.2">
      <c r="A22" s="4" t="s">
        <v>52</v>
      </c>
      <c r="B22" s="4"/>
      <c r="C22" s="4"/>
      <c r="D22" s="4"/>
      <c r="E22" s="4"/>
      <c r="F22" s="4"/>
      <c r="G22" s="33">
        <f>IFERROR(SUM(G12:G21),0)</f>
        <v>0</v>
      </c>
      <c r="H22" s="34">
        <f>IFERROR(SUMIF(G12:G21,"&lt;&gt;",H12:H21),0)</f>
        <v>0</v>
      </c>
      <c r="I22" s="35" t="str" cm="1">
        <f t="array" ref="I22">IFERROR(SUMPRODUCT((G12:G21)*IF(ISNUMBER(_xlfn.SINGLE(I12:I21)),I12:I21,0))/IFERROR(SUM(G12:G21),1),"")</f>
        <v/>
      </c>
      <c r="J22" s="36" t="s">
        <v>53</v>
      </c>
      <c r="K22" s="3" t="s">
        <v>54</v>
      </c>
      <c r="L22" s="3"/>
      <c r="M22" s="3"/>
    </row>
    <row r="24" spans="1:13" ht="9.75" customHeight="1" x14ac:dyDescent="0.2"/>
    <row r="25" spans="1:13" ht="19.5" customHeight="1" x14ac:dyDescent="0.2">
      <c r="A25" s="5" t="s">
        <v>55</v>
      </c>
      <c r="B25" s="5"/>
      <c r="C25" s="5"/>
      <c r="D25" s="5"/>
      <c r="E25" s="5"/>
      <c r="F25" s="5"/>
      <c r="G25" s="5"/>
      <c r="H25" s="5"/>
      <c r="I25" s="5"/>
      <c r="J25" s="5"/>
      <c r="K25" s="5"/>
      <c r="L25" s="5"/>
      <c r="M25" s="5"/>
    </row>
    <row r="26" spans="1:13" ht="30" customHeight="1" x14ac:dyDescent="0.2">
      <c r="A26" s="6" t="s">
        <v>56</v>
      </c>
      <c r="B26" s="6"/>
      <c r="C26" s="6"/>
      <c r="D26" s="6"/>
      <c r="E26" s="6"/>
      <c r="F26" s="6"/>
      <c r="G26" s="6"/>
      <c r="H26" s="6"/>
      <c r="I26" s="6"/>
      <c r="J26" s="6"/>
      <c r="K26" s="6"/>
      <c r="L26" s="6"/>
      <c r="M26" s="6"/>
    </row>
    <row r="27" spans="1:13" ht="21.75" customHeight="1" x14ac:dyDescent="0.2">
      <c r="B27" s="23" t="s">
        <v>57</v>
      </c>
      <c r="C27" s="7"/>
      <c r="D27" s="7"/>
      <c r="E27" s="7"/>
      <c r="F27" s="7"/>
      <c r="G27" s="7"/>
      <c r="H27" s="7"/>
      <c r="I27" s="7"/>
      <c r="J27" s="2" t="s">
        <v>58</v>
      </c>
      <c r="K27" s="2"/>
      <c r="L27" s="2"/>
      <c r="M27" s="2"/>
    </row>
    <row r="28" spans="1:13" ht="21.75" customHeight="1" x14ac:dyDescent="0.2">
      <c r="B28" s="23" t="s">
        <v>59</v>
      </c>
      <c r="C28" s="7"/>
      <c r="D28" s="7"/>
      <c r="E28" s="7"/>
      <c r="F28" s="7"/>
      <c r="G28" s="7"/>
      <c r="H28" s="7"/>
      <c r="I28" s="7"/>
      <c r="J28" s="2" t="s">
        <v>60</v>
      </c>
      <c r="K28" s="2"/>
      <c r="L28" s="2"/>
      <c r="M28" s="2"/>
    </row>
    <row r="29" spans="1:13" ht="21.75" customHeight="1" x14ac:dyDescent="0.2">
      <c r="B29" s="23" t="s">
        <v>61</v>
      </c>
      <c r="C29" s="7"/>
      <c r="D29" s="7"/>
      <c r="E29" s="7"/>
      <c r="F29" s="7"/>
      <c r="G29" s="7"/>
      <c r="H29" s="7"/>
      <c r="I29" s="7"/>
      <c r="J29" s="2" t="s">
        <v>62</v>
      </c>
      <c r="K29" s="2"/>
      <c r="L29" s="2"/>
      <c r="M29" s="2"/>
    </row>
    <row r="30" spans="1:13" ht="21.75" customHeight="1" x14ac:dyDescent="0.2">
      <c r="B30" s="23" t="s">
        <v>63</v>
      </c>
      <c r="C30" s="7"/>
      <c r="D30" s="7"/>
      <c r="E30" s="7"/>
      <c r="F30" s="7"/>
      <c r="G30" s="7"/>
      <c r="H30" s="7"/>
      <c r="I30" s="7"/>
      <c r="J30" s="2" t="s">
        <v>64</v>
      </c>
      <c r="K30" s="2"/>
      <c r="L30" s="2"/>
      <c r="M30" s="2"/>
    </row>
    <row r="31" spans="1:13" ht="21.75" customHeight="1" x14ac:dyDescent="0.2">
      <c r="B31" s="23" t="s">
        <v>65</v>
      </c>
      <c r="C31" s="7"/>
      <c r="D31" s="7"/>
      <c r="E31" s="7"/>
      <c r="F31" s="7"/>
      <c r="G31" s="7"/>
      <c r="H31" s="7"/>
      <c r="I31" s="7"/>
      <c r="J31" s="2" t="s">
        <v>66</v>
      </c>
      <c r="K31" s="2"/>
      <c r="L31" s="2"/>
      <c r="M31" s="2"/>
    </row>
    <row r="32" spans="1:13" ht="21.75" customHeight="1" x14ac:dyDescent="0.2">
      <c r="B32" s="23" t="s">
        <v>67</v>
      </c>
      <c r="C32" s="7"/>
      <c r="D32" s="7"/>
      <c r="E32" s="7"/>
      <c r="F32" s="7"/>
      <c r="G32" s="7"/>
      <c r="H32" s="7"/>
      <c r="I32" s="7"/>
      <c r="J32" s="2" t="s">
        <v>68</v>
      </c>
      <c r="K32" s="2"/>
      <c r="L32" s="2"/>
      <c r="M32" s="2"/>
    </row>
    <row r="33" spans="1:13" ht="21.75" customHeight="1" x14ac:dyDescent="0.2">
      <c r="B33" s="23" t="s">
        <v>69</v>
      </c>
      <c r="C33" s="7"/>
      <c r="D33" s="7"/>
      <c r="E33" s="7"/>
      <c r="F33" s="7"/>
      <c r="G33" s="7"/>
      <c r="H33" s="7"/>
      <c r="I33" s="7"/>
      <c r="J33" s="2" t="s">
        <v>70</v>
      </c>
      <c r="K33" s="2"/>
      <c r="L33" s="2"/>
      <c r="M33" s="2"/>
    </row>
    <row r="34" spans="1:13" ht="21.75" customHeight="1" x14ac:dyDescent="0.2">
      <c r="B34" s="23" t="s">
        <v>71</v>
      </c>
      <c r="C34" s="7"/>
      <c r="D34" s="7"/>
      <c r="E34" s="7"/>
      <c r="F34" s="7"/>
      <c r="G34" s="7"/>
      <c r="H34" s="7"/>
      <c r="I34" s="7"/>
      <c r="J34" s="2" t="s">
        <v>72</v>
      </c>
      <c r="K34" s="2"/>
      <c r="L34" s="2"/>
      <c r="M34" s="2"/>
    </row>
    <row r="35" spans="1:13" ht="21.75" customHeight="1" x14ac:dyDescent="0.2">
      <c r="B35" s="23" t="s">
        <v>73</v>
      </c>
      <c r="C35" s="7"/>
      <c r="D35" s="7"/>
      <c r="E35" s="7"/>
      <c r="F35" s="7"/>
      <c r="G35" s="7"/>
      <c r="H35" s="7"/>
      <c r="I35" s="7"/>
      <c r="J35" s="2" t="s">
        <v>74</v>
      </c>
      <c r="K35" s="2"/>
      <c r="L35" s="2"/>
      <c r="M35" s="2"/>
    </row>
    <row r="36" spans="1:13" ht="9.75" customHeight="1" x14ac:dyDescent="0.2"/>
    <row r="37" spans="1:13" ht="19.5" customHeight="1" x14ac:dyDescent="0.2">
      <c r="B37" s="5" t="s">
        <v>75</v>
      </c>
      <c r="C37" s="5"/>
      <c r="D37" s="5"/>
      <c r="E37" s="5"/>
      <c r="F37" s="5"/>
      <c r="G37" s="5"/>
      <c r="H37" s="5"/>
      <c r="I37" s="5"/>
      <c r="J37" s="5"/>
      <c r="K37" s="5"/>
      <c r="L37" s="5"/>
      <c r="M37" s="5"/>
    </row>
    <row r="38" spans="1:13" ht="30" customHeight="1" x14ac:dyDescent="0.2">
      <c r="B38" s="27" t="s">
        <v>76</v>
      </c>
      <c r="C38" s="1" t="s">
        <v>77</v>
      </c>
      <c r="D38" s="1"/>
      <c r="E38" s="1"/>
      <c r="F38" s="1" t="s">
        <v>78</v>
      </c>
      <c r="G38" s="1"/>
      <c r="H38" s="1" t="s">
        <v>79</v>
      </c>
      <c r="I38" s="1"/>
      <c r="J38" s="1"/>
      <c r="K38" s="1" t="s">
        <v>80</v>
      </c>
      <c r="L38" s="1"/>
    </row>
    <row r="39" spans="1:13" ht="21.75" customHeight="1" x14ac:dyDescent="0.2">
      <c r="B39" s="24"/>
      <c r="C39" s="7"/>
      <c r="D39" s="7"/>
      <c r="E39" s="7"/>
      <c r="F39" s="7"/>
      <c r="G39" s="7"/>
      <c r="H39" s="7"/>
      <c r="I39" s="7"/>
      <c r="J39" s="7"/>
      <c r="K39" s="7"/>
      <c r="L39" s="7"/>
    </row>
    <row r="40" spans="1:13" ht="21.75" customHeight="1" x14ac:dyDescent="0.2">
      <c r="B40" s="24"/>
      <c r="C40" s="7"/>
      <c r="D40" s="7"/>
      <c r="E40" s="7"/>
      <c r="F40" s="7"/>
      <c r="G40" s="7"/>
      <c r="H40" s="7"/>
      <c r="I40" s="7"/>
      <c r="J40" s="7"/>
      <c r="K40" s="7"/>
      <c r="L40" s="7"/>
    </row>
    <row r="41" spans="1:13" ht="9.75" customHeight="1" x14ac:dyDescent="0.2"/>
    <row r="42" spans="1:13" ht="19.5" customHeight="1" x14ac:dyDescent="0.2">
      <c r="A42" s="5" t="s">
        <v>81</v>
      </c>
      <c r="B42" s="5"/>
      <c r="C42" s="5"/>
      <c r="D42" s="5"/>
      <c r="E42" s="5"/>
      <c r="F42" s="5"/>
      <c r="G42" s="5"/>
      <c r="H42" s="5"/>
      <c r="I42" s="5"/>
      <c r="J42" s="5"/>
      <c r="K42" s="5"/>
      <c r="L42" s="5"/>
      <c r="M42" s="5"/>
    </row>
    <row r="43" spans="1:13" ht="30" customHeight="1" x14ac:dyDescent="0.2">
      <c r="A43" s="8" t="s">
        <v>82</v>
      </c>
      <c r="B43" s="8"/>
      <c r="C43" s="8"/>
      <c r="D43" s="8"/>
      <c r="E43" s="8"/>
      <c r="F43" s="8"/>
      <c r="G43" s="8"/>
      <c r="H43" s="8"/>
      <c r="I43" s="8"/>
      <c r="J43" s="8"/>
      <c r="K43" s="8"/>
      <c r="L43" s="8"/>
      <c r="M43" s="8"/>
    </row>
    <row r="44" spans="1:13" ht="19.5" customHeight="1" x14ac:dyDescent="0.2">
      <c r="A44" s="73" t="s">
        <v>83</v>
      </c>
      <c r="B44" s="73"/>
      <c r="C44" s="73"/>
      <c r="D44" s="73"/>
      <c r="E44" s="73"/>
      <c r="F44" s="73"/>
      <c r="G44" s="73"/>
      <c r="H44" s="73"/>
      <c r="I44" s="73"/>
      <c r="J44" s="73"/>
      <c r="K44" s="73"/>
      <c r="L44" s="73"/>
      <c r="M44" s="73"/>
    </row>
    <row r="45" spans="1:13" ht="25.5" customHeight="1" x14ac:dyDescent="0.2">
      <c r="B45" s="37" t="s">
        <v>84</v>
      </c>
      <c r="C45" s="7"/>
      <c r="D45" s="7"/>
      <c r="E45" s="7"/>
      <c r="F45" s="7"/>
      <c r="G45" s="7"/>
      <c r="H45" s="7"/>
      <c r="I45" s="7"/>
      <c r="J45" s="7"/>
      <c r="K45" s="7"/>
      <c r="L45" s="7"/>
      <c r="M45" s="7"/>
    </row>
    <row r="46" spans="1:13" ht="25.5" customHeight="1" x14ac:dyDescent="0.2">
      <c r="B46" s="37" t="s">
        <v>85</v>
      </c>
      <c r="C46" s="7"/>
      <c r="D46" s="7"/>
      <c r="E46" s="7"/>
      <c r="F46" s="7"/>
      <c r="G46" s="7"/>
      <c r="H46" s="7"/>
      <c r="I46" s="7"/>
      <c r="J46" s="7"/>
      <c r="K46" s="7"/>
      <c r="L46" s="7"/>
      <c r="M46" s="7"/>
    </row>
    <row r="47" spans="1:13" ht="25.5" customHeight="1" x14ac:dyDescent="0.2">
      <c r="B47" s="37" t="s">
        <v>86</v>
      </c>
      <c r="C47" s="7"/>
      <c r="D47" s="7"/>
      <c r="E47" s="7"/>
      <c r="F47" s="7"/>
      <c r="G47" s="7"/>
      <c r="H47" s="7"/>
      <c r="I47" s="7"/>
      <c r="J47" s="7"/>
      <c r="K47" s="7"/>
      <c r="L47" s="7"/>
      <c r="M47" s="7"/>
    </row>
    <row r="48" spans="1:13" ht="25.5" customHeight="1" x14ac:dyDescent="0.2">
      <c r="B48" s="37" t="s">
        <v>87</v>
      </c>
      <c r="C48" s="7"/>
      <c r="D48" s="7"/>
      <c r="E48" s="7"/>
      <c r="F48" s="7"/>
      <c r="G48" s="7"/>
      <c r="H48" s="7"/>
      <c r="I48" s="7"/>
      <c r="J48" s="7"/>
      <c r="K48" s="7"/>
      <c r="L48" s="7"/>
      <c r="M48" s="7"/>
    </row>
    <row r="49" spans="1:13" ht="25.5" customHeight="1" x14ac:dyDescent="0.2">
      <c r="B49" s="37" t="s">
        <v>88</v>
      </c>
      <c r="C49" s="7"/>
      <c r="D49" s="7"/>
      <c r="E49" s="7"/>
      <c r="F49" s="7"/>
      <c r="G49" s="7"/>
      <c r="H49" s="7"/>
      <c r="I49" s="7"/>
      <c r="J49" s="7"/>
      <c r="K49" s="7"/>
      <c r="L49" s="7"/>
      <c r="M49" s="7"/>
    </row>
    <row r="50" spans="1:13" ht="25.5" customHeight="1" x14ac:dyDescent="0.2">
      <c r="B50" s="37" t="s">
        <v>89</v>
      </c>
      <c r="C50" s="7"/>
      <c r="D50" s="7"/>
      <c r="E50" s="7"/>
      <c r="F50" s="7"/>
      <c r="G50" s="7"/>
      <c r="H50" s="7"/>
      <c r="I50" s="7"/>
      <c r="J50" s="7"/>
      <c r="K50" s="7"/>
      <c r="L50" s="7"/>
      <c r="M50" s="7"/>
    </row>
    <row r="51" spans="1:13" ht="25.5" customHeight="1" x14ac:dyDescent="0.2">
      <c r="B51" s="37" t="s">
        <v>90</v>
      </c>
      <c r="C51" s="7"/>
      <c r="D51" s="7"/>
      <c r="E51" s="7"/>
      <c r="F51" s="7"/>
      <c r="G51" s="7"/>
      <c r="H51" s="7"/>
      <c r="I51" s="7"/>
      <c r="J51" s="7"/>
      <c r="K51" s="7"/>
      <c r="L51" s="7"/>
      <c r="M51" s="7"/>
    </row>
    <row r="52" spans="1:13" ht="6" customHeight="1" x14ac:dyDescent="0.2"/>
    <row r="53" spans="1:13" ht="19.5" customHeight="1" x14ac:dyDescent="0.2">
      <c r="A53" s="73" t="s">
        <v>91</v>
      </c>
      <c r="B53" s="73"/>
      <c r="C53" s="73"/>
      <c r="D53" s="73"/>
      <c r="E53" s="73"/>
      <c r="F53" s="73"/>
      <c r="G53" s="73"/>
      <c r="H53" s="73"/>
      <c r="I53" s="73"/>
      <c r="J53" s="73"/>
      <c r="K53" s="73"/>
      <c r="L53" s="73"/>
      <c r="M53" s="73"/>
    </row>
    <row r="54" spans="1:13" ht="25.5" customHeight="1" x14ac:dyDescent="0.2">
      <c r="B54" s="37" t="s">
        <v>84</v>
      </c>
      <c r="C54" s="7"/>
      <c r="D54" s="7"/>
      <c r="E54" s="7"/>
      <c r="F54" s="7"/>
      <c r="G54" s="7"/>
      <c r="H54" s="7"/>
      <c r="I54" s="7"/>
      <c r="J54" s="7"/>
      <c r="K54" s="7"/>
      <c r="L54" s="7"/>
      <c r="M54" s="7"/>
    </row>
    <row r="55" spans="1:13" ht="25.5" customHeight="1" x14ac:dyDescent="0.2">
      <c r="B55" s="37" t="s">
        <v>85</v>
      </c>
      <c r="C55" s="7"/>
      <c r="D55" s="7"/>
      <c r="E55" s="7"/>
      <c r="F55" s="7"/>
      <c r="G55" s="7"/>
      <c r="H55" s="7"/>
      <c r="I55" s="7"/>
      <c r="J55" s="7"/>
      <c r="K55" s="7"/>
      <c r="L55" s="7"/>
      <c r="M55" s="7"/>
    </row>
    <row r="56" spans="1:13" ht="25.5" customHeight="1" x14ac:dyDescent="0.2">
      <c r="B56" s="37" t="s">
        <v>86</v>
      </c>
      <c r="C56" s="7"/>
      <c r="D56" s="7"/>
      <c r="E56" s="7"/>
      <c r="F56" s="7"/>
      <c r="G56" s="7"/>
      <c r="H56" s="7"/>
      <c r="I56" s="7"/>
      <c r="J56" s="7"/>
      <c r="K56" s="7"/>
      <c r="L56" s="7"/>
      <c r="M56" s="7"/>
    </row>
    <row r="57" spans="1:13" ht="25.5" customHeight="1" x14ac:dyDescent="0.2">
      <c r="B57" s="37" t="s">
        <v>87</v>
      </c>
      <c r="C57" s="7"/>
      <c r="D57" s="7"/>
      <c r="E57" s="7"/>
      <c r="F57" s="7"/>
      <c r="G57" s="7"/>
      <c r="H57" s="7"/>
      <c r="I57" s="7"/>
      <c r="J57" s="7"/>
      <c r="K57" s="7"/>
      <c r="L57" s="7"/>
      <c r="M57" s="7"/>
    </row>
    <row r="58" spans="1:13" ht="25.5" customHeight="1" x14ac:dyDescent="0.2">
      <c r="B58" s="37" t="s">
        <v>88</v>
      </c>
      <c r="C58" s="7"/>
      <c r="D58" s="7"/>
      <c r="E58" s="7"/>
      <c r="F58" s="7"/>
      <c r="G58" s="7"/>
      <c r="H58" s="7"/>
      <c r="I58" s="7"/>
      <c r="J58" s="7"/>
      <c r="K58" s="7"/>
      <c r="L58" s="7"/>
      <c r="M58" s="7"/>
    </row>
    <row r="59" spans="1:13" ht="25.5" customHeight="1" x14ac:dyDescent="0.2">
      <c r="B59" s="37" t="s">
        <v>89</v>
      </c>
      <c r="C59" s="7"/>
      <c r="D59" s="7"/>
      <c r="E59" s="7"/>
      <c r="F59" s="7"/>
      <c r="G59" s="7"/>
      <c r="H59" s="7"/>
      <c r="I59" s="7"/>
      <c r="J59" s="7"/>
      <c r="K59" s="7"/>
      <c r="L59" s="7"/>
      <c r="M59" s="7"/>
    </row>
    <row r="60" spans="1:13" ht="25.5" customHeight="1" x14ac:dyDescent="0.2">
      <c r="B60" s="37" t="s">
        <v>90</v>
      </c>
      <c r="C60" s="7"/>
      <c r="D60" s="7"/>
      <c r="E60" s="7"/>
      <c r="F60" s="7"/>
      <c r="G60" s="7"/>
      <c r="H60" s="7"/>
      <c r="I60" s="7"/>
      <c r="J60" s="7"/>
      <c r="K60" s="7"/>
      <c r="L60" s="7"/>
      <c r="M60" s="7"/>
    </row>
    <row r="61" spans="1:13" ht="6" customHeight="1" x14ac:dyDescent="0.2"/>
    <row r="62" spans="1:13" ht="19.5" customHeight="1" x14ac:dyDescent="0.2">
      <c r="A62" s="73" t="s">
        <v>92</v>
      </c>
      <c r="B62" s="73"/>
      <c r="C62" s="73"/>
      <c r="D62" s="73"/>
      <c r="E62" s="73"/>
      <c r="F62" s="73"/>
      <c r="G62" s="73"/>
      <c r="H62" s="73"/>
      <c r="I62" s="73"/>
      <c r="J62" s="73"/>
      <c r="K62" s="73"/>
      <c r="L62" s="73"/>
      <c r="M62" s="73"/>
    </row>
    <row r="63" spans="1:13" ht="25.5" customHeight="1" x14ac:dyDescent="0.2">
      <c r="B63" s="37" t="s">
        <v>84</v>
      </c>
      <c r="C63" s="7"/>
      <c r="D63" s="7"/>
      <c r="E63" s="7"/>
      <c r="F63" s="7"/>
      <c r="G63" s="7"/>
      <c r="H63" s="7"/>
      <c r="I63" s="7"/>
      <c r="J63" s="7"/>
      <c r="K63" s="7"/>
      <c r="L63" s="7"/>
      <c r="M63" s="7"/>
    </row>
    <row r="64" spans="1:13" ht="25.5" customHeight="1" x14ac:dyDescent="0.2">
      <c r="B64" s="37" t="s">
        <v>85</v>
      </c>
      <c r="C64" s="7"/>
      <c r="D64" s="7"/>
      <c r="E64" s="7"/>
      <c r="F64" s="7"/>
      <c r="G64" s="7"/>
      <c r="H64" s="7"/>
      <c r="I64" s="7"/>
      <c r="J64" s="7"/>
      <c r="K64" s="7"/>
      <c r="L64" s="7"/>
      <c r="M64" s="7"/>
    </row>
    <row r="65" spans="1:13" ht="25.5" customHeight="1" x14ac:dyDescent="0.2">
      <c r="B65" s="37" t="s">
        <v>86</v>
      </c>
      <c r="C65" s="7"/>
      <c r="D65" s="7"/>
      <c r="E65" s="7"/>
      <c r="F65" s="7"/>
      <c r="G65" s="7"/>
      <c r="H65" s="7"/>
      <c r="I65" s="7"/>
      <c r="J65" s="7"/>
      <c r="K65" s="7"/>
      <c r="L65" s="7"/>
      <c r="M65" s="7"/>
    </row>
    <row r="66" spans="1:13" ht="25.5" customHeight="1" x14ac:dyDescent="0.2">
      <c r="B66" s="37" t="s">
        <v>87</v>
      </c>
      <c r="C66" s="7"/>
      <c r="D66" s="7"/>
      <c r="E66" s="7"/>
      <c r="F66" s="7"/>
      <c r="G66" s="7"/>
      <c r="H66" s="7"/>
      <c r="I66" s="7"/>
      <c r="J66" s="7"/>
      <c r="K66" s="7"/>
      <c r="L66" s="7"/>
      <c r="M66" s="7"/>
    </row>
    <row r="67" spans="1:13" ht="25.5" customHeight="1" x14ac:dyDescent="0.2">
      <c r="B67" s="37" t="s">
        <v>88</v>
      </c>
      <c r="C67" s="7"/>
      <c r="D67" s="7"/>
      <c r="E67" s="7"/>
      <c r="F67" s="7"/>
      <c r="G67" s="7"/>
      <c r="H67" s="7"/>
      <c r="I67" s="7"/>
      <c r="J67" s="7"/>
      <c r="K67" s="7"/>
      <c r="L67" s="7"/>
      <c r="M67" s="7"/>
    </row>
    <row r="68" spans="1:13" ht="25.5" customHeight="1" x14ac:dyDescent="0.2">
      <c r="B68" s="37" t="s">
        <v>89</v>
      </c>
      <c r="C68" s="7"/>
      <c r="D68" s="7"/>
      <c r="E68" s="7"/>
      <c r="F68" s="7"/>
      <c r="G68" s="7"/>
      <c r="H68" s="7"/>
      <c r="I68" s="7"/>
      <c r="J68" s="7"/>
      <c r="K68" s="7"/>
      <c r="L68" s="7"/>
      <c r="M68" s="7"/>
    </row>
    <row r="69" spans="1:13" ht="25.5" customHeight="1" x14ac:dyDescent="0.2">
      <c r="B69" s="37" t="s">
        <v>90</v>
      </c>
      <c r="C69" s="7"/>
      <c r="D69" s="7"/>
      <c r="E69" s="7"/>
      <c r="F69" s="7"/>
      <c r="G69" s="7"/>
      <c r="H69" s="7"/>
      <c r="I69" s="7"/>
      <c r="J69" s="7"/>
      <c r="K69" s="7"/>
      <c r="L69" s="7"/>
      <c r="M69" s="7"/>
    </row>
    <row r="70" spans="1:13" ht="6" customHeight="1" x14ac:dyDescent="0.2"/>
    <row r="71" spans="1:13" ht="19.5" customHeight="1" x14ac:dyDescent="0.2">
      <c r="A71" s="73" t="s">
        <v>93</v>
      </c>
      <c r="B71" s="73"/>
      <c r="C71" s="73"/>
      <c r="D71" s="73"/>
      <c r="E71" s="73"/>
      <c r="F71" s="73"/>
      <c r="G71" s="73"/>
      <c r="H71" s="73"/>
      <c r="I71" s="73"/>
      <c r="J71" s="73"/>
      <c r="K71" s="73"/>
      <c r="L71" s="73"/>
      <c r="M71" s="73"/>
    </row>
    <row r="72" spans="1:13" ht="25.5" customHeight="1" x14ac:dyDescent="0.2">
      <c r="B72" s="37" t="s">
        <v>84</v>
      </c>
      <c r="C72" s="7"/>
      <c r="D72" s="7"/>
      <c r="E72" s="7"/>
      <c r="F72" s="7"/>
      <c r="G72" s="7"/>
      <c r="H72" s="7"/>
      <c r="I72" s="7"/>
      <c r="J72" s="7"/>
      <c r="K72" s="7"/>
      <c r="L72" s="7"/>
      <c r="M72" s="7"/>
    </row>
    <row r="73" spans="1:13" ht="25.5" customHeight="1" x14ac:dyDescent="0.2">
      <c r="B73" s="37" t="s">
        <v>85</v>
      </c>
      <c r="C73" s="7"/>
      <c r="D73" s="7"/>
      <c r="E73" s="7"/>
      <c r="F73" s="7"/>
      <c r="G73" s="7"/>
      <c r="H73" s="7"/>
      <c r="I73" s="7"/>
      <c r="J73" s="7"/>
      <c r="K73" s="7"/>
      <c r="L73" s="7"/>
      <c r="M73" s="7"/>
    </row>
    <row r="74" spans="1:13" ht="25.5" customHeight="1" x14ac:dyDescent="0.2">
      <c r="B74" s="37" t="s">
        <v>86</v>
      </c>
      <c r="C74" s="7"/>
      <c r="D74" s="7"/>
      <c r="E74" s="7"/>
      <c r="F74" s="7"/>
      <c r="G74" s="7"/>
      <c r="H74" s="7"/>
      <c r="I74" s="7"/>
      <c r="J74" s="7"/>
      <c r="K74" s="7"/>
      <c r="L74" s="7"/>
      <c r="M74" s="7"/>
    </row>
    <row r="75" spans="1:13" ht="25.5" customHeight="1" x14ac:dyDescent="0.2">
      <c r="B75" s="37" t="s">
        <v>87</v>
      </c>
      <c r="C75" s="7"/>
      <c r="D75" s="7"/>
      <c r="E75" s="7"/>
      <c r="F75" s="7"/>
      <c r="G75" s="7"/>
      <c r="H75" s="7"/>
      <c r="I75" s="7"/>
      <c r="J75" s="7"/>
      <c r="K75" s="7"/>
      <c r="L75" s="7"/>
      <c r="M75" s="7"/>
    </row>
    <row r="76" spans="1:13" ht="25.5" customHeight="1" x14ac:dyDescent="0.2">
      <c r="B76" s="37" t="s">
        <v>88</v>
      </c>
      <c r="C76" s="7"/>
      <c r="D76" s="7"/>
      <c r="E76" s="7"/>
      <c r="F76" s="7"/>
      <c r="G76" s="7"/>
      <c r="H76" s="7"/>
      <c r="I76" s="7"/>
      <c r="J76" s="7"/>
      <c r="K76" s="7"/>
      <c r="L76" s="7"/>
      <c r="M76" s="7"/>
    </row>
    <row r="77" spans="1:13" ht="25.5" customHeight="1" x14ac:dyDescent="0.2">
      <c r="B77" s="37" t="s">
        <v>89</v>
      </c>
      <c r="C77" s="7"/>
      <c r="D77" s="7"/>
      <c r="E77" s="7"/>
      <c r="F77" s="7"/>
      <c r="G77" s="7"/>
      <c r="H77" s="7"/>
      <c r="I77" s="7"/>
      <c r="J77" s="7"/>
      <c r="K77" s="7"/>
      <c r="L77" s="7"/>
      <c r="M77" s="7"/>
    </row>
    <row r="78" spans="1:13" ht="25.5" customHeight="1" x14ac:dyDescent="0.2">
      <c r="B78" s="37" t="s">
        <v>90</v>
      </c>
      <c r="C78" s="7"/>
      <c r="D78" s="7"/>
      <c r="E78" s="7"/>
      <c r="F78" s="7"/>
      <c r="G78" s="7"/>
      <c r="H78" s="7"/>
      <c r="I78" s="7"/>
      <c r="J78" s="7"/>
      <c r="K78" s="7"/>
      <c r="L78" s="7"/>
      <c r="M78" s="7"/>
    </row>
    <row r="79" spans="1:13" ht="6" customHeight="1" x14ac:dyDescent="0.2"/>
    <row r="80" spans="1:13" ht="19.5" customHeight="1" x14ac:dyDescent="0.2">
      <c r="A80" s="73" t="s">
        <v>94</v>
      </c>
      <c r="B80" s="73"/>
      <c r="C80" s="73"/>
      <c r="D80" s="73"/>
      <c r="E80" s="73"/>
      <c r="F80" s="73"/>
      <c r="G80" s="73"/>
      <c r="H80" s="73"/>
      <c r="I80" s="73"/>
      <c r="J80" s="73"/>
      <c r="K80" s="73"/>
      <c r="L80" s="73"/>
      <c r="M80" s="73"/>
    </row>
    <row r="81" spans="1:13" ht="25.5" customHeight="1" x14ac:dyDescent="0.2">
      <c r="B81" s="37" t="s">
        <v>84</v>
      </c>
      <c r="C81" s="7"/>
      <c r="D81" s="7"/>
      <c r="E81" s="7"/>
      <c r="F81" s="7"/>
      <c r="G81" s="7"/>
      <c r="H81" s="7"/>
      <c r="I81" s="7"/>
      <c r="J81" s="7"/>
      <c r="K81" s="7"/>
      <c r="L81" s="7"/>
      <c r="M81" s="7"/>
    </row>
    <row r="82" spans="1:13" ht="25.5" customHeight="1" x14ac:dyDescent="0.2">
      <c r="B82" s="37" t="s">
        <v>85</v>
      </c>
      <c r="C82" s="7"/>
      <c r="D82" s="7"/>
      <c r="E82" s="7"/>
      <c r="F82" s="7"/>
      <c r="G82" s="7"/>
      <c r="H82" s="7"/>
      <c r="I82" s="7"/>
      <c r="J82" s="7"/>
      <c r="K82" s="7"/>
      <c r="L82" s="7"/>
      <c r="M82" s="7"/>
    </row>
    <row r="83" spans="1:13" ht="25.5" customHeight="1" x14ac:dyDescent="0.2">
      <c r="B83" s="37" t="s">
        <v>86</v>
      </c>
      <c r="C83" s="7"/>
      <c r="D83" s="7"/>
      <c r="E83" s="7"/>
      <c r="F83" s="7"/>
      <c r="G83" s="7"/>
      <c r="H83" s="7"/>
      <c r="I83" s="7"/>
      <c r="J83" s="7"/>
      <c r="K83" s="7"/>
      <c r="L83" s="7"/>
      <c r="M83" s="7"/>
    </row>
    <row r="84" spans="1:13" ht="25.5" customHeight="1" x14ac:dyDescent="0.2">
      <c r="B84" s="37" t="s">
        <v>87</v>
      </c>
      <c r="C84" s="7"/>
      <c r="D84" s="7"/>
      <c r="E84" s="7"/>
      <c r="F84" s="7"/>
      <c r="G84" s="7"/>
      <c r="H84" s="7"/>
      <c r="I84" s="7"/>
      <c r="J84" s="7"/>
      <c r="K84" s="7"/>
      <c r="L84" s="7"/>
      <c r="M84" s="7"/>
    </row>
    <row r="85" spans="1:13" ht="25.5" customHeight="1" x14ac:dyDescent="0.2">
      <c r="B85" s="37" t="s">
        <v>88</v>
      </c>
      <c r="C85" s="7"/>
      <c r="D85" s="7"/>
      <c r="E85" s="7"/>
      <c r="F85" s="7"/>
      <c r="G85" s="7"/>
      <c r="H85" s="7"/>
      <c r="I85" s="7"/>
      <c r="J85" s="7"/>
      <c r="K85" s="7"/>
      <c r="L85" s="7"/>
      <c r="M85" s="7"/>
    </row>
    <row r="86" spans="1:13" ht="25.5" customHeight="1" x14ac:dyDescent="0.2">
      <c r="B86" s="37" t="s">
        <v>89</v>
      </c>
      <c r="C86" s="7"/>
      <c r="D86" s="7"/>
      <c r="E86" s="7"/>
      <c r="F86" s="7"/>
      <c r="G86" s="7"/>
      <c r="H86" s="7"/>
      <c r="I86" s="7"/>
      <c r="J86" s="7"/>
      <c r="K86" s="7"/>
      <c r="L86" s="7"/>
      <c r="M86" s="7"/>
    </row>
    <row r="87" spans="1:13" ht="25.5" customHeight="1" x14ac:dyDescent="0.2">
      <c r="B87" s="37" t="s">
        <v>90</v>
      </c>
      <c r="C87" s="7"/>
      <c r="D87" s="7"/>
      <c r="E87" s="7"/>
      <c r="F87" s="7"/>
      <c r="G87" s="7"/>
      <c r="H87" s="7"/>
      <c r="I87" s="7"/>
      <c r="J87" s="7"/>
      <c r="K87" s="7"/>
      <c r="L87" s="7"/>
      <c r="M87" s="7"/>
    </row>
    <row r="88" spans="1:13" ht="6" customHeight="1" x14ac:dyDescent="0.2"/>
    <row r="89" spans="1:13" ht="27.75" customHeight="1" x14ac:dyDescent="0.2">
      <c r="A89" s="74" t="s">
        <v>95</v>
      </c>
      <c r="B89" s="74"/>
      <c r="C89" s="74"/>
      <c r="D89" s="74"/>
      <c r="E89" s="74"/>
      <c r="F89" s="74"/>
      <c r="G89" s="74"/>
      <c r="H89" s="74"/>
      <c r="I89" s="74"/>
      <c r="J89" s="74"/>
      <c r="K89" s="74"/>
      <c r="L89" s="74"/>
      <c r="M89" s="74"/>
    </row>
    <row r="91" spans="1:13" ht="9.75" customHeight="1" x14ac:dyDescent="0.2"/>
    <row r="92" spans="1:13" ht="19.5" customHeight="1" x14ac:dyDescent="0.2">
      <c r="A92" s="5" t="s">
        <v>96</v>
      </c>
      <c r="B92" s="5"/>
      <c r="C92" s="5"/>
      <c r="D92" s="5"/>
      <c r="E92" s="5"/>
      <c r="F92" s="5"/>
      <c r="G92" s="5"/>
      <c r="H92" s="5"/>
      <c r="I92" s="5"/>
      <c r="J92" s="5"/>
      <c r="K92" s="5"/>
      <c r="L92" s="5"/>
      <c r="M92" s="5"/>
    </row>
    <row r="93" spans="1:13" ht="18" customHeight="1" x14ac:dyDescent="0.2">
      <c r="B93" s="38" t="s">
        <v>97</v>
      </c>
      <c r="C93" s="75" t="s">
        <v>98</v>
      </c>
      <c r="D93" s="75"/>
      <c r="E93" s="75"/>
      <c r="F93" s="75"/>
      <c r="G93" s="75"/>
      <c r="H93" s="75"/>
      <c r="I93" s="75"/>
      <c r="J93" s="75"/>
      <c r="K93" s="75"/>
      <c r="L93" s="75"/>
      <c r="M93" s="75"/>
    </row>
    <row r="94" spans="1:13" ht="18" customHeight="1" x14ac:dyDescent="0.2">
      <c r="B94" s="39" t="s">
        <v>97</v>
      </c>
      <c r="C94" s="75" t="s">
        <v>99</v>
      </c>
      <c r="D94" s="75"/>
      <c r="E94" s="75"/>
      <c r="F94" s="75"/>
      <c r="G94" s="75"/>
      <c r="H94" s="75"/>
      <c r="I94" s="75"/>
      <c r="J94" s="75"/>
      <c r="K94" s="75"/>
      <c r="L94" s="75"/>
      <c r="M94" s="75"/>
    </row>
    <row r="95" spans="1:13" ht="18" customHeight="1" x14ac:dyDescent="0.2">
      <c r="B95" s="40" t="s">
        <v>97</v>
      </c>
      <c r="C95" s="75" t="s">
        <v>100</v>
      </c>
      <c r="D95" s="75"/>
      <c r="E95" s="75"/>
      <c r="F95" s="75"/>
      <c r="G95" s="75"/>
      <c r="H95" s="75"/>
      <c r="I95" s="75"/>
      <c r="J95" s="75"/>
      <c r="K95" s="75"/>
      <c r="L95" s="75"/>
      <c r="M95" s="75"/>
    </row>
    <row r="96" spans="1:13" ht="18" customHeight="1" x14ac:dyDescent="0.2">
      <c r="B96" s="41" t="s">
        <v>97</v>
      </c>
      <c r="C96" s="75" t="s">
        <v>101</v>
      </c>
      <c r="D96" s="75"/>
      <c r="E96" s="75"/>
      <c r="F96" s="75"/>
      <c r="G96" s="75"/>
      <c r="H96" s="75"/>
      <c r="I96" s="75"/>
      <c r="J96" s="75"/>
      <c r="K96" s="75"/>
      <c r="L96" s="75"/>
      <c r="M96" s="75"/>
    </row>
    <row r="97" spans="2:13" ht="18" customHeight="1" x14ac:dyDescent="0.2">
      <c r="B97" s="42" t="s">
        <v>97</v>
      </c>
      <c r="C97" s="75" t="s">
        <v>102</v>
      </c>
      <c r="D97" s="75"/>
      <c r="E97" s="75"/>
      <c r="F97" s="75"/>
      <c r="G97" s="75"/>
      <c r="H97" s="75"/>
      <c r="I97" s="75"/>
      <c r="J97" s="75"/>
      <c r="K97" s="75"/>
      <c r="L97" s="75"/>
      <c r="M97" s="75"/>
    </row>
  </sheetData>
  <mergeCells count="90">
    <mergeCell ref="C94:M94"/>
    <mergeCell ref="C95:M95"/>
    <mergeCell ref="C96:M96"/>
    <mergeCell ref="C97:M97"/>
    <mergeCell ref="C86:M86"/>
    <mergeCell ref="C87:M87"/>
    <mergeCell ref="A89:M89"/>
    <mergeCell ref="A92:M92"/>
    <mergeCell ref="C93:M93"/>
    <mergeCell ref="C81:M81"/>
    <mergeCell ref="C82:M82"/>
    <mergeCell ref="C83:M83"/>
    <mergeCell ref="C84:M84"/>
    <mergeCell ref="C85:M85"/>
    <mergeCell ref="C75:M75"/>
    <mergeCell ref="C76:M76"/>
    <mergeCell ref="C77:M77"/>
    <mergeCell ref="C78:M78"/>
    <mergeCell ref="A80:M80"/>
    <mergeCell ref="C69:M69"/>
    <mergeCell ref="A71:M71"/>
    <mergeCell ref="C72:M72"/>
    <mergeCell ref="C73:M73"/>
    <mergeCell ref="C74:M74"/>
    <mergeCell ref="C64:M64"/>
    <mergeCell ref="C65:M65"/>
    <mergeCell ref="C66:M66"/>
    <mergeCell ref="C67:M67"/>
    <mergeCell ref="C68:M68"/>
    <mergeCell ref="C58:M58"/>
    <mergeCell ref="C59:M59"/>
    <mergeCell ref="C60:M60"/>
    <mergeCell ref="A62:M62"/>
    <mergeCell ref="C63:M63"/>
    <mergeCell ref="A53:M53"/>
    <mergeCell ref="C54:M54"/>
    <mergeCell ref="C55:M55"/>
    <mergeCell ref="C56:M56"/>
    <mergeCell ref="C57:M57"/>
    <mergeCell ref="C47:M47"/>
    <mergeCell ref="C48:M48"/>
    <mergeCell ref="C49:M49"/>
    <mergeCell ref="C50:M50"/>
    <mergeCell ref="C51:M51"/>
    <mergeCell ref="A42:M42"/>
    <mergeCell ref="A43:M43"/>
    <mergeCell ref="A44:M44"/>
    <mergeCell ref="C45:M45"/>
    <mergeCell ref="C46:M46"/>
    <mergeCell ref="C39:E39"/>
    <mergeCell ref="F39:G39"/>
    <mergeCell ref="H39:J39"/>
    <mergeCell ref="K39:L39"/>
    <mergeCell ref="C40:E40"/>
    <mergeCell ref="F40:G40"/>
    <mergeCell ref="H40:J40"/>
    <mergeCell ref="K40:L40"/>
    <mergeCell ref="B37:M37"/>
    <mergeCell ref="C38:E38"/>
    <mergeCell ref="F38:G38"/>
    <mergeCell ref="H38:J38"/>
    <mergeCell ref="K38:L38"/>
    <mergeCell ref="C33:I33"/>
    <mergeCell ref="J33:M33"/>
    <mergeCell ref="C34:I34"/>
    <mergeCell ref="J34:M34"/>
    <mergeCell ref="C35:I35"/>
    <mergeCell ref="J35:M35"/>
    <mergeCell ref="C30:I30"/>
    <mergeCell ref="J30:M30"/>
    <mergeCell ref="C31:I31"/>
    <mergeCell ref="J31:M31"/>
    <mergeCell ref="C32:I32"/>
    <mergeCell ref="J32:M32"/>
    <mergeCell ref="C27:I27"/>
    <mergeCell ref="J27:M27"/>
    <mergeCell ref="C28:I28"/>
    <mergeCell ref="J28:M28"/>
    <mergeCell ref="C29:I29"/>
    <mergeCell ref="J29:M29"/>
    <mergeCell ref="A10:M10"/>
    <mergeCell ref="A22:F22"/>
    <mergeCell ref="K22:M22"/>
    <mergeCell ref="A25:M25"/>
    <mergeCell ref="A26:M26"/>
    <mergeCell ref="A2:M2"/>
    <mergeCell ref="A3:M3"/>
    <mergeCell ref="K5:L5"/>
    <mergeCell ref="A7:M7"/>
    <mergeCell ref="A9:M9"/>
  </mergeCells>
  <conditionalFormatting sqref="G22">
    <cfRule type="cellIs" dxfId="7" priority="22" operator="equal">
      <formula>1</formula>
    </cfRule>
    <cfRule type="cellIs" dxfId="6" priority="23" operator="notEqual">
      <formula>1</formula>
    </cfRule>
  </conditionalFormatting>
  <conditionalFormatting sqref="J12:J21">
    <cfRule type="expression" dxfId="5" priority="2">
      <formula>J12="NO"</formula>
    </cfRule>
    <cfRule type="expression" dxfId="4" priority="3">
      <formula>J12="YES"</formula>
    </cfRule>
  </conditionalFormatting>
  <dataValidations count="3">
    <dataValidation type="list" allowBlank="1" showErrorMessage="1" errorTitle="Invalid" error="Select from dropdown list." sqref="E12:E21" xr:uid="{00000000-0002-0000-0300-000000000000}">
      <formula1>"U.S. Equities,Fixed Income,Cash / Equiv.,International Equity,Real Estate / REIT,Commodities,Derivatives,Other"</formula1>
      <formula2>0</formula2>
    </dataValidation>
    <dataValidation type="list" allowBlank="1" showErrorMessage="1" errorTitle="Invalid" error="Select from dropdown list." sqref="F12:F21" xr:uid="{00000000-0002-0000-0300-000001000000}">
      <formula1>"Technology,Healthcare,Financials,Consumer Disc.,Consumer Staples,Energy,Industrials,Materials,Utilities,Real Estate,Communication Svcs.,Government Bond,Corporate Bond,Municipal Bond,Money Market,Commodity,N/A"</formula1>
      <formula2>0</formula2>
    </dataValidation>
    <dataValidation type="list" showErrorMessage="1" errorTitle="Required" error="Must be YES or NO." sqref="J12:J21" xr:uid="{00000000-0002-0000-0300-000002000000}">
      <formula1>"YES,NO"</formula1>
      <formula2>0</formula2>
    </dataValidation>
  </dataValidations>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A3A8B"/>
  </sheetPr>
  <dimension ref="A1:M97"/>
  <sheetViews>
    <sheetView showGridLines="0" tabSelected="1" workbookViewId="0">
      <selection activeCell="I23" sqref="I23"/>
    </sheetView>
  </sheetViews>
  <sheetFormatPr baseColWidth="10" defaultColWidth="8.6640625" defaultRowHeight="15" x14ac:dyDescent="0.2"/>
  <cols>
    <col min="1" max="1" width="2" customWidth="1"/>
    <col min="2" max="2" width="5" customWidth="1"/>
    <col min="3" max="3" width="10" customWidth="1"/>
    <col min="4" max="4" width="28" customWidth="1"/>
    <col min="5" max="6" width="18" customWidth="1"/>
    <col min="7" max="7" width="10" customWidth="1"/>
    <col min="8" max="8" width="14" customWidth="1"/>
    <col min="9" max="9" width="9" customWidth="1"/>
    <col min="10" max="10" width="14" customWidth="1"/>
    <col min="11" max="11" width="22" customWidth="1"/>
    <col min="12" max="12" width="24" customWidth="1"/>
    <col min="13" max="13" width="2" customWidth="1"/>
  </cols>
  <sheetData>
    <row r="1" spans="1:13" ht="6" customHeight="1" x14ac:dyDescent="0.2"/>
    <row r="2" spans="1:13" ht="37.5" customHeight="1" x14ac:dyDescent="0.2">
      <c r="A2" s="10" t="s">
        <v>116</v>
      </c>
      <c r="B2" s="10"/>
      <c r="C2" s="10"/>
      <c r="D2" s="10"/>
      <c r="E2" s="10"/>
      <c r="F2" s="10"/>
      <c r="G2" s="10"/>
      <c r="H2" s="10"/>
      <c r="I2" s="10"/>
      <c r="J2" s="10"/>
      <c r="K2" s="10"/>
      <c r="L2" s="10"/>
      <c r="M2" s="10"/>
    </row>
    <row r="3" spans="1:13" ht="18" customHeight="1" x14ac:dyDescent="0.2">
      <c r="A3" s="9" t="s">
        <v>114</v>
      </c>
      <c r="B3" s="9"/>
      <c r="C3" s="9"/>
      <c r="D3" s="9"/>
      <c r="E3" s="9"/>
      <c r="F3" s="9"/>
      <c r="G3" s="9"/>
      <c r="H3" s="9"/>
      <c r="I3" s="9"/>
      <c r="J3" s="9"/>
      <c r="K3" s="9"/>
      <c r="L3" s="9"/>
      <c r="M3" s="9"/>
    </row>
    <row r="4" spans="1:13" ht="6" customHeight="1" x14ac:dyDescent="0.2"/>
    <row r="5" spans="1:13" ht="21.75" customHeight="1" x14ac:dyDescent="0.2">
      <c r="B5" s="23" t="s">
        <v>34</v>
      </c>
      <c r="C5" s="24"/>
      <c r="D5" s="25"/>
      <c r="F5" s="23" t="s">
        <v>35</v>
      </c>
      <c r="G5" s="26"/>
      <c r="H5" s="23" t="s">
        <v>36</v>
      </c>
      <c r="I5" s="26"/>
      <c r="J5" s="23" t="s">
        <v>37</v>
      </c>
      <c r="K5" s="7"/>
      <c r="L5" s="7"/>
    </row>
    <row r="6" spans="1:13" ht="6" customHeight="1" x14ac:dyDescent="0.2"/>
    <row r="7" spans="1:13" ht="30" customHeight="1" x14ac:dyDescent="0.2">
      <c r="A7" s="6" t="s">
        <v>38</v>
      </c>
      <c r="B7" s="6"/>
      <c r="C7" s="6"/>
      <c r="D7" s="6"/>
      <c r="E7" s="6"/>
      <c r="F7" s="6"/>
      <c r="G7" s="6"/>
      <c r="H7" s="6"/>
      <c r="I7" s="6"/>
      <c r="J7" s="6"/>
      <c r="K7" s="6"/>
      <c r="L7" s="6"/>
      <c r="M7" s="6"/>
    </row>
    <row r="8" spans="1:13" ht="7.5" customHeight="1" x14ac:dyDescent="0.2"/>
    <row r="9" spans="1:13" ht="19.5" customHeight="1" x14ac:dyDescent="0.2">
      <c r="A9" s="5" t="s">
        <v>39</v>
      </c>
      <c r="B9" s="5"/>
      <c r="C9" s="5"/>
      <c r="D9" s="5"/>
      <c r="E9" s="5"/>
      <c r="F9" s="5"/>
      <c r="G9" s="5"/>
      <c r="H9" s="5"/>
      <c r="I9" s="5"/>
      <c r="J9" s="5"/>
      <c r="K9" s="5"/>
      <c r="L9" s="5"/>
      <c r="M9" s="5"/>
    </row>
    <row r="10" spans="1:13" ht="30" customHeight="1" x14ac:dyDescent="0.2">
      <c r="A10" s="8" t="s">
        <v>40</v>
      </c>
      <c r="B10" s="8"/>
      <c r="C10" s="8"/>
      <c r="D10" s="8"/>
      <c r="E10" s="8"/>
      <c r="F10" s="8"/>
      <c r="G10" s="8"/>
      <c r="H10" s="8"/>
      <c r="I10" s="8"/>
      <c r="J10" s="8"/>
      <c r="K10" s="8"/>
      <c r="L10" s="8"/>
      <c r="M10" s="8"/>
    </row>
    <row r="11" spans="1:13" ht="36" customHeight="1" x14ac:dyDescent="0.2">
      <c r="B11" s="27" t="s">
        <v>41</v>
      </c>
      <c r="C11" s="27" t="s">
        <v>42</v>
      </c>
      <c r="D11" s="27" t="s">
        <v>43</v>
      </c>
      <c r="E11" s="27" t="s">
        <v>44</v>
      </c>
      <c r="F11" s="27" t="s">
        <v>45</v>
      </c>
      <c r="G11" s="27" t="s">
        <v>46</v>
      </c>
      <c r="H11" s="27" t="s">
        <v>47</v>
      </c>
      <c r="I11" s="27" t="s">
        <v>48</v>
      </c>
      <c r="J11" s="27" t="s">
        <v>49</v>
      </c>
      <c r="K11" s="27" t="s">
        <v>50</v>
      </c>
      <c r="L11" s="27" t="s">
        <v>51</v>
      </c>
    </row>
    <row r="12" spans="1:13" ht="21.75" customHeight="1" x14ac:dyDescent="0.2">
      <c r="B12" s="28">
        <f>1</f>
        <v>1</v>
      </c>
      <c r="C12" s="24"/>
      <c r="D12" s="29"/>
      <c r="E12" s="24"/>
      <c r="F12" s="24"/>
      <c r="G12" s="26"/>
      <c r="H12" s="30" t="str">
        <f t="shared" ref="H12:H21" si="0">IF(G12&lt;&gt;"",G12*500000,"")</f>
        <v/>
      </c>
      <c r="I12" s="31"/>
      <c r="J12" s="24"/>
      <c r="K12" s="32"/>
      <c r="L12" s="29"/>
    </row>
    <row r="13" spans="1:13" ht="21.75" customHeight="1" x14ac:dyDescent="0.2">
      <c r="B13" s="28">
        <f>2</f>
        <v>2</v>
      </c>
      <c r="C13" s="24"/>
      <c r="D13" s="29"/>
      <c r="E13" s="24"/>
      <c r="F13" s="24"/>
      <c r="G13" s="26"/>
      <c r="H13" s="30" t="str">
        <f t="shared" si="0"/>
        <v/>
      </c>
      <c r="I13" s="31"/>
      <c r="J13" s="24"/>
      <c r="K13" s="32"/>
      <c r="L13" s="29"/>
    </row>
    <row r="14" spans="1:13" ht="21.75" customHeight="1" x14ac:dyDescent="0.2">
      <c r="B14" s="28">
        <f>3</f>
        <v>3</v>
      </c>
      <c r="C14" s="24"/>
      <c r="D14" s="29"/>
      <c r="E14" s="24"/>
      <c r="F14" s="24"/>
      <c r="G14" s="26"/>
      <c r="H14" s="30" t="str">
        <f t="shared" si="0"/>
        <v/>
      </c>
      <c r="I14" s="31"/>
      <c r="J14" s="24"/>
      <c r="K14" s="32"/>
      <c r="L14" s="29"/>
    </row>
    <row r="15" spans="1:13" ht="21.75" customHeight="1" x14ac:dyDescent="0.2">
      <c r="B15" s="28">
        <f>4</f>
        <v>4</v>
      </c>
      <c r="C15" s="24"/>
      <c r="D15" s="29"/>
      <c r="E15" s="24"/>
      <c r="F15" s="24"/>
      <c r="G15" s="26"/>
      <c r="H15" s="30" t="str">
        <f t="shared" si="0"/>
        <v/>
      </c>
      <c r="I15" s="31"/>
      <c r="J15" s="24"/>
      <c r="K15" s="32"/>
      <c r="L15" s="29"/>
    </row>
    <row r="16" spans="1:13" ht="21.75" customHeight="1" x14ac:dyDescent="0.2">
      <c r="B16" s="28">
        <f>5</f>
        <v>5</v>
      </c>
      <c r="C16" s="24"/>
      <c r="D16" s="29"/>
      <c r="E16" s="24"/>
      <c r="F16" s="24"/>
      <c r="G16" s="26"/>
      <c r="H16" s="30" t="str">
        <f t="shared" si="0"/>
        <v/>
      </c>
      <c r="I16" s="31"/>
      <c r="J16" s="24"/>
      <c r="K16" s="32"/>
      <c r="L16" s="29"/>
    </row>
    <row r="17" spans="1:13" ht="21.75" customHeight="1" x14ac:dyDescent="0.2">
      <c r="B17" s="28">
        <f>6</f>
        <v>6</v>
      </c>
      <c r="C17" s="24"/>
      <c r="D17" s="29"/>
      <c r="E17" s="24"/>
      <c r="F17" s="24"/>
      <c r="G17" s="26"/>
      <c r="H17" s="30" t="str">
        <f t="shared" si="0"/>
        <v/>
      </c>
      <c r="I17" s="31"/>
      <c r="J17" s="24"/>
      <c r="K17" s="32"/>
      <c r="L17" s="29"/>
    </row>
    <row r="18" spans="1:13" ht="21.75" customHeight="1" x14ac:dyDescent="0.2">
      <c r="B18" s="28">
        <f>7</f>
        <v>7</v>
      </c>
      <c r="C18" s="24"/>
      <c r="D18" s="29"/>
      <c r="E18" s="24"/>
      <c r="F18" s="24"/>
      <c r="G18" s="26"/>
      <c r="H18" s="30" t="str">
        <f t="shared" si="0"/>
        <v/>
      </c>
      <c r="I18" s="31"/>
      <c r="J18" s="24"/>
      <c r="K18" s="32"/>
      <c r="L18" s="29"/>
    </row>
    <row r="19" spans="1:13" ht="21.75" customHeight="1" x14ac:dyDescent="0.2">
      <c r="B19" s="28">
        <f>8</f>
        <v>8</v>
      </c>
      <c r="C19" s="24"/>
      <c r="D19" s="29"/>
      <c r="E19" s="24"/>
      <c r="F19" s="24"/>
      <c r="G19" s="26"/>
      <c r="H19" s="30" t="str">
        <f t="shared" si="0"/>
        <v/>
      </c>
      <c r="I19" s="31"/>
      <c r="J19" s="24"/>
      <c r="K19" s="32"/>
      <c r="L19" s="29"/>
    </row>
    <row r="20" spans="1:13" ht="21.75" customHeight="1" x14ac:dyDescent="0.2">
      <c r="B20" s="28">
        <f>9</f>
        <v>9</v>
      </c>
      <c r="C20" s="24"/>
      <c r="D20" s="29"/>
      <c r="E20" s="24"/>
      <c r="F20" s="24"/>
      <c r="G20" s="26"/>
      <c r="H20" s="30" t="str">
        <f t="shared" si="0"/>
        <v/>
      </c>
      <c r="I20" s="31"/>
      <c r="J20" s="24"/>
      <c r="K20" s="32"/>
      <c r="L20" s="29"/>
    </row>
    <row r="21" spans="1:13" ht="21.75" customHeight="1" x14ac:dyDescent="0.2">
      <c r="B21" s="28">
        <f>10</f>
        <v>10</v>
      </c>
      <c r="C21" s="24"/>
      <c r="D21" s="29"/>
      <c r="E21" s="24"/>
      <c r="F21" s="24"/>
      <c r="G21" s="26"/>
      <c r="H21" s="30" t="str">
        <f t="shared" si="0"/>
        <v/>
      </c>
      <c r="I21" s="31"/>
      <c r="J21" s="24"/>
      <c r="K21" s="32"/>
      <c r="L21" s="29"/>
    </row>
    <row r="22" spans="1:13" ht="21.75" customHeight="1" x14ac:dyDescent="0.2">
      <c r="A22" s="4" t="s">
        <v>52</v>
      </c>
      <c r="B22" s="4"/>
      <c r="C22" s="4"/>
      <c r="D22" s="4"/>
      <c r="E22" s="4"/>
      <c r="F22" s="4"/>
      <c r="G22" s="33">
        <f>IFERROR(SUM(G12:G21),0)</f>
        <v>0</v>
      </c>
      <c r="H22" s="34">
        <f>IFERROR(SUMIF(G12:G21,"&lt;&gt;",H12:H21),0)</f>
        <v>0</v>
      </c>
      <c r="I22" s="35" t="str" cm="1">
        <f t="array" ref="I22">IFERROR(SUMPRODUCT((G12:G21)*IF(ISNUMBER(_xlfn.SINGLE(I12:I21)),I12:I21,0))/IFERROR(SUM(G12:G21),1),"")</f>
        <v/>
      </c>
      <c r="J22" s="36" t="s">
        <v>53</v>
      </c>
      <c r="K22" s="3" t="s">
        <v>54</v>
      </c>
      <c r="L22" s="3"/>
      <c r="M22" s="3"/>
    </row>
    <row r="24" spans="1:13" ht="9.75" customHeight="1" x14ac:dyDescent="0.2"/>
    <row r="25" spans="1:13" ht="19.5" customHeight="1" x14ac:dyDescent="0.2">
      <c r="A25" s="5" t="s">
        <v>55</v>
      </c>
      <c r="B25" s="5"/>
      <c r="C25" s="5"/>
      <c r="D25" s="5"/>
      <c r="E25" s="5"/>
      <c r="F25" s="5"/>
      <c r="G25" s="5"/>
      <c r="H25" s="5"/>
      <c r="I25" s="5"/>
      <c r="J25" s="5"/>
      <c r="K25" s="5"/>
      <c r="L25" s="5"/>
      <c r="M25" s="5"/>
    </row>
    <row r="26" spans="1:13" ht="30" customHeight="1" x14ac:dyDescent="0.2">
      <c r="A26" s="6" t="s">
        <v>56</v>
      </c>
      <c r="B26" s="6"/>
      <c r="C26" s="6"/>
      <c r="D26" s="6"/>
      <c r="E26" s="6"/>
      <c r="F26" s="6"/>
      <c r="G26" s="6"/>
      <c r="H26" s="6"/>
      <c r="I26" s="6"/>
      <c r="J26" s="6"/>
      <c r="K26" s="6"/>
      <c r="L26" s="6"/>
      <c r="M26" s="6"/>
    </row>
    <row r="27" spans="1:13" ht="21.75" customHeight="1" x14ac:dyDescent="0.2">
      <c r="B27" s="23" t="s">
        <v>57</v>
      </c>
      <c r="C27" s="7"/>
      <c r="D27" s="7"/>
      <c r="E27" s="7"/>
      <c r="F27" s="7"/>
      <c r="G27" s="7"/>
      <c r="H27" s="7"/>
      <c r="I27" s="7"/>
      <c r="J27" s="2" t="s">
        <v>58</v>
      </c>
      <c r="K27" s="2"/>
      <c r="L27" s="2"/>
      <c r="M27" s="2"/>
    </row>
    <row r="28" spans="1:13" ht="21.75" customHeight="1" x14ac:dyDescent="0.2">
      <c r="B28" s="23" t="s">
        <v>59</v>
      </c>
      <c r="C28" s="7"/>
      <c r="D28" s="7"/>
      <c r="E28" s="7"/>
      <c r="F28" s="7"/>
      <c r="G28" s="7"/>
      <c r="H28" s="7"/>
      <c r="I28" s="7"/>
      <c r="J28" s="2" t="s">
        <v>60</v>
      </c>
      <c r="K28" s="2"/>
      <c r="L28" s="2"/>
      <c r="M28" s="2"/>
    </row>
    <row r="29" spans="1:13" ht="21.75" customHeight="1" x14ac:dyDescent="0.2">
      <c r="B29" s="23" t="s">
        <v>61</v>
      </c>
      <c r="C29" s="7"/>
      <c r="D29" s="7"/>
      <c r="E29" s="7"/>
      <c r="F29" s="7"/>
      <c r="G29" s="7"/>
      <c r="H29" s="7"/>
      <c r="I29" s="7"/>
      <c r="J29" s="2" t="s">
        <v>62</v>
      </c>
      <c r="K29" s="2"/>
      <c r="L29" s="2"/>
      <c r="M29" s="2"/>
    </row>
    <row r="30" spans="1:13" ht="21.75" customHeight="1" x14ac:dyDescent="0.2">
      <c r="B30" s="23" t="s">
        <v>63</v>
      </c>
      <c r="C30" s="7"/>
      <c r="D30" s="7"/>
      <c r="E30" s="7"/>
      <c r="F30" s="7"/>
      <c r="G30" s="7"/>
      <c r="H30" s="7"/>
      <c r="I30" s="7"/>
      <c r="J30" s="2" t="s">
        <v>64</v>
      </c>
      <c r="K30" s="2"/>
      <c r="L30" s="2"/>
      <c r="M30" s="2"/>
    </row>
    <row r="31" spans="1:13" ht="21.75" customHeight="1" x14ac:dyDescent="0.2">
      <c r="B31" s="23" t="s">
        <v>65</v>
      </c>
      <c r="C31" s="7"/>
      <c r="D31" s="7"/>
      <c r="E31" s="7"/>
      <c r="F31" s="7"/>
      <c r="G31" s="7"/>
      <c r="H31" s="7"/>
      <c r="I31" s="7"/>
      <c r="J31" s="2" t="s">
        <v>66</v>
      </c>
      <c r="K31" s="2"/>
      <c r="L31" s="2"/>
      <c r="M31" s="2"/>
    </row>
    <row r="32" spans="1:13" ht="21.75" customHeight="1" x14ac:dyDescent="0.2">
      <c r="B32" s="23" t="s">
        <v>67</v>
      </c>
      <c r="C32" s="7"/>
      <c r="D32" s="7"/>
      <c r="E32" s="7"/>
      <c r="F32" s="7"/>
      <c r="G32" s="7"/>
      <c r="H32" s="7"/>
      <c r="I32" s="7"/>
      <c r="J32" s="2" t="s">
        <v>68</v>
      </c>
      <c r="K32" s="2"/>
      <c r="L32" s="2"/>
      <c r="M32" s="2"/>
    </row>
    <row r="33" spans="1:13" ht="21.75" customHeight="1" x14ac:dyDescent="0.2">
      <c r="B33" s="23" t="s">
        <v>69</v>
      </c>
      <c r="C33" s="7"/>
      <c r="D33" s="7"/>
      <c r="E33" s="7"/>
      <c r="F33" s="7"/>
      <c r="G33" s="7"/>
      <c r="H33" s="7"/>
      <c r="I33" s="7"/>
      <c r="J33" s="2" t="s">
        <v>70</v>
      </c>
      <c r="K33" s="2"/>
      <c r="L33" s="2"/>
      <c r="M33" s="2"/>
    </row>
    <row r="34" spans="1:13" ht="21.75" customHeight="1" x14ac:dyDescent="0.2">
      <c r="B34" s="23" t="s">
        <v>71</v>
      </c>
      <c r="C34" s="7"/>
      <c r="D34" s="7"/>
      <c r="E34" s="7"/>
      <c r="F34" s="7"/>
      <c r="G34" s="7"/>
      <c r="H34" s="7"/>
      <c r="I34" s="7"/>
      <c r="J34" s="2" t="s">
        <v>72</v>
      </c>
      <c r="K34" s="2"/>
      <c r="L34" s="2"/>
      <c r="M34" s="2"/>
    </row>
    <row r="35" spans="1:13" ht="21.75" customHeight="1" x14ac:dyDescent="0.2">
      <c r="B35" s="23" t="s">
        <v>73</v>
      </c>
      <c r="C35" s="7"/>
      <c r="D35" s="7"/>
      <c r="E35" s="7"/>
      <c r="F35" s="7"/>
      <c r="G35" s="7"/>
      <c r="H35" s="7"/>
      <c r="I35" s="7"/>
      <c r="J35" s="2" t="s">
        <v>74</v>
      </c>
      <c r="K35" s="2"/>
      <c r="L35" s="2"/>
      <c r="M35" s="2"/>
    </row>
    <row r="36" spans="1:13" ht="9.75" customHeight="1" x14ac:dyDescent="0.2"/>
    <row r="37" spans="1:13" ht="19.5" customHeight="1" x14ac:dyDescent="0.2">
      <c r="B37" s="5" t="s">
        <v>75</v>
      </c>
      <c r="C37" s="5"/>
      <c r="D37" s="5"/>
      <c r="E37" s="5"/>
      <c r="F37" s="5"/>
      <c r="G37" s="5"/>
      <c r="H37" s="5"/>
      <c r="I37" s="5"/>
      <c r="J37" s="5"/>
      <c r="K37" s="5"/>
      <c r="L37" s="5"/>
      <c r="M37" s="5"/>
    </row>
    <row r="38" spans="1:13" ht="30" customHeight="1" x14ac:dyDescent="0.2">
      <c r="B38" s="27" t="s">
        <v>76</v>
      </c>
      <c r="C38" s="1" t="s">
        <v>77</v>
      </c>
      <c r="D38" s="1"/>
      <c r="E38" s="1"/>
      <c r="F38" s="1" t="s">
        <v>78</v>
      </c>
      <c r="G38" s="1"/>
      <c r="H38" s="1" t="s">
        <v>79</v>
      </c>
      <c r="I38" s="1"/>
      <c r="J38" s="1"/>
      <c r="K38" s="1" t="s">
        <v>80</v>
      </c>
      <c r="L38" s="1"/>
    </row>
    <row r="39" spans="1:13" ht="21.75" customHeight="1" x14ac:dyDescent="0.2">
      <c r="B39" s="24"/>
      <c r="C39" s="7"/>
      <c r="D39" s="7"/>
      <c r="E39" s="7"/>
      <c r="F39" s="7"/>
      <c r="G39" s="7"/>
      <c r="H39" s="7"/>
      <c r="I39" s="7"/>
      <c r="J39" s="7"/>
      <c r="K39" s="7"/>
      <c r="L39" s="7"/>
    </row>
    <row r="40" spans="1:13" ht="21.75" customHeight="1" x14ac:dyDescent="0.2">
      <c r="B40" s="24"/>
      <c r="C40" s="7"/>
      <c r="D40" s="7"/>
      <c r="E40" s="7"/>
      <c r="F40" s="7"/>
      <c r="G40" s="7"/>
      <c r="H40" s="7"/>
      <c r="I40" s="7"/>
      <c r="J40" s="7"/>
      <c r="K40" s="7"/>
      <c r="L40" s="7"/>
    </row>
    <row r="41" spans="1:13" ht="9.75" customHeight="1" x14ac:dyDescent="0.2"/>
    <row r="42" spans="1:13" ht="19.5" customHeight="1" x14ac:dyDescent="0.2">
      <c r="A42" s="5" t="s">
        <v>81</v>
      </c>
      <c r="B42" s="5"/>
      <c r="C42" s="5"/>
      <c r="D42" s="5"/>
      <c r="E42" s="5"/>
      <c r="F42" s="5"/>
      <c r="G42" s="5"/>
      <c r="H42" s="5"/>
      <c r="I42" s="5"/>
      <c r="J42" s="5"/>
      <c r="K42" s="5"/>
      <c r="L42" s="5"/>
      <c r="M42" s="5"/>
    </row>
    <row r="43" spans="1:13" ht="30" customHeight="1" x14ac:dyDescent="0.2">
      <c r="A43" s="8" t="s">
        <v>82</v>
      </c>
      <c r="B43" s="8"/>
      <c r="C43" s="8"/>
      <c r="D43" s="8"/>
      <c r="E43" s="8"/>
      <c r="F43" s="8"/>
      <c r="G43" s="8"/>
      <c r="H43" s="8"/>
      <c r="I43" s="8"/>
      <c r="J43" s="8"/>
      <c r="K43" s="8"/>
      <c r="L43" s="8"/>
      <c r="M43" s="8"/>
    </row>
    <row r="44" spans="1:13" ht="19.5" customHeight="1" x14ac:dyDescent="0.2">
      <c r="A44" s="73" t="s">
        <v>83</v>
      </c>
      <c r="B44" s="73"/>
      <c r="C44" s="73"/>
      <c r="D44" s="73"/>
      <c r="E44" s="73"/>
      <c r="F44" s="73"/>
      <c r="G44" s="73"/>
      <c r="H44" s="73"/>
      <c r="I44" s="73"/>
      <c r="J44" s="73"/>
      <c r="K44" s="73"/>
      <c r="L44" s="73"/>
      <c r="M44" s="73"/>
    </row>
    <row r="45" spans="1:13" ht="25.5" customHeight="1" x14ac:dyDescent="0.2">
      <c r="B45" s="37" t="s">
        <v>84</v>
      </c>
      <c r="C45" s="7"/>
      <c r="D45" s="7"/>
      <c r="E45" s="7"/>
      <c r="F45" s="7"/>
      <c r="G45" s="7"/>
      <c r="H45" s="7"/>
      <c r="I45" s="7"/>
      <c r="J45" s="7"/>
      <c r="K45" s="7"/>
      <c r="L45" s="7"/>
      <c r="M45" s="7"/>
    </row>
    <row r="46" spans="1:13" ht="25.5" customHeight="1" x14ac:dyDescent="0.2">
      <c r="B46" s="37" t="s">
        <v>85</v>
      </c>
      <c r="C46" s="7"/>
      <c r="D46" s="7"/>
      <c r="E46" s="7"/>
      <c r="F46" s="7"/>
      <c r="G46" s="7"/>
      <c r="H46" s="7"/>
      <c r="I46" s="7"/>
      <c r="J46" s="7"/>
      <c r="K46" s="7"/>
      <c r="L46" s="7"/>
      <c r="M46" s="7"/>
    </row>
    <row r="47" spans="1:13" ht="25.5" customHeight="1" x14ac:dyDescent="0.2">
      <c r="B47" s="37" t="s">
        <v>86</v>
      </c>
      <c r="C47" s="7"/>
      <c r="D47" s="7"/>
      <c r="E47" s="7"/>
      <c r="F47" s="7"/>
      <c r="G47" s="7"/>
      <c r="H47" s="7"/>
      <c r="I47" s="7"/>
      <c r="J47" s="7"/>
      <c r="K47" s="7"/>
      <c r="L47" s="7"/>
      <c r="M47" s="7"/>
    </row>
    <row r="48" spans="1:13" ht="25.5" customHeight="1" x14ac:dyDescent="0.2">
      <c r="B48" s="37" t="s">
        <v>87</v>
      </c>
      <c r="C48" s="7"/>
      <c r="D48" s="7"/>
      <c r="E48" s="7"/>
      <c r="F48" s="7"/>
      <c r="G48" s="7"/>
      <c r="H48" s="7"/>
      <c r="I48" s="7"/>
      <c r="J48" s="7"/>
      <c r="K48" s="7"/>
      <c r="L48" s="7"/>
      <c r="M48" s="7"/>
    </row>
    <row r="49" spans="1:13" ht="25.5" customHeight="1" x14ac:dyDescent="0.2">
      <c r="B49" s="37" t="s">
        <v>88</v>
      </c>
      <c r="C49" s="7"/>
      <c r="D49" s="7"/>
      <c r="E49" s="7"/>
      <c r="F49" s="7"/>
      <c r="G49" s="7"/>
      <c r="H49" s="7"/>
      <c r="I49" s="7"/>
      <c r="J49" s="7"/>
      <c r="K49" s="7"/>
      <c r="L49" s="7"/>
      <c r="M49" s="7"/>
    </row>
    <row r="50" spans="1:13" ht="25.5" customHeight="1" x14ac:dyDescent="0.2">
      <c r="B50" s="37" t="s">
        <v>89</v>
      </c>
      <c r="C50" s="7"/>
      <c r="D50" s="7"/>
      <c r="E50" s="7"/>
      <c r="F50" s="7"/>
      <c r="G50" s="7"/>
      <c r="H50" s="7"/>
      <c r="I50" s="7"/>
      <c r="J50" s="7"/>
      <c r="K50" s="7"/>
      <c r="L50" s="7"/>
      <c r="M50" s="7"/>
    </row>
    <row r="51" spans="1:13" ht="25.5" customHeight="1" x14ac:dyDescent="0.2">
      <c r="B51" s="37" t="s">
        <v>90</v>
      </c>
      <c r="C51" s="7"/>
      <c r="D51" s="7"/>
      <c r="E51" s="7"/>
      <c r="F51" s="7"/>
      <c r="G51" s="7"/>
      <c r="H51" s="7"/>
      <c r="I51" s="7"/>
      <c r="J51" s="7"/>
      <c r="K51" s="7"/>
      <c r="L51" s="7"/>
      <c r="M51" s="7"/>
    </row>
    <row r="52" spans="1:13" ht="6" customHeight="1" x14ac:dyDescent="0.2"/>
    <row r="53" spans="1:13" ht="19.5" customHeight="1" x14ac:dyDescent="0.2">
      <c r="A53" s="73" t="s">
        <v>91</v>
      </c>
      <c r="B53" s="73"/>
      <c r="C53" s="73"/>
      <c r="D53" s="73"/>
      <c r="E53" s="73"/>
      <c r="F53" s="73"/>
      <c r="G53" s="73"/>
      <c r="H53" s="73"/>
      <c r="I53" s="73"/>
      <c r="J53" s="73"/>
      <c r="K53" s="73"/>
      <c r="L53" s="73"/>
      <c r="M53" s="73"/>
    </row>
    <row r="54" spans="1:13" ht="25.5" customHeight="1" x14ac:dyDescent="0.2">
      <c r="B54" s="37" t="s">
        <v>84</v>
      </c>
      <c r="C54" s="7"/>
      <c r="D54" s="7"/>
      <c r="E54" s="7"/>
      <c r="F54" s="7"/>
      <c r="G54" s="7"/>
      <c r="H54" s="7"/>
      <c r="I54" s="7"/>
      <c r="J54" s="7"/>
      <c r="K54" s="7"/>
      <c r="L54" s="7"/>
      <c r="M54" s="7"/>
    </row>
    <row r="55" spans="1:13" ht="25.5" customHeight="1" x14ac:dyDescent="0.2">
      <c r="B55" s="37" t="s">
        <v>85</v>
      </c>
      <c r="C55" s="7"/>
      <c r="D55" s="7"/>
      <c r="E55" s="7"/>
      <c r="F55" s="7"/>
      <c r="G55" s="7"/>
      <c r="H55" s="7"/>
      <c r="I55" s="7"/>
      <c r="J55" s="7"/>
      <c r="K55" s="7"/>
      <c r="L55" s="7"/>
      <c r="M55" s="7"/>
    </row>
    <row r="56" spans="1:13" ht="25.5" customHeight="1" x14ac:dyDescent="0.2">
      <c r="B56" s="37" t="s">
        <v>86</v>
      </c>
      <c r="C56" s="7"/>
      <c r="D56" s="7"/>
      <c r="E56" s="7"/>
      <c r="F56" s="7"/>
      <c r="G56" s="7"/>
      <c r="H56" s="7"/>
      <c r="I56" s="7"/>
      <c r="J56" s="7"/>
      <c r="K56" s="7"/>
      <c r="L56" s="7"/>
      <c r="M56" s="7"/>
    </row>
    <row r="57" spans="1:13" ht="25.5" customHeight="1" x14ac:dyDescent="0.2">
      <c r="B57" s="37" t="s">
        <v>87</v>
      </c>
      <c r="C57" s="7"/>
      <c r="D57" s="7"/>
      <c r="E57" s="7"/>
      <c r="F57" s="7"/>
      <c r="G57" s="7"/>
      <c r="H57" s="7"/>
      <c r="I57" s="7"/>
      <c r="J57" s="7"/>
      <c r="K57" s="7"/>
      <c r="L57" s="7"/>
      <c r="M57" s="7"/>
    </row>
    <row r="58" spans="1:13" ht="25.5" customHeight="1" x14ac:dyDescent="0.2">
      <c r="B58" s="37" t="s">
        <v>88</v>
      </c>
      <c r="C58" s="7"/>
      <c r="D58" s="7"/>
      <c r="E58" s="7"/>
      <c r="F58" s="7"/>
      <c r="G58" s="7"/>
      <c r="H58" s="7"/>
      <c r="I58" s="7"/>
      <c r="J58" s="7"/>
      <c r="K58" s="7"/>
      <c r="L58" s="7"/>
      <c r="M58" s="7"/>
    </row>
    <row r="59" spans="1:13" ht="25.5" customHeight="1" x14ac:dyDescent="0.2">
      <c r="B59" s="37" t="s">
        <v>89</v>
      </c>
      <c r="C59" s="7"/>
      <c r="D59" s="7"/>
      <c r="E59" s="7"/>
      <c r="F59" s="7"/>
      <c r="G59" s="7"/>
      <c r="H59" s="7"/>
      <c r="I59" s="7"/>
      <c r="J59" s="7"/>
      <c r="K59" s="7"/>
      <c r="L59" s="7"/>
      <c r="M59" s="7"/>
    </row>
    <row r="60" spans="1:13" ht="25.5" customHeight="1" x14ac:dyDescent="0.2">
      <c r="B60" s="37" t="s">
        <v>90</v>
      </c>
      <c r="C60" s="7"/>
      <c r="D60" s="7"/>
      <c r="E60" s="7"/>
      <c r="F60" s="7"/>
      <c r="G60" s="7"/>
      <c r="H60" s="7"/>
      <c r="I60" s="7"/>
      <c r="J60" s="7"/>
      <c r="K60" s="7"/>
      <c r="L60" s="7"/>
      <c r="M60" s="7"/>
    </row>
    <row r="61" spans="1:13" ht="6" customHeight="1" x14ac:dyDescent="0.2"/>
    <row r="62" spans="1:13" ht="19.5" customHeight="1" x14ac:dyDescent="0.2">
      <c r="A62" s="73" t="s">
        <v>92</v>
      </c>
      <c r="B62" s="73"/>
      <c r="C62" s="73"/>
      <c r="D62" s="73"/>
      <c r="E62" s="73"/>
      <c r="F62" s="73"/>
      <c r="G62" s="73"/>
      <c r="H62" s="73"/>
      <c r="I62" s="73"/>
      <c r="J62" s="73"/>
      <c r="K62" s="73"/>
      <c r="L62" s="73"/>
      <c r="M62" s="73"/>
    </row>
    <row r="63" spans="1:13" ht="25.5" customHeight="1" x14ac:dyDescent="0.2">
      <c r="B63" s="37" t="s">
        <v>84</v>
      </c>
      <c r="C63" s="7"/>
      <c r="D63" s="7"/>
      <c r="E63" s="7"/>
      <c r="F63" s="7"/>
      <c r="G63" s="7"/>
      <c r="H63" s="7"/>
      <c r="I63" s="7"/>
      <c r="J63" s="7"/>
      <c r="K63" s="7"/>
      <c r="L63" s="7"/>
      <c r="M63" s="7"/>
    </row>
    <row r="64" spans="1:13" ht="25.5" customHeight="1" x14ac:dyDescent="0.2">
      <c r="B64" s="37" t="s">
        <v>85</v>
      </c>
      <c r="C64" s="7"/>
      <c r="D64" s="7"/>
      <c r="E64" s="7"/>
      <c r="F64" s="7"/>
      <c r="G64" s="7"/>
      <c r="H64" s="7"/>
      <c r="I64" s="7"/>
      <c r="J64" s="7"/>
      <c r="K64" s="7"/>
      <c r="L64" s="7"/>
      <c r="M64" s="7"/>
    </row>
    <row r="65" spans="1:13" ht="25.5" customHeight="1" x14ac:dyDescent="0.2">
      <c r="B65" s="37" t="s">
        <v>86</v>
      </c>
      <c r="C65" s="7"/>
      <c r="D65" s="7"/>
      <c r="E65" s="7"/>
      <c r="F65" s="7"/>
      <c r="G65" s="7"/>
      <c r="H65" s="7"/>
      <c r="I65" s="7"/>
      <c r="J65" s="7"/>
      <c r="K65" s="7"/>
      <c r="L65" s="7"/>
      <c r="M65" s="7"/>
    </row>
    <row r="66" spans="1:13" ht="25.5" customHeight="1" x14ac:dyDescent="0.2">
      <c r="B66" s="37" t="s">
        <v>87</v>
      </c>
      <c r="C66" s="7"/>
      <c r="D66" s="7"/>
      <c r="E66" s="7"/>
      <c r="F66" s="7"/>
      <c r="G66" s="7"/>
      <c r="H66" s="7"/>
      <c r="I66" s="7"/>
      <c r="J66" s="7"/>
      <c r="K66" s="7"/>
      <c r="L66" s="7"/>
      <c r="M66" s="7"/>
    </row>
    <row r="67" spans="1:13" ht="25.5" customHeight="1" x14ac:dyDescent="0.2">
      <c r="B67" s="37" t="s">
        <v>88</v>
      </c>
      <c r="C67" s="7"/>
      <c r="D67" s="7"/>
      <c r="E67" s="7"/>
      <c r="F67" s="7"/>
      <c r="G67" s="7"/>
      <c r="H67" s="7"/>
      <c r="I67" s="7"/>
      <c r="J67" s="7"/>
      <c r="K67" s="7"/>
      <c r="L67" s="7"/>
      <c r="M67" s="7"/>
    </row>
    <row r="68" spans="1:13" ht="25.5" customHeight="1" x14ac:dyDescent="0.2">
      <c r="B68" s="37" t="s">
        <v>89</v>
      </c>
      <c r="C68" s="7"/>
      <c r="D68" s="7"/>
      <c r="E68" s="7"/>
      <c r="F68" s="7"/>
      <c r="G68" s="7"/>
      <c r="H68" s="7"/>
      <c r="I68" s="7"/>
      <c r="J68" s="7"/>
      <c r="K68" s="7"/>
      <c r="L68" s="7"/>
      <c r="M68" s="7"/>
    </row>
    <row r="69" spans="1:13" ht="25.5" customHeight="1" x14ac:dyDescent="0.2">
      <c r="B69" s="37" t="s">
        <v>90</v>
      </c>
      <c r="C69" s="7"/>
      <c r="D69" s="7"/>
      <c r="E69" s="7"/>
      <c r="F69" s="7"/>
      <c r="G69" s="7"/>
      <c r="H69" s="7"/>
      <c r="I69" s="7"/>
      <c r="J69" s="7"/>
      <c r="K69" s="7"/>
      <c r="L69" s="7"/>
      <c r="M69" s="7"/>
    </row>
    <row r="70" spans="1:13" ht="6" customHeight="1" x14ac:dyDescent="0.2"/>
    <row r="71" spans="1:13" ht="19.5" customHeight="1" x14ac:dyDescent="0.2">
      <c r="A71" s="73" t="s">
        <v>93</v>
      </c>
      <c r="B71" s="73"/>
      <c r="C71" s="73"/>
      <c r="D71" s="73"/>
      <c r="E71" s="73"/>
      <c r="F71" s="73"/>
      <c r="G71" s="73"/>
      <c r="H71" s="73"/>
      <c r="I71" s="73"/>
      <c r="J71" s="73"/>
      <c r="K71" s="73"/>
      <c r="L71" s="73"/>
      <c r="M71" s="73"/>
    </row>
    <row r="72" spans="1:13" ht="25.5" customHeight="1" x14ac:dyDescent="0.2">
      <c r="B72" s="37" t="s">
        <v>84</v>
      </c>
      <c r="C72" s="7"/>
      <c r="D72" s="7"/>
      <c r="E72" s="7"/>
      <c r="F72" s="7"/>
      <c r="G72" s="7"/>
      <c r="H72" s="7"/>
      <c r="I72" s="7"/>
      <c r="J72" s="7"/>
      <c r="K72" s="7"/>
      <c r="L72" s="7"/>
      <c r="M72" s="7"/>
    </row>
    <row r="73" spans="1:13" ht="25.5" customHeight="1" x14ac:dyDescent="0.2">
      <c r="B73" s="37" t="s">
        <v>85</v>
      </c>
      <c r="C73" s="7"/>
      <c r="D73" s="7"/>
      <c r="E73" s="7"/>
      <c r="F73" s="7"/>
      <c r="G73" s="7"/>
      <c r="H73" s="7"/>
      <c r="I73" s="7"/>
      <c r="J73" s="7"/>
      <c r="K73" s="7"/>
      <c r="L73" s="7"/>
      <c r="M73" s="7"/>
    </row>
    <row r="74" spans="1:13" ht="25.5" customHeight="1" x14ac:dyDescent="0.2">
      <c r="B74" s="37" t="s">
        <v>86</v>
      </c>
      <c r="C74" s="7"/>
      <c r="D74" s="7"/>
      <c r="E74" s="7"/>
      <c r="F74" s="7"/>
      <c r="G74" s="7"/>
      <c r="H74" s="7"/>
      <c r="I74" s="7"/>
      <c r="J74" s="7"/>
      <c r="K74" s="7"/>
      <c r="L74" s="7"/>
      <c r="M74" s="7"/>
    </row>
    <row r="75" spans="1:13" ht="25.5" customHeight="1" x14ac:dyDescent="0.2">
      <c r="B75" s="37" t="s">
        <v>87</v>
      </c>
      <c r="C75" s="7"/>
      <c r="D75" s="7"/>
      <c r="E75" s="7"/>
      <c r="F75" s="7"/>
      <c r="G75" s="7"/>
      <c r="H75" s="7"/>
      <c r="I75" s="7"/>
      <c r="J75" s="7"/>
      <c r="K75" s="7"/>
      <c r="L75" s="7"/>
      <c r="M75" s="7"/>
    </row>
    <row r="76" spans="1:13" ht="25.5" customHeight="1" x14ac:dyDescent="0.2">
      <c r="B76" s="37" t="s">
        <v>88</v>
      </c>
      <c r="C76" s="7"/>
      <c r="D76" s="7"/>
      <c r="E76" s="7"/>
      <c r="F76" s="7"/>
      <c r="G76" s="7"/>
      <c r="H76" s="7"/>
      <c r="I76" s="7"/>
      <c r="J76" s="7"/>
      <c r="K76" s="7"/>
      <c r="L76" s="7"/>
      <c r="M76" s="7"/>
    </row>
    <row r="77" spans="1:13" ht="25.5" customHeight="1" x14ac:dyDescent="0.2">
      <c r="B77" s="37" t="s">
        <v>89</v>
      </c>
      <c r="C77" s="7"/>
      <c r="D77" s="7"/>
      <c r="E77" s="7"/>
      <c r="F77" s="7"/>
      <c r="G77" s="7"/>
      <c r="H77" s="7"/>
      <c r="I77" s="7"/>
      <c r="J77" s="7"/>
      <c r="K77" s="7"/>
      <c r="L77" s="7"/>
      <c r="M77" s="7"/>
    </row>
    <row r="78" spans="1:13" ht="25.5" customHeight="1" x14ac:dyDescent="0.2">
      <c r="B78" s="37" t="s">
        <v>90</v>
      </c>
      <c r="C78" s="7"/>
      <c r="D78" s="7"/>
      <c r="E78" s="7"/>
      <c r="F78" s="7"/>
      <c r="G78" s="7"/>
      <c r="H78" s="7"/>
      <c r="I78" s="7"/>
      <c r="J78" s="7"/>
      <c r="K78" s="7"/>
      <c r="L78" s="7"/>
      <c r="M78" s="7"/>
    </row>
    <row r="79" spans="1:13" ht="6" customHeight="1" x14ac:dyDescent="0.2"/>
    <row r="80" spans="1:13" ht="19.5" customHeight="1" x14ac:dyDescent="0.2">
      <c r="A80" s="73" t="s">
        <v>94</v>
      </c>
      <c r="B80" s="73"/>
      <c r="C80" s="73"/>
      <c r="D80" s="73"/>
      <c r="E80" s="73"/>
      <c r="F80" s="73"/>
      <c r="G80" s="73"/>
      <c r="H80" s="73"/>
      <c r="I80" s="73"/>
      <c r="J80" s="73"/>
      <c r="K80" s="73"/>
      <c r="L80" s="73"/>
      <c r="M80" s="73"/>
    </row>
    <row r="81" spans="1:13" ht="25.5" customHeight="1" x14ac:dyDescent="0.2">
      <c r="B81" s="37" t="s">
        <v>84</v>
      </c>
      <c r="C81" s="7"/>
      <c r="D81" s="7"/>
      <c r="E81" s="7"/>
      <c r="F81" s="7"/>
      <c r="G81" s="7"/>
      <c r="H81" s="7"/>
      <c r="I81" s="7"/>
      <c r="J81" s="7"/>
      <c r="K81" s="7"/>
      <c r="L81" s="7"/>
      <c r="M81" s="7"/>
    </row>
    <row r="82" spans="1:13" ht="25.5" customHeight="1" x14ac:dyDescent="0.2">
      <c r="B82" s="37" t="s">
        <v>85</v>
      </c>
      <c r="C82" s="7"/>
      <c r="D82" s="7"/>
      <c r="E82" s="7"/>
      <c r="F82" s="7"/>
      <c r="G82" s="7"/>
      <c r="H82" s="7"/>
      <c r="I82" s="7"/>
      <c r="J82" s="7"/>
      <c r="K82" s="7"/>
      <c r="L82" s="7"/>
      <c r="M82" s="7"/>
    </row>
    <row r="83" spans="1:13" ht="25.5" customHeight="1" x14ac:dyDescent="0.2">
      <c r="B83" s="37" t="s">
        <v>86</v>
      </c>
      <c r="C83" s="7"/>
      <c r="D83" s="7"/>
      <c r="E83" s="7"/>
      <c r="F83" s="7"/>
      <c r="G83" s="7"/>
      <c r="H83" s="7"/>
      <c r="I83" s="7"/>
      <c r="J83" s="7"/>
      <c r="K83" s="7"/>
      <c r="L83" s="7"/>
      <c r="M83" s="7"/>
    </row>
    <row r="84" spans="1:13" ht="25.5" customHeight="1" x14ac:dyDescent="0.2">
      <c r="B84" s="37" t="s">
        <v>87</v>
      </c>
      <c r="C84" s="7"/>
      <c r="D84" s="7"/>
      <c r="E84" s="7"/>
      <c r="F84" s="7"/>
      <c r="G84" s="7"/>
      <c r="H84" s="7"/>
      <c r="I84" s="7"/>
      <c r="J84" s="7"/>
      <c r="K84" s="7"/>
      <c r="L84" s="7"/>
      <c r="M84" s="7"/>
    </row>
    <row r="85" spans="1:13" ht="25.5" customHeight="1" x14ac:dyDescent="0.2">
      <c r="B85" s="37" t="s">
        <v>88</v>
      </c>
      <c r="C85" s="7"/>
      <c r="D85" s="7"/>
      <c r="E85" s="7"/>
      <c r="F85" s="7"/>
      <c r="G85" s="7"/>
      <c r="H85" s="7"/>
      <c r="I85" s="7"/>
      <c r="J85" s="7"/>
      <c r="K85" s="7"/>
      <c r="L85" s="7"/>
      <c r="M85" s="7"/>
    </row>
    <row r="86" spans="1:13" ht="25.5" customHeight="1" x14ac:dyDescent="0.2">
      <c r="B86" s="37" t="s">
        <v>89</v>
      </c>
      <c r="C86" s="7"/>
      <c r="D86" s="7"/>
      <c r="E86" s="7"/>
      <c r="F86" s="7"/>
      <c r="G86" s="7"/>
      <c r="H86" s="7"/>
      <c r="I86" s="7"/>
      <c r="J86" s="7"/>
      <c r="K86" s="7"/>
      <c r="L86" s="7"/>
      <c r="M86" s="7"/>
    </row>
    <row r="87" spans="1:13" ht="25.5" customHeight="1" x14ac:dyDescent="0.2">
      <c r="B87" s="37" t="s">
        <v>90</v>
      </c>
      <c r="C87" s="7"/>
      <c r="D87" s="7"/>
      <c r="E87" s="7"/>
      <c r="F87" s="7"/>
      <c r="G87" s="7"/>
      <c r="H87" s="7"/>
      <c r="I87" s="7"/>
      <c r="J87" s="7"/>
      <c r="K87" s="7"/>
      <c r="L87" s="7"/>
      <c r="M87" s="7"/>
    </row>
    <row r="88" spans="1:13" ht="6" customHeight="1" x14ac:dyDescent="0.2"/>
    <row r="89" spans="1:13" ht="27.75" customHeight="1" x14ac:dyDescent="0.2">
      <c r="A89" s="74" t="s">
        <v>95</v>
      </c>
      <c r="B89" s="74"/>
      <c r="C89" s="74"/>
      <c r="D89" s="74"/>
      <c r="E89" s="74"/>
      <c r="F89" s="74"/>
      <c r="G89" s="74"/>
      <c r="H89" s="74"/>
      <c r="I89" s="74"/>
      <c r="J89" s="74"/>
      <c r="K89" s="74"/>
      <c r="L89" s="74"/>
      <c r="M89" s="74"/>
    </row>
    <row r="91" spans="1:13" ht="9.75" customHeight="1" x14ac:dyDescent="0.2"/>
    <row r="92" spans="1:13" ht="19.5" customHeight="1" x14ac:dyDescent="0.2">
      <c r="A92" s="5" t="s">
        <v>96</v>
      </c>
      <c r="B92" s="5"/>
      <c r="C92" s="5"/>
      <c r="D92" s="5"/>
      <c r="E92" s="5"/>
      <c r="F92" s="5"/>
      <c r="G92" s="5"/>
      <c r="H92" s="5"/>
      <c r="I92" s="5"/>
      <c r="J92" s="5"/>
      <c r="K92" s="5"/>
      <c r="L92" s="5"/>
      <c r="M92" s="5"/>
    </row>
    <row r="93" spans="1:13" ht="18" customHeight="1" x14ac:dyDescent="0.2">
      <c r="B93" s="38" t="s">
        <v>97</v>
      </c>
      <c r="C93" s="75" t="s">
        <v>98</v>
      </c>
      <c r="D93" s="75"/>
      <c r="E93" s="75"/>
      <c r="F93" s="75"/>
      <c r="G93" s="75"/>
      <c r="H93" s="75"/>
      <c r="I93" s="75"/>
      <c r="J93" s="75"/>
      <c r="K93" s="75"/>
      <c r="L93" s="75"/>
      <c r="M93" s="75"/>
    </row>
    <row r="94" spans="1:13" ht="18" customHeight="1" x14ac:dyDescent="0.2">
      <c r="B94" s="39" t="s">
        <v>97</v>
      </c>
      <c r="C94" s="75" t="s">
        <v>99</v>
      </c>
      <c r="D94" s="75"/>
      <c r="E94" s="75"/>
      <c r="F94" s="75"/>
      <c r="G94" s="75"/>
      <c r="H94" s="75"/>
      <c r="I94" s="75"/>
      <c r="J94" s="75"/>
      <c r="K94" s="75"/>
      <c r="L94" s="75"/>
      <c r="M94" s="75"/>
    </row>
    <row r="95" spans="1:13" ht="18" customHeight="1" x14ac:dyDescent="0.2">
      <c r="B95" s="40" t="s">
        <v>97</v>
      </c>
      <c r="C95" s="75" t="s">
        <v>100</v>
      </c>
      <c r="D95" s="75"/>
      <c r="E95" s="75"/>
      <c r="F95" s="75"/>
      <c r="G95" s="75"/>
      <c r="H95" s="75"/>
      <c r="I95" s="75"/>
      <c r="J95" s="75"/>
      <c r="K95" s="75"/>
      <c r="L95" s="75"/>
      <c r="M95" s="75"/>
    </row>
    <row r="96" spans="1:13" ht="18" customHeight="1" x14ac:dyDescent="0.2">
      <c r="B96" s="41" t="s">
        <v>97</v>
      </c>
      <c r="C96" s="75" t="s">
        <v>101</v>
      </c>
      <c r="D96" s="75"/>
      <c r="E96" s="75"/>
      <c r="F96" s="75"/>
      <c r="G96" s="75"/>
      <c r="H96" s="75"/>
      <c r="I96" s="75"/>
      <c r="J96" s="75"/>
      <c r="K96" s="75"/>
      <c r="L96" s="75"/>
      <c r="M96" s="75"/>
    </row>
    <row r="97" spans="2:13" ht="18" customHeight="1" x14ac:dyDescent="0.2">
      <c r="B97" s="42" t="s">
        <v>97</v>
      </c>
      <c r="C97" s="75" t="s">
        <v>102</v>
      </c>
      <c r="D97" s="75"/>
      <c r="E97" s="75"/>
      <c r="F97" s="75"/>
      <c r="G97" s="75"/>
      <c r="H97" s="75"/>
      <c r="I97" s="75"/>
      <c r="J97" s="75"/>
      <c r="K97" s="75"/>
      <c r="L97" s="75"/>
      <c r="M97" s="75"/>
    </row>
  </sheetData>
  <mergeCells count="90">
    <mergeCell ref="C94:M94"/>
    <mergeCell ref="C95:M95"/>
    <mergeCell ref="C96:M96"/>
    <mergeCell ref="C97:M97"/>
    <mergeCell ref="C86:M86"/>
    <mergeCell ref="C87:M87"/>
    <mergeCell ref="A89:M89"/>
    <mergeCell ref="A92:M92"/>
    <mergeCell ref="C93:M93"/>
    <mergeCell ref="C81:M81"/>
    <mergeCell ref="C82:M82"/>
    <mergeCell ref="C83:M83"/>
    <mergeCell ref="C84:M84"/>
    <mergeCell ref="C85:M85"/>
    <mergeCell ref="C75:M75"/>
    <mergeCell ref="C76:M76"/>
    <mergeCell ref="C77:M77"/>
    <mergeCell ref="C78:M78"/>
    <mergeCell ref="A80:M80"/>
    <mergeCell ref="C69:M69"/>
    <mergeCell ref="A71:M71"/>
    <mergeCell ref="C72:M72"/>
    <mergeCell ref="C73:M73"/>
    <mergeCell ref="C74:M74"/>
    <mergeCell ref="C64:M64"/>
    <mergeCell ref="C65:M65"/>
    <mergeCell ref="C66:M66"/>
    <mergeCell ref="C67:M67"/>
    <mergeCell ref="C68:M68"/>
    <mergeCell ref="C58:M58"/>
    <mergeCell ref="C59:M59"/>
    <mergeCell ref="C60:M60"/>
    <mergeCell ref="A62:M62"/>
    <mergeCell ref="C63:M63"/>
    <mergeCell ref="A53:M53"/>
    <mergeCell ref="C54:M54"/>
    <mergeCell ref="C55:M55"/>
    <mergeCell ref="C56:M56"/>
    <mergeCell ref="C57:M57"/>
    <mergeCell ref="C47:M47"/>
    <mergeCell ref="C48:M48"/>
    <mergeCell ref="C49:M49"/>
    <mergeCell ref="C50:M50"/>
    <mergeCell ref="C51:M51"/>
    <mergeCell ref="A42:M42"/>
    <mergeCell ref="A43:M43"/>
    <mergeCell ref="A44:M44"/>
    <mergeCell ref="C45:M45"/>
    <mergeCell ref="C46:M46"/>
    <mergeCell ref="C39:E39"/>
    <mergeCell ref="F39:G39"/>
    <mergeCell ref="H39:J39"/>
    <mergeCell ref="K39:L39"/>
    <mergeCell ref="C40:E40"/>
    <mergeCell ref="F40:G40"/>
    <mergeCell ref="H40:J40"/>
    <mergeCell ref="K40:L40"/>
    <mergeCell ref="B37:M37"/>
    <mergeCell ref="C38:E38"/>
    <mergeCell ref="F38:G38"/>
    <mergeCell ref="H38:J38"/>
    <mergeCell ref="K38:L38"/>
    <mergeCell ref="C33:I33"/>
    <mergeCell ref="J33:M33"/>
    <mergeCell ref="C34:I34"/>
    <mergeCell ref="J34:M34"/>
    <mergeCell ref="C35:I35"/>
    <mergeCell ref="J35:M35"/>
    <mergeCell ref="C30:I30"/>
    <mergeCell ref="J30:M30"/>
    <mergeCell ref="C31:I31"/>
    <mergeCell ref="J31:M31"/>
    <mergeCell ref="C32:I32"/>
    <mergeCell ref="J32:M32"/>
    <mergeCell ref="C27:I27"/>
    <mergeCell ref="J27:M27"/>
    <mergeCell ref="C28:I28"/>
    <mergeCell ref="J28:M28"/>
    <mergeCell ref="C29:I29"/>
    <mergeCell ref="J29:M29"/>
    <mergeCell ref="A10:M10"/>
    <mergeCell ref="A22:F22"/>
    <mergeCell ref="K22:M22"/>
    <mergeCell ref="A25:M25"/>
    <mergeCell ref="A26:M26"/>
    <mergeCell ref="A2:M2"/>
    <mergeCell ref="A3:M3"/>
    <mergeCell ref="K5:L5"/>
    <mergeCell ref="A7:M7"/>
    <mergeCell ref="A9:M9"/>
  </mergeCells>
  <conditionalFormatting sqref="G22">
    <cfRule type="cellIs" dxfId="3" priority="22" operator="equal">
      <formula>1</formula>
    </cfRule>
    <cfRule type="cellIs" dxfId="2" priority="23" operator="notEqual">
      <formula>1</formula>
    </cfRule>
  </conditionalFormatting>
  <conditionalFormatting sqref="J12:J21">
    <cfRule type="expression" dxfId="1" priority="2">
      <formula>J12="NO"</formula>
    </cfRule>
    <cfRule type="expression" dxfId="0" priority="3">
      <formula>J12="YES"</formula>
    </cfRule>
  </conditionalFormatting>
  <dataValidations count="3">
    <dataValidation type="list" allowBlank="1" showErrorMessage="1" errorTitle="Invalid" error="Select from dropdown list." sqref="E12:E21" xr:uid="{00000000-0002-0000-0400-000000000000}">
      <formula1>"U.S. Equities,Fixed Income,Cash / Equiv.,International Equity,Real Estate / REIT,Commodities,Derivatives,Other"</formula1>
      <formula2>0</formula2>
    </dataValidation>
    <dataValidation type="list" allowBlank="1" showErrorMessage="1" errorTitle="Invalid" error="Select from dropdown list." sqref="F12:F21" xr:uid="{00000000-0002-0000-0400-000001000000}">
      <formula1>"Technology,Healthcare,Financials,Consumer Disc.,Consumer Staples,Energy,Industrials,Materials,Utilities,Real Estate,Communication Svcs.,Government Bond,Corporate Bond,Municipal Bond,Money Market,Commodity,N/A"</formula1>
      <formula2>0</formula2>
    </dataValidation>
    <dataValidation type="list" showErrorMessage="1" errorTitle="Required" error="Must be YES or NO." sqref="J12:J21" xr:uid="{00000000-0002-0000-0400-000002000000}">
      <formula1>"YES,NO"</formula1>
      <formula2>0</formula2>
    </dataValidation>
  </dataValidations>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24"/>
  <sheetViews>
    <sheetView showGridLines="0" workbookViewId="0">
      <selection sqref="A1:W1"/>
    </sheetView>
  </sheetViews>
  <sheetFormatPr baseColWidth="10" defaultColWidth="8.83203125" defaultRowHeight="15" x14ac:dyDescent="0.2"/>
  <cols>
    <col min="1" max="1" width="16" customWidth="1"/>
    <col min="2" max="3" width="18" customWidth="1"/>
    <col min="4" max="4" width="24" customWidth="1"/>
    <col min="5" max="5" width="14" customWidth="1"/>
    <col min="6" max="6" width="24" customWidth="1"/>
    <col min="7" max="7" width="28" customWidth="1"/>
    <col min="8" max="8" width="13" customWidth="1"/>
    <col min="9" max="10" width="24" customWidth="1"/>
    <col min="11" max="11" width="26" customWidth="1"/>
    <col min="12" max="13" width="18" customWidth="1"/>
    <col min="14" max="14" width="20" customWidth="1"/>
    <col min="15" max="16" width="18" customWidth="1"/>
    <col min="17" max="17" width="28" customWidth="1"/>
    <col min="18" max="18" width="24" customWidth="1"/>
    <col min="19" max="19" width="26" customWidth="1"/>
    <col min="20" max="21" width="22" customWidth="1"/>
    <col min="22" max="22" width="20" customWidth="1"/>
    <col min="23" max="23" width="17" customWidth="1"/>
  </cols>
  <sheetData>
    <row r="1" spans="1:23" ht="34" customHeight="1" x14ac:dyDescent="0.2">
      <c r="A1" s="76" t="s">
        <v>117</v>
      </c>
      <c r="B1" s="76"/>
      <c r="C1" s="76"/>
      <c r="D1" s="76"/>
      <c r="E1" s="76"/>
      <c r="F1" s="76"/>
      <c r="G1" s="76"/>
      <c r="H1" s="76"/>
      <c r="I1" s="76"/>
      <c r="J1" s="76"/>
      <c r="K1" s="76"/>
      <c r="L1" s="76"/>
      <c r="M1" s="76"/>
      <c r="N1" s="76"/>
      <c r="O1" s="76"/>
      <c r="P1" s="76"/>
      <c r="Q1" s="76"/>
      <c r="R1" s="76"/>
      <c r="S1" s="76"/>
      <c r="T1" s="76"/>
      <c r="U1" s="76"/>
      <c r="V1" s="76"/>
      <c r="W1" s="76"/>
    </row>
    <row r="2" spans="1:23" x14ac:dyDescent="0.2">
      <c r="A2" s="77" t="s">
        <v>118</v>
      </c>
      <c r="B2" s="77"/>
      <c r="C2" s="77"/>
      <c r="D2" s="77"/>
      <c r="E2" s="77"/>
      <c r="F2" s="77"/>
      <c r="G2" s="77"/>
      <c r="H2" s="77"/>
      <c r="I2" s="77"/>
      <c r="J2" s="77"/>
      <c r="K2" s="77"/>
      <c r="L2" s="77"/>
      <c r="M2" s="77"/>
      <c r="N2" s="77"/>
      <c r="O2" s="77"/>
      <c r="P2" s="77"/>
      <c r="Q2" s="77"/>
      <c r="R2" s="77"/>
      <c r="S2" s="77"/>
      <c r="T2" s="77"/>
      <c r="U2" s="77"/>
      <c r="V2" s="77"/>
      <c r="W2" s="77"/>
    </row>
    <row r="4" spans="1:23" ht="40" customHeight="1" x14ac:dyDescent="0.2">
      <c r="A4" s="78" t="s">
        <v>119</v>
      </c>
      <c r="B4" s="78"/>
      <c r="C4" s="78"/>
      <c r="D4" s="78"/>
      <c r="E4" s="78"/>
      <c r="F4" s="78"/>
      <c r="G4" s="78"/>
      <c r="H4" s="78"/>
      <c r="I4" s="78"/>
      <c r="J4" s="78"/>
      <c r="K4" s="78"/>
      <c r="L4" s="78"/>
      <c r="M4" s="78"/>
      <c r="N4" s="78"/>
      <c r="O4" s="78"/>
      <c r="P4" s="78"/>
      <c r="Q4" s="78"/>
      <c r="R4" s="78"/>
      <c r="S4" s="78"/>
      <c r="T4" s="78"/>
      <c r="U4" s="78"/>
      <c r="V4" s="78"/>
      <c r="W4" s="78"/>
    </row>
    <row r="5" spans="1:23" ht="34" customHeight="1" x14ac:dyDescent="0.2">
      <c r="A5" s="79" t="s">
        <v>120</v>
      </c>
      <c r="B5" s="79"/>
      <c r="C5" s="79"/>
      <c r="D5" s="79"/>
      <c r="E5" s="79"/>
      <c r="F5" s="79"/>
      <c r="G5" s="79"/>
      <c r="H5" s="79"/>
      <c r="I5" s="79"/>
      <c r="J5" s="79"/>
      <c r="K5" s="79"/>
      <c r="L5" s="79"/>
      <c r="M5" s="79"/>
      <c r="N5" s="79"/>
      <c r="O5" s="79"/>
      <c r="P5" s="79"/>
      <c r="Q5" s="79"/>
      <c r="R5" s="79"/>
      <c r="S5" s="79"/>
      <c r="T5" s="79"/>
      <c r="U5" s="79"/>
      <c r="V5" s="79"/>
      <c r="W5" s="79"/>
    </row>
    <row r="7" spans="1:23" ht="38" customHeight="1" x14ac:dyDescent="0.2">
      <c r="A7" s="80" t="s">
        <v>121</v>
      </c>
      <c r="B7" s="80"/>
      <c r="C7" s="80"/>
      <c r="D7" s="80"/>
      <c r="E7" s="80"/>
      <c r="F7" s="80"/>
      <c r="G7" s="80"/>
      <c r="H7" s="80"/>
      <c r="I7" s="80"/>
      <c r="J7" s="80"/>
      <c r="K7" s="80"/>
      <c r="L7" s="80"/>
      <c r="M7" s="80"/>
      <c r="N7" s="80"/>
      <c r="O7" s="80"/>
      <c r="P7" s="80"/>
      <c r="Q7" s="80"/>
      <c r="R7" s="80"/>
      <c r="S7" s="80"/>
      <c r="T7" s="80"/>
      <c r="U7" s="80"/>
      <c r="V7" s="80"/>
      <c r="W7" s="80"/>
    </row>
    <row r="9" spans="1:23" x14ac:dyDescent="0.2">
      <c r="A9" s="81" t="s">
        <v>122</v>
      </c>
      <c r="B9" s="81"/>
      <c r="C9" s="81"/>
      <c r="D9" s="81"/>
      <c r="E9" s="81"/>
      <c r="F9" s="81"/>
      <c r="G9" s="81"/>
      <c r="H9" s="81"/>
      <c r="I9" s="82" t="s">
        <v>123</v>
      </c>
      <c r="J9" s="82"/>
      <c r="K9" s="82"/>
      <c r="L9" s="82"/>
      <c r="M9" s="82"/>
      <c r="N9" s="82"/>
      <c r="O9" s="82"/>
      <c r="P9" s="82"/>
      <c r="Q9" s="82"/>
      <c r="R9" s="83" t="s">
        <v>124</v>
      </c>
      <c r="S9" s="83"/>
      <c r="T9" s="83"/>
      <c r="U9" s="83"/>
      <c r="V9" s="84" t="s">
        <v>125</v>
      </c>
      <c r="W9" s="84"/>
    </row>
    <row r="10" spans="1:23" ht="58" customHeight="1" x14ac:dyDescent="0.2">
      <c r="A10" s="46" t="s">
        <v>126</v>
      </c>
      <c r="B10" s="47" t="s">
        <v>127</v>
      </c>
      <c r="C10" s="47" t="s">
        <v>128</v>
      </c>
      <c r="D10" s="47" t="s">
        <v>129</v>
      </c>
      <c r="E10" s="47" t="s">
        <v>130</v>
      </c>
      <c r="F10" s="47" t="s">
        <v>131</v>
      </c>
      <c r="G10" s="47" t="s">
        <v>132</v>
      </c>
      <c r="H10" s="47" t="s">
        <v>133</v>
      </c>
      <c r="I10" s="47" t="s">
        <v>134</v>
      </c>
      <c r="J10" s="47" t="s">
        <v>135</v>
      </c>
      <c r="K10" s="47" t="s">
        <v>136</v>
      </c>
      <c r="L10" s="47" t="s">
        <v>137</v>
      </c>
      <c r="M10" s="47" t="s">
        <v>138</v>
      </c>
      <c r="N10" s="47" t="s">
        <v>139</v>
      </c>
      <c r="O10" s="47" t="s">
        <v>140</v>
      </c>
      <c r="P10" s="47" t="s">
        <v>141</v>
      </c>
      <c r="Q10" s="47" t="s">
        <v>142</v>
      </c>
      <c r="R10" s="47" t="s">
        <v>143</v>
      </c>
      <c r="S10" s="47" t="s">
        <v>144</v>
      </c>
      <c r="T10" s="47" t="s">
        <v>145</v>
      </c>
      <c r="U10" s="47" t="s">
        <v>146</v>
      </c>
      <c r="V10" s="47" t="s">
        <v>147</v>
      </c>
      <c r="W10" s="48" t="s">
        <v>148</v>
      </c>
    </row>
    <row r="11" spans="1:23" ht="64" customHeight="1" x14ac:dyDescent="0.2">
      <c r="A11" s="52"/>
      <c r="B11" s="53"/>
      <c r="C11" s="53"/>
      <c r="D11" s="53"/>
      <c r="E11" s="64"/>
      <c r="F11" s="53"/>
      <c r="G11" s="53"/>
      <c r="H11" s="67"/>
      <c r="I11" s="49"/>
      <c r="J11" s="49"/>
      <c r="K11" s="49"/>
      <c r="L11" s="49"/>
      <c r="M11" s="49"/>
      <c r="N11" s="49"/>
      <c r="O11" s="49"/>
      <c r="P11" s="49"/>
      <c r="Q11" s="49"/>
      <c r="R11" s="49"/>
      <c r="S11" s="49"/>
      <c r="T11" s="49"/>
      <c r="U11" s="49"/>
      <c r="V11" s="58"/>
      <c r="W11" s="59"/>
    </row>
    <row r="12" spans="1:23" ht="64" customHeight="1" x14ac:dyDescent="0.2">
      <c r="A12" s="54"/>
      <c r="B12" s="55"/>
      <c r="C12" s="55"/>
      <c r="D12" s="55"/>
      <c r="E12" s="65"/>
      <c r="F12" s="55"/>
      <c r="G12" s="55"/>
      <c r="H12" s="68"/>
      <c r="I12" s="50"/>
      <c r="J12" s="50"/>
      <c r="K12" s="50"/>
      <c r="L12" s="50"/>
      <c r="M12" s="50"/>
      <c r="N12" s="50"/>
      <c r="O12" s="50"/>
      <c r="P12" s="50"/>
      <c r="Q12" s="50"/>
      <c r="R12" s="50"/>
      <c r="S12" s="50"/>
      <c r="T12" s="50"/>
      <c r="U12" s="50"/>
      <c r="V12" s="60"/>
      <c r="W12" s="61"/>
    </row>
    <row r="13" spans="1:23" ht="64" customHeight="1" x14ac:dyDescent="0.2">
      <c r="A13" s="54"/>
      <c r="B13" s="55"/>
      <c r="C13" s="55"/>
      <c r="D13" s="55"/>
      <c r="E13" s="65"/>
      <c r="F13" s="55"/>
      <c r="G13" s="55"/>
      <c r="H13" s="68"/>
      <c r="I13" s="50"/>
      <c r="J13" s="50"/>
      <c r="K13" s="50"/>
      <c r="L13" s="50"/>
      <c r="M13" s="50"/>
      <c r="N13" s="50"/>
      <c r="O13" s="50"/>
      <c r="P13" s="50"/>
      <c r="Q13" s="50"/>
      <c r="R13" s="50"/>
      <c r="S13" s="50"/>
      <c r="T13" s="50"/>
      <c r="U13" s="50"/>
      <c r="V13" s="60"/>
      <c r="W13" s="61"/>
    </row>
    <row r="14" spans="1:23" ht="64" customHeight="1" x14ac:dyDescent="0.2">
      <c r="A14" s="54"/>
      <c r="B14" s="55"/>
      <c r="C14" s="55"/>
      <c r="D14" s="55"/>
      <c r="E14" s="65"/>
      <c r="F14" s="55"/>
      <c r="G14" s="55"/>
      <c r="H14" s="68"/>
      <c r="I14" s="50"/>
      <c r="J14" s="50"/>
      <c r="K14" s="50"/>
      <c r="L14" s="50"/>
      <c r="M14" s="50"/>
      <c r="N14" s="50"/>
      <c r="O14" s="50"/>
      <c r="P14" s="50"/>
      <c r="Q14" s="50"/>
      <c r="R14" s="50"/>
      <c r="S14" s="50"/>
      <c r="T14" s="50"/>
      <c r="U14" s="50"/>
      <c r="V14" s="60"/>
      <c r="W14" s="61"/>
    </row>
    <row r="15" spans="1:23" ht="64" customHeight="1" x14ac:dyDescent="0.2">
      <c r="A15" s="54"/>
      <c r="B15" s="55"/>
      <c r="C15" s="55"/>
      <c r="D15" s="55"/>
      <c r="E15" s="65"/>
      <c r="F15" s="55"/>
      <c r="G15" s="55"/>
      <c r="H15" s="68"/>
      <c r="I15" s="50"/>
      <c r="J15" s="50"/>
      <c r="K15" s="50"/>
      <c r="L15" s="50"/>
      <c r="M15" s="50"/>
      <c r="N15" s="50"/>
      <c r="O15" s="50"/>
      <c r="P15" s="50"/>
      <c r="Q15" s="50"/>
      <c r="R15" s="50"/>
      <c r="S15" s="50"/>
      <c r="T15" s="50"/>
      <c r="U15" s="50"/>
      <c r="V15" s="60"/>
      <c r="W15" s="61"/>
    </row>
    <row r="16" spans="1:23" ht="64" customHeight="1" x14ac:dyDescent="0.2">
      <c r="A16" s="54"/>
      <c r="B16" s="55"/>
      <c r="C16" s="55"/>
      <c r="D16" s="55"/>
      <c r="E16" s="65"/>
      <c r="F16" s="55"/>
      <c r="G16" s="55"/>
      <c r="H16" s="68"/>
      <c r="I16" s="50"/>
      <c r="J16" s="50"/>
      <c r="K16" s="50"/>
      <c r="L16" s="50"/>
      <c r="M16" s="50"/>
      <c r="N16" s="50"/>
      <c r="O16" s="50"/>
      <c r="P16" s="50"/>
      <c r="Q16" s="50"/>
      <c r="R16" s="50"/>
      <c r="S16" s="50"/>
      <c r="T16" s="50"/>
      <c r="U16" s="50"/>
      <c r="V16" s="60"/>
      <c r="W16" s="61"/>
    </row>
    <row r="17" spans="1:23" ht="64" customHeight="1" x14ac:dyDescent="0.2">
      <c r="A17" s="54"/>
      <c r="B17" s="55"/>
      <c r="C17" s="55"/>
      <c r="D17" s="55"/>
      <c r="E17" s="65"/>
      <c r="F17" s="55"/>
      <c r="G17" s="55"/>
      <c r="H17" s="68"/>
      <c r="I17" s="50"/>
      <c r="J17" s="50"/>
      <c r="K17" s="50"/>
      <c r="L17" s="50"/>
      <c r="M17" s="50"/>
      <c r="N17" s="50"/>
      <c r="O17" s="50"/>
      <c r="P17" s="50"/>
      <c r="Q17" s="50"/>
      <c r="R17" s="50"/>
      <c r="S17" s="50"/>
      <c r="T17" s="50"/>
      <c r="U17" s="50"/>
      <c r="V17" s="60"/>
      <c r="W17" s="61"/>
    </row>
    <row r="18" spans="1:23" ht="64" customHeight="1" x14ac:dyDescent="0.2">
      <c r="A18" s="54"/>
      <c r="B18" s="55"/>
      <c r="C18" s="55"/>
      <c r="D18" s="55"/>
      <c r="E18" s="65"/>
      <c r="F18" s="55"/>
      <c r="G18" s="55"/>
      <c r="H18" s="68"/>
      <c r="I18" s="50"/>
      <c r="J18" s="50"/>
      <c r="K18" s="50"/>
      <c r="L18" s="50"/>
      <c r="M18" s="50"/>
      <c r="N18" s="50"/>
      <c r="O18" s="50"/>
      <c r="P18" s="50"/>
      <c r="Q18" s="50"/>
      <c r="R18" s="50"/>
      <c r="S18" s="50"/>
      <c r="T18" s="50"/>
      <c r="U18" s="50"/>
      <c r="V18" s="60"/>
      <c r="W18" s="61"/>
    </row>
    <row r="19" spans="1:23" ht="64" customHeight="1" x14ac:dyDescent="0.2">
      <c r="A19" s="54"/>
      <c r="B19" s="55"/>
      <c r="C19" s="55"/>
      <c r="D19" s="55"/>
      <c r="E19" s="65"/>
      <c r="F19" s="55"/>
      <c r="G19" s="55"/>
      <c r="H19" s="68"/>
      <c r="I19" s="50"/>
      <c r="J19" s="50"/>
      <c r="K19" s="50"/>
      <c r="L19" s="50"/>
      <c r="M19" s="50"/>
      <c r="N19" s="50"/>
      <c r="O19" s="50"/>
      <c r="P19" s="50"/>
      <c r="Q19" s="50"/>
      <c r="R19" s="50"/>
      <c r="S19" s="50"/>
      <c r="T19" s="50"/>
      <c r="U19" s="50"/>
      <c r="V19" s="60"/>
      <c r="W19" s="61"/>
    </row>
    <row r="20" spans="1:23" ht="64" customHeight="1" x14ac:dyDescent="0.2">
      <c r="A20" s="54"/>
      <c r="B20" s="55"/>
      <c r="C20" s="55"/>
      <c r="D20" s="55"/>
      <c r="E20" s="65"/>
      <c r="F20" s="55"/>
      <c r="G20" s="55"/>
      <c r="H20" s="68"/>
      <c r="I20" s="50"/>
      <c r="J20" s="50"/>
      <c r="K20" s="50"/>
      <c r="L20" s="50"/>
      <c r="M20" s="50"/>
      <c r="N20" s="50"/>
      <c r="O20" s="50"/>
      <c r="P20" s="50"/>
      <c r="Q20" s="50"/>
      <c r="R20" s="50"/>
      <c r="S20" s="50"/>
      <c r="T20" s="50"/>
      <c r="U20" s="50"/>
      <c r="V20" s="60"/>
      <c r="W20" s="61"/>
    </row>
    <row r="21" spans="1:23" ht="64" customHeight="1" x14ac:dyDescent="0.2">
      <c r="A21" s="54"/>
      <c r="B21" s="55"/>
      <c r="C21" s="55"/>
      <c r="D21" s="55"/>
      <c r="E21" s="65"/>
      <c r="F21" s="55"/>
      <c r="G21" s="55"/>
      <c r="H21" s="68"/>
      <c r="I21" s="50"/>
      <c r="J21" s="50"/>
      <c r="K21" s="50"/>
      <c r="L21" s="50"/>
      <c r="M21" s="50"/>
      <c r="N21" s="50"/>
      <c r="O21" s="50"/>
      <c r="P21" s="50"/>
      <c r="Q21" s="50"/>
      <c r="R21" s="50"/>
      <c r="S21" s="50"/>
      <c r="T21" s="50"/>
      <c r="U21" s="50"/>
      <c r="V21" s="60"/>
      <c r="W21" s="61"/>
    </row>
    <row r="22" spans="1:23" ht="64" customHeight="1" x14ac:dyDescent="0.2">
      <c r="A22" s="56"/>
      <c r="B22" s="57"/>
      <c r="C22" s="57"/>
      <c r="D22" s="57"/>
      <c r="E22" s="66"/>
      <c r="F22" s="57"/>
      <c r="G22" s="57"/>
      <c r="H22" s="69"/>
      <c r="I22" s="51"/>
      <c r="J22" s="51"/>
      <c r="K22" s="51"/>
      <c r="L22" s="51"/>
      <c r="M22" s="51"/>
      <c r="N22" s="51"/>
      <c r="O22" s="51"/>
      <c r="P22" s="51"/>
      <c r="Q22" s="51"/>
      <c r="R22" s="51"/>
      <c r="S22" s="51"/>
      <c r="T22" s="51"/>
      <c r="U22" s="51"/>
      <c r="V22" s="62"/>
      <c r="W22" s="63"/>
    </row>
    <row r="24" spans="1:23" ht="40" customHeight="1" x14ac:dyDescent="0.2">
      <c r="A24" s="85" t="s">
        <v>149</v>
      </c>
      <c r="B24" s="85"/>
      <c r="C24" s="85"/>
      <c r="D24" s="85"/>
      <c r="E24" s="85"/>
      <c r="F24" s="85"/>
      <c r="G24" s="85"/>
      <c r="H24" s="85"/>
      <c r="I24" s="85"/>
      <c r="J24" s="85"/>
      <c r="K24" s="85"/>
      <c r="L24" s="85"/>
      <c r="M24" s="85"/>
      <c r="N24" s="85"/>
      <c r="O24" s="85"/>
      <c r="P24" s="85"/>
      <c r="Q24" s="85"/>
      <c r="R24" s="85"/>
      <c r="S24" s="85"/>
      <c r="T24" s="85"/>
      <c r="U24" s="85"/>
      <c r="V24" s="85"/>
      <c r="W24" s="85"/>
    </row>
  </sheetData>
  <mergeCells count="10">
    <mergeCell ref="A9:H9"/>
    <mergeCell ref="I9:Q9"/>
    <mergeCell ref="R9:U9"/>
    <mergeCell ref="V9:W9"/>
    <mergeCell ref="A24:W24"/>
    <mergeCell ref="A1:W1"/>
    <mergeCell ref="A2:W2"/>
    <mergeCell ref="A4:W4"/>
    <mergeCell ref="A5:W5"/>
    <mergeCell ref="A7:W7"/>
  </mergeCells>
  <dataValidations count="3">
    <dataValidation type="list" sqref="B11:B22" xr:uid="{00000000-0002-0000-0500-000000000000}">
      <formula1>"Direct bond,Direct equity,Fund/ETF look-through"</formula1>
    </dataValidation>
    <dataValidation type="list" sqref="F11:F22" xr:uid="{00000000-0002-0000-0500-000001000000}">
      <formula1>"Fixed-Income Analyst,Fund and ETF Analyst,Client and Macro Strategist,Portfolio Manager and Risk Analyst"</formula1>
    </dataValidation>
    <dataValidation type="list" sqref="W11:W22" xr:uid="{00000000-0002-0000-0500-000002000000}">
      <formula1>"Not started,Ready for peer review,Complete,Revise"</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24"/>
  <sheetViews>
    <sheetView showGridLines="0" workbookViewId="0"/>
  </sheetViews>
  <sheetFormatPr baseColWidth="10" defaultColWidth="8.83203125" defaultRowHeight="15" x14ac:dyDescent="0.2"/>
  <cols>
    <col min="1" max="1" width="16" customWidth="1"/>
    <col min="2" max="2" width="20" customWidth="1"/>
    <col min="3" max="3" width="26" customWidth="1"/>
    <col min="4" max="5" width="28" customWidth="1"/>
    <col min="6" max="6" width="22" customWidth="1"/>
    <col min="7" max="7" width="20" customWidth="1"/>
    <col min="8" max="8" width="27" customWidth="1"/>
    <col min="9" max="9" width="16" customWidth="1"/>
    <col min="10" max="10" width="15" customWidth="1"/>
    <col min="11" max="11" width="30" customWidth="1"/>
    <col min="12" max="12" width="16" customWidth="1"/>
    <col min="13" max="13" width="30" customWidth="1"/>
    <col min="14" max="14" width="28" customWidth="1"/>
    <col min="15" max="15" width="22" customWidth="1"/>
    <col min="16" max="16" width="20" customWidth="1"/>
    <col min="17" max="17" width="17" customWidth="1"/>
  </cols>
  <sheetData>
    <row r="1" spans="1:17" ht="34" customHeight="1" x14ac:dyDescent="0.2">
      <c r="A1" s="76" t="s">
        <v>150</v>
      </c>
      <c r="B1" s="76"/>
      <c r="C1" s="76"/>
      <c r="D1" s="76"/>
      <c r="E1" s="76"/>
      <c r="F1" s="76"/>
      <c r="G1" s="76"/>
      <c r="H1" s="76"/>
      <c r="I1" s="76"/>
      <c r="J1" s="76"/>
      <c r="K1" s="76"/>
      <c r="L1" s="76"/>
      <c r="M1" s="76"/>
      <c r="N1" s="76"/>
      <c r="O1" s="76"/>
      <c r="P1" s="76"/>
      <c r="Q1" s="76"/>
    </row>
    <row r="2" spans="1:17" x14ac:dyDescent="0.2">
      <c r="A2" s="77" t="s">
        <v>151</v>
      </c>
      <c r="B2" s="77"/>
      <c r="C2" s="77"/>
      <c r="D2" s="77"/>
      <c r="E2" s="77"/>
      <c r="F2" s="77"/>
      <c r="G2" s="77"/>
      <c r="H2" s="77"/>
      <c r="I2" s="77"/>
      <c r="J2" s="77"/>
      <c r="K2" s="77"/>
      <c r="L2" s="77"/>
      <c r="M2" s="77"/>
      <c r="N2" s="77"/>
      <c r="O2" s="77"/>
      <c r="P2" s="77"/>
      <c r="Q2" s="77"/>
    </row>
    <row r="4" spans="1:17" ht="42" customHeight="1" x14ac:dyDescent="0.2">
      <c r="A4" s="78" t="s">
        <v>152</v>
      </c>
      <c r="B4" s="78"/>
      <c r="C4" s="78"/>
      <c r="D4" s="78"/>
      <c r="E4" s="78"/>
      <c r="F4" s="78"/>
      <c r="G4" s="78"/>
      <c r="H4" s="78"/>
      <c r="I4" s="78"/>
      <c r="J4" s="78"/>
      <c r="K4" s="78"/>
      <c r="L4" s="78"/>
      <c r="M4" s="78"/>
      <c r="N4" s="78"/>
      <c r="O4" s="78"/>
      <c r="P4" s="78"/>
      <c r="Q4" s="78"/>
    </row>
    <row r="5" spans="1:17" ht="36" customHeight="1" x14ac:dyDescent="0.2">
      <c r="A5" s="79" t="s">
        <v>153</v>
      </c>
      <c r="B5" s="79"/>
      <c r="C5" s="79"/>
      <c r="D5" s="79"/>
      <c r="E5" s="79"/>
      <c r="F5" s="79"/>
      <c r="G5" s="79"/>
      <c r="H5" s="79"/>
      <c r="I5" s="79"/>
      <c r="J5" s="79"/>
      <c r="K5" s="79"/>
      <c r="L5" s="79"/>
      <c r="M5" s="79"/>
      <c r="N5" s="79"/>
      <c r="O5" s="79"/>
      <c r="P5" s="79"/>
      <c r="Q5" s="79"/>
    </row>
    <row r="8" spans="1:17" ht="60" customHeight="1" x14ac:dyDescent="0.2">
      <c r="A8" s="46" t="s">
        <v>126</v>
      </c>
      <c r="B8" s="47" t="s">
        <v>154</v>
      </c>
      <c r="C8" s="47" t="s">
        <v>155</v>
      </c>
      <c r="D8" s="47" t="s">
        <v>156</v>
      </c>
      <c r="E8" s="47" t="s">
        <v>157</v>
      </c>
      <c r="F8" s="47" t="s">
        <v>158</v>
      </c>
      <c r="G8" s="47" t="s">
        <v>159</v>
      </c>
      <c r="H8" s="47" t="s">
        <v>160</v>
      </c>
      <c r="I8" s="47" t="s">
        <v>161</v>
      </c>
      <c r="J8" s="47" t="s">
        <v>162</v>
      </c>
      <c r="K8" s="47" t="s">
        <v>163</v>
      </c>
      <c r="L8" s="47" t="s">
        <v>164</v>
      </c>
      <c r="M8" s="47" t="s">
        <v>165</v>
      </c>
      <c r="N8" s="47" t="s">
        <v>166</v>
      </c>
      <c r="O8" s="47" t="s">
        <v>167</v>
      </c>
      <c r="P8" s="47" t="s">
        <v>147</v>
      </c>
      <c r="Q8" s="48" t="s">
        <v>148</v>
      </c>
    </row>
    <row r="9" spans="1:17" ht="64" customHeight="1" x14ac:dyDescent="0.2">
      <c r="A9" s="52"/>
      <c r="B9" s="53"/>
      <c r="C9" s="53"/>
      <c r="D9" s="53"/>
      <c r="E9" s="49"/>
      <c r="F9" s="49"/>
      <c r="G9" s="49"/>
      <c r="H9" s="49"/>
      <c r="I9" s="70"/>
      <c r="J9" s="70"/>
      <c r="K9" s="49"/>
      <c r="L9" s="49"/>
      <c r="M9" s="49"/>
      <c r="N9" s="49"/>
      <c r="O9" s="58"/>
      <c r="P9" s="58"/>
      <c r="Q9" s="59"/>
    </row>
    <row r="10" spans="1:17" ht="64" customHeight="1" x14ac:dyDescent="0.2">
      <c r="A10" s="54"/>
      <c r="B10" s="55"/>
      <c r="C10" s="55"/>
      <c r="D10" s="55"/>
      <c r="E10" s="50"/>
      <c r="F10" s="50"/>
      <c r="G10" s="50"/>
      <c r="H10" s="50"/>
      <c r="I10" s="71"/>
      <c r="J10" s="71"/>
      <c r="K10" s="50"/>
      <c r="L10" s="50"/>
      <c r="M10" s="50"/>
      <c r="N10" s="50"/>
      <c r="O10" s="60"/>
      <c r="P10" s="60"/>
      <c r="Q10" s="61"/>
    </row>
    <row r="11" spans="1:17" ht="64" customHeight="1" x14ac:dyDescent="0.2">
      <c r="A11" s="54"/>
      <c r="B11" s="55"/>
      <c r="C11" s="55"/>
      <c r="D11" s="55"/>
      <c r="E11" s="50"/>
      <c r="F11" s="50"/>
      <c r="G11" s="50"/>
      <c r="H11" s="50"/>
      <c r="I11" s="71"/>
      <c r="J11" s="71"/>
      <c r="K11" s="50"/>
      <c r="L11" s="50"/>
      <c r="M11" s="50"/>
      <c r="N11" s="50"/>
      <c r="O11" s="60"/>
      <c r="P11" s="60"/>
      <c r="Q11" s="61"/>
    </row>
    <row r="12" spans="1:17" ht="64" customHeight="1" x14ac:dyDescent="0.2">
      <c r="A12" s="54"/>
      <c r="B12" s="55"/>
      <c r="C12" s="55"/>
      <c r="D12" s="55"/>
      <c r="E12" s="50"/>
      <c r="F12" s="50"/>
      <c r="G12" s="50"/>
      <c r="H12" s="50"/>
      <c r="I12" s="71"/>
      <c r="J12" s="71"/>
      <c r="K12" s="50"/>
      <c r="L12" s="50"/>
      <c r="M12" s="50"/>
      <c r="N12" s="50"/>
      <c r="O12" s="60"/>
      <c r="P12" s="60"/>
      <c r="Q12" s="61"/>
    </row>
    <row r="13" spans="1:17" ht="64" customHeight="1" x14ac:dyDescent="0.2">
      <c r="A13" s="54"/>
      <c r="B13" s="55"/>
      <c r="C13" s="55"/>
      <c r="D13" s="55"/>
      <c r="E13" s="50"/>
      <c r="F13" s="50"/>
      <c r="G13" s="50"/>
      <c r="H13" s="50"/>
      <c r="I13" s="71"/>
      <c r="J13" s="71"/>
      <c r="K13" s="50"/>
      <c r="L13" s="50"/>
      <c r="M13" s="50"/>
      <c r="N13" s="50"/>
      <c r="O13" s="60"/>
      <c r="P13" s="60"/>
      <c r="Q13" s="61"/>
    </row>
    <row r="14" spans="1:17" ht="64" customHeight="1" x14ac:dyDescent="0.2">
      <c r="A14" s="54"/>
      <c r="B14" s="55"/>
      <c r="C14" s="55"/>
      <c r="D14" s="55"/>
      <c r="E14" s="50"/>
      <c r="F14" s="50"/>
      <c r="G14" s="50"/>
      <c r="H14" s="50"/>
      <c r="I14" s="71"/>
      <c r="J14" s="71"/>
      <c r="K14" s="50"/>
      <c r="L14" s="50"/>
      <c r="M14" s="50"/>
      <c r="N14" s="50"/>
      <c r="O14" s="60"/>
      <c r="P14" s="60"/>
      <c r="Q14" s="61"/>
    </row>
    <row r="15" spans="1:17" ht="64" customHeight="1" x14ac:dyDescent="0.2">
      <c r="A15" s="54"/>
      <c r="B15" s="55"/>
      <c r="C15" s="55"/>
      <c r="D15" s="55"/>
      <c r="E15" s="50"/>
      <c r="F15" s="50"/>
      <c r="G15" s="50"/>
      <c r="H15" s="50"/>
      <c r="I15" s="71"/>
      <c r="J15" s="71"/>
      <c r="K15" s="50"/>
      <c r="L15" s="50"/>
      <c r="M15" s="50"/>
      <c r="N15" s="50"/>
      <c r="O15" s="60"/>
      <c r="P15" s="60"/>
      <c r="Q15" s="61"/>
    </row>
    <row r="16" spans="1:17" ht="64" customHeight="1" x14ac:dyDescent="0.2">
      <c r="A16" s="54"/>
      <c r="B16" s="55"/>
      <c r="C16" s="55"/>
      <c r="D16" s="55"/>
      <c r="E16" s="50"/>
      <c r="F16" s="50"/>
      <c r="G16" s="50"/>
      <c r="H16" s="50"/>
      <c r="I16" s="71"/>
      <c r="J16" s="71"/>
      <c r="K16" s="50"/>
      <c r="L16" s="50"/>
      <c r="M16" s="50"/>
      <c r="N16" s="50"/>
      <c r="O16" s="60"/>
      <c r="P16" s="60"/>
      <c r="Q16" s="61"/>
    </row>
    <row r="17" spans="1:17" ht="64" customHeight="1" x14ac:dyDescent="0.2">
      <c r="A17" s="54"/>
      <c r="B17" s="55"/>
      <c r="C17" s="55"/>
      <c r="D17" s="55"/>
      <c r="E17" s="50"/>
      <c r="F17" s="50"/>
      <c r="G17" s="50"/>
      <c r="H17" s="50"/>
      <c r="I17" s="71"/>
      <c r="J17" s="71"/>
      <c r="K17" s="50"/>
      <c r="L17" s="50"/>
      <c r="M17" s="50"/>
      <c r="N17" s="50"/>
      <c r="O17" s="60"/>
      <c r="P17" s="60"/>
      <c r="Q17" s="61"/>
    </row>
    <row r="18" spans="1:17" ht="64" customHeight="1" x14ac:dyDescent="0.2">
      <c r="A18" s="54"/>
      <c r="B18" s="55"/>
      <c r="C18" s="55"/>
      <c r="D18" s="55"/>
      <c r="E18" s="50"/>
      <c r="F18" s="50"/>
      <c r="G18" s="50"/>
      <c r="H18" s="50"/>
      <c r="I18" s="71"/>
      <c r="J18" s="71"/>
      <c r="K18" s="50"/>
      <c r="L18" s="50"/>
      <c r="M18" s="50"/>
      <c r="N18" s="50"/>
      <c r="O18" s="60"/>
      <c r="P18" s="60"/>
      <c r="Q18" s="61"/>
    </row>
    <row r="19" spans="1:17" ht="64" customHeight="1" x14ac:dyDescent="0.2">
      <c r="A19" s="54"/>
      <c r="B19" s="55"/>
      <c r="C19" s="55"/>
      <c r="D19" s="55"/>
      <c r="E19" s="50"/>
      <c r="F19" s="50"/>
      <c r="G19" s="50"/>
      <c r="H19" s="50"/>
      <c r="I19" s="71"/>
      <c r="J19" s="71"/>
      <c r="K19" s="50"/>
      <c r="L19" s="50"/>
      <c r="M19" s="50"/>
      <c r="N19" s="50"/>
      <c r="O19" s="60"/>
      <c r="P19" s="60"/>
      <c r="Q19" s="61"/>
    </row>
    <row r="20" spans="1:17" ht="64" customHeight="1" x14ac:dyDescent="0.2">
      <c r="A20" s="54"/>
      <c r="B20" s="55"/>
      <c r="C20" s="55"/>
      <c r="D20" s="55"/>
      <c r="E20" s="50"/>
      <c r="F20" s="50"/>
      <c r="G20" s="50"/>
      <c r="H20" s="50"/>
      <c r="I20" s="71"/>
      <c r="J20" s="71"/>
      <c r="K20" s="50"/>
      <c r="L20" s="50"/>
      <c r="M20" s="50"/>
      <c r="N20" s="50"/>
      <c r="O20" s="60"/>
      <c r="P20" s="60"/>
      <c r="Q20" s="61"/>
    </row>
    <row r="21" spans="1:17" ht="64" customHeight="1" x14ac:dyDescent="0.2">
      <c r="A21" s="54"/>
      <c r="B21" s="55"/>
      <c r="C21" s="55"/>
      <c r="D21" s="55"/>
      <c r="E21" s="50"/>
      <c r="F21" s="50"/>
      <c r="G21" s="50"/>
      <c r="H21" s="50"/>
      <c r="I21" s="71"/>
      <c r="J21" s="71"/>
      <c r="K21" s="50"/>
      <c r="L21" s="50"/>
      <c r="M21" s="50"/>
      <c r="N21" s="50"/>
      <c r="O21" s="60"/>
      <c r="P21" s="60"/>
      <c r="Q21" s="61"/>
    </row>
    <row r="22" spans="1:17" ht="64" customHeight="1" x14ac:dyDescent="0.2">
      <c r="A22" s="54"/>
      <c r="B22" s="55"/>
      <c r="C22" s="55"/>
      <c r="D22" s="55"/>
      <c r="E22" s="50"/>
      <c r="F22" s="50"/>
      <c r="G22" s="50"/>
      <c r="H22" s="50"/>
      <c r="I22" s="71"/>
      <c r="J22" s="71"/>
      <c r="K22" s="50"/>
      <c r="L22" s="50"/>
      <c r="M22" s="50"/>
      <c r="N22" s="50"/>
      <c r="O22" s="60"/>
      <c r="P22" s="60"/>
      <c r="Q22" s="61"/>
    </row>
    <row r="23" spans="1:17" ht="64" customHeight="1" x14ac:dyDescent="0.2">
      <c r="A23" s="54"/>
      <c r="B23" s="55"/>
      <c r="C23" s="55"/>
      <c r="D23" s="55"/>
      <c r="E23" s="50"/>
      <c r="F23" s="50"/>
      <c r="G23" s="50"/>
      <c r="H23" s="50"/>
      <c r="I23" s="71"/>
      <c r="J23" s="71"/>
      <c r="K23" s="50"/>
      <c r="L23" s="50"/>
      <c r="M23" s="50"/>
      <c r="N23" s="50"/>
      <c r="O23" s="60"/>
      <c r="P23" s="60"/>
      <c r="Q23" s="61"/>
    </row>
    <row r="24" spans="1:17" ht="64" customHeight="1" x14ac:dyDescent="0.2">
      <c r="A24" s="56"/>
      <c r="B24" s="57"/>
      <c r="C24" s="57"/>
      <c r="D24" s="57"/>
      <c r="E24" s="51"/>
      <c r="F24" s="51"/>
      <c r="G24" s="51"/>
      <c r="H24" s="51"/>
      <c r="I24" s="72"/>
      <c r="J24" s="72"/>
      <c r="K24" s="51"/>
      <c r="L24" s="51"/>
      <c r="M24" s="51"/>
      <c r="N24" s="51"/>
      <c r="O24" s="62"/>
      <c r="P24" s="62"/>
      <c r="Q24" s="63"/>
    </row>
  </sheetData>
  <mergeCells count="4">
    <mergeCell ref="A1:Q1"/>
    <mergeCell ref="A2:Q2"/>
    <mergeCell ref="A4:Q4"/>
    <mergeCell ref="A5:Q5"/>
  </mergeCells>
  <dataValidations count="3">
    <dataValidation type="list" sqref="B9:B24" xr:uid="{00000000-0002-0000-0600-000000000000}">
      <formula1>"Issuer Reality Check,Credit / fixed income,Mutual fund / ETF,Corporate issuer,Portfolio risk input"</formula1>
    </dataValidation>
    <dataValidation type="list" sqref="L9:L24" xr:uid="{00000000-0002-0000-0600-000001000000}">
      <formula1>"Confirmed,Qualified,Contradicted,Changed,Not verifiable"</formula1>
    </dataValidation>
    <dataValidation type="list" sqref="Q9:Q24" xr:uid="{00000000-0002-0000-0600-000002000000}">
      <formula1>"Not started,Ready for peer review,Complete,Revise"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START HERE</vt:lpstr>
      <vt:lpstr>SUMMARY</vt:lpstr>
      <vt:lpstr>Client 1</vt:lpstr>
      <vt:lpstr>Client 2</vt:lpstr>
      <vt:lpstr>Client 3</vt:lpstr>
      <vt:lpstr>ISSUER CHECK</vt:lpstr>
      <vt:lpstr>EVIDENCE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Bethany Evitts</cp:lastModifiedBy>
  <dcterms:modified xsi:type="dcterms:W3CDTF">2026-07-30T12:37:49Z</dcterms:modified>
</cp:coreProperties>
</file>