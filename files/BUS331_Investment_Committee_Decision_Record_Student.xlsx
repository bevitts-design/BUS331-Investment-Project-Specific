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Id4"/>
    <x:sheet xmlns:r="http://schemas.openxmlformats.org/officeDocument/2006/relationships" name="COMMITTEE ROSTER" sheetId="2" r:id="rId5"/>
    <x:sheet xmlns:r="http://schemas.openxmlformats.org/officeDocument/2006/relationships" name="ANALYST DECISION LOG" sheetId="3" r:id="rId6"/>
    <x:sheet xmlns:r="http://schemas.openxmlformats.org/officeDocument/2006/relationships" name="PHASE 1" sheetId="4" r:id="rId7"/>
    <x:sheet xmlns:r="http://schemas.openxmlformats.org/officeDocument/2006/relationships" name="PHASE 2 CLIENT 1" sheetId="5" r:id="rId8"/>
    <x:sheet xmlns:r="http://schemas.openxmlformats.org/officeDocument/2006/relationships" name="PHASE 2 CLIENT 2" sheetId="6" r:id="rId9"/>
    <x:sheet xmlns:r="http://schemas.openxmlformats.org/officeDocument/2006/relationships" name="PHASE 2 CLIENT 3" sheetId="7" r:id="rId10"/>
    <x:sheet xmlns:r="http://schemas.openxmlformats.org/officeDocument/2006/relationships" name="PHASE 3" sheetId="8" r:id="rId11"/>
    <x:sheet xmlns:r="http://schemas.openxmlformats.org/officeDocument/2006/relationships" name="AI AUDIT LOG" sheetId="9" r:id="rI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16">
    <x:font>
      <x:sz val="11"/>
      <x:name val="Carlito"/>
    </x:font>
    <x:font>
      <x:b/>
      <x:sz val="20"/>
      <x:color rgb="FFFFFFFF"/>
      <x:name val="Aptos Display"/>
    </x:font>
    <x:font>
      <x:sz val="10"/>
      <x:color rgb="FFDCE6EF"/>
      <x:name val="Aptos"/>
    </x:font>
    <x:font>
      <x:sz val="11"/>
      <x:color rgb="FF102238"/>
      <x:name val="Carlito"/>
    </x:font>
    <x:font>
      <x:b/>
      <x:sz val="10"/>
      <x:color rgb="FFFFFFFF"/>
      <x:name val="Aptos"/>
    </x:font>
    <x:font>
      <x:b/>
      <x:sz val="11"/>
      <x:color rgb="FF0B1F35"/>
      <x:name val="Carlito"/>
    </x:font>
    <x:font>
      <x:sz val="11"/>
      <x:color rgb="FF4B6073"/>
      <x:name val="Carlito"/>
    </x:font>
    <x:font>
      <x:b/>
      <x:sz val="10"/>
      <x:color rgb="FF102238"/>
      <x:name val="Aptos"/>
    </x:font>
    <x:font>
      <x:b/>
      <x:sz val="11"/>
      <x:color rgb="FF008000"/>
      <x:name val="Carlito"/>
    </x:font>
    <x:font>
      <x:b/>
      <x:sz val="11"/>
      <x:color rgb="FF102238"/>
      <x:name val="Carlito"/>
    </x:font>
    <x:font>
      <x:b/>
      <x:sz val="12"/>
      <x:color rgb="FF102238"/>
      <x:name val="Carlito"/>
    </x:font>
    <x:font>
      <x:i/>
      <x:sz val="11"/>
      <x:color rgb="FF4B6073"/>
      <x:name val="Carlito"/>
    </x:font>
    <x:font>
      <x:sz val="10"/>
      <x:color rgb="FF0000FF"/>
      <x:name val="Aptos"/>
    </x:font>
    <x:font>
      <x:sz val="9"/>
      <x:color rgb="FF4B6073"/>
      <x:name val="Carlito"/>
    </x:font>
    <x:font>
      <x:b/>
      <x:sz val="11"/>
      <x:color rgb="FF8A3027"/>
      <x:name val="Carlito"/>
    </x:font>
    <x:font>
      <x:sz val="10"/>
      <x:color rgb="FF102238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5"/>
      </x:patternFill>
    </x:fill>
    <x:fill>
      <x:patternFill patternType="solid">
        <x:fgColor rgb="FF122B49"/>
      </x:patternFill>
    </x:fill>
    <x:fill>
      <x:patternFill patternType="solid">
        <x:fgColor rgb="FFFFF4DE"/>
      </x:patternFill>
    </x:fill>
    <x:fill>
      <x:patternFill patternType="solid">
        <x:fgColor rgb="FFE7EEF5"/>
      </x:patternFill>
    </x:fill>
    <x:fill>
      <x:patternFill patternType="solid">
        <x:fgColor rgb="FFE9EFF4"/>
      </x:patternFill>
    </x:fill>
    <x:fill>
      <x:patternFill patternType="solid">
        <x:fgColor rgb="FFFFF1C7"/>
      </x:patternFill>
    </x:fill>
    <x:fill>
      <x:patternFill patternType="solid">
        <x:fgColor rgb="FFF5F8FA"/>
      </x:patternFill>
    </x:fill>
    <x:fill>
      <x:patternFill patternType="solid">
        <x:fgColor rgb="FFFBE3DF"/>
      </x:patternFill>
    </x:fill>
  </x:fills>
  <x:borders count="23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  <x:border>
      <x:left style="thin">
        <x:color rgb="FFD5DFE7"/>
      </x:left>
      <x:right style="thin">
        <x:color rgb="FFD5DFE7"/>
      </x:right>
      <x:top style="thin">
        <x:color rgb="FFD5DFE7"/>
      </x:top>
      <x:bottom style="thin">
        <x:color rgb="FFD5DFE7"/>
      </x:bottom>
    </x:border>
    <x:border>
      <x:left style="medium">
        <x:color rgb="FF0B1F35"/>
      </x:left>
      <x:top style="medium">
        <x:color rgb="FF0B1F35"/>
      </x:top>
      <x:bottom style="medium">
        <x:color rgb="FF0B1F35"/>
      </x:bottom>
    </x:border>
    <x:border>
      <x:right style="medium">
        <x:color rgb="FF0B1F35"/>
      </x:right>
      <x:top style="medium">
        <x:color rgb="FF0B1F35"/>
      </x:top>
      <x:bottom style="medium">
        <x:color rgb="FF0B1F35"/>
      </x:bottom>
    </x:border>
    <x:border>
      <x:left style="thin">
        <x:color rgb="FF0B1F35"/>
      </x:left>
      <x:top style="thin">
        <x:color rgb="FF0B1F35"/>
      </x:top>
      <x:bottom style="thin">
        <x:color rgb="FF0B1F35"/>
      </x:bottom>
    </x:border>
    <x:border>
      <x:right style="thin">
        <x:color rgb="FF0B1F35"/>
      </x:right>
      <x:top style="thin">
        <x:color rgb="FF0B1F35"/>
      </x:top>
      <x:bottom style="thin">
        <x:color rgb="FF0B1F35"/>
      </x:bottom>
    </x:border>
    <x:border>
      <x:left style="thin">
        <x:color rgb="FFD9B973"/>
      </x:left>
      <x:right style="thin">
        <x:color rgb="FFD9B973"/>
      </x:right>
      <x:top style="thin">
        <x:color rgb="FFD9B973"/>
      </x:top>
    </x:border>
    <x:border>
      <x:left style="thin">
        <x:color rgb="FFD9B973"/>
      </x:left>
      <x:right style="thin">
        <x:color rgb="FFD9B973"/>
      </x:right>
    </x:border>
    <x:border>
      <x:left style="thin">
        <x:color rgb="FFD9B973"/>
      </x:left>
      <x:right style="thin">
        <x:color rgb="FFD9B973"/>
      </x:right>
      <x:bottom style="thin">
        <x:color rgb="FFD9B973"/>
      </x:bottom>
    </x:border>
    <x:border>
      <x:left style="thin">
        <x:color rgb="FFD9B973"/>
      </x:left>
      <x:right style="thin">
        <x:color rgb="FFD9B973"/>
      </x:right>
      <x:top style="thin">
        <x:color rgb="FFD9B973"/>
      </x:top>
      <x:bottom style="thin">
        <x:color rgb="FFD9B973"/>
      </x:bottom>
    </x:border>
    <x:border>
      <x:left style="thin">
        <x:color rgb="FFD9B973"/>
      </x:left>
      <x:top style="thin">
        <x:color rgb="FFD9B973"/>
      </x:top>
      <x:bottom style="thin">
        <x:color rgb="FFD9B973"/>
      </x:bottom>
    </x:border>
    <x:border>
      <x:right style="thin">
        <x:color rgb="FFD9B973"/>
      </x:right>
      <x:top style="thin">
        <x:color rgb="FFD9B973"/>
      </x:top>
      <x:bottom style="thin">
        <x:color rgb="FFD9B973"/>
      </x:bottom>
    </x:border>
    <x:border>
      <x:left style="thin">
        <x:color rgb="FFD9B973"/>
      </x:left>
      <x:top style="thin">
        <x:color rgb="FFD9B973"/>
      </x:top>
    </x:border>
    <x:border>
      <x:top style="thin">
        <x:color rgb="FFD9B973"/>
      </x:top>
    </x:border>
    <x:border>
      <x:right style="thin">
        <x:color rgb="FFD9B973"/>
      </x:right>
      <x:top style="thin">
        <x:color rgb="FFD9B973"/>
      </x:top>
    </x:border>
    <x:border>
      <x:left style="thin">
        <x:color rgb="FFD9B973"/>
      </x:left>
    </x:border>
    <x:border>
      <x:right style="thin">
        <x:color rgb="FFD9B973"/>
      </x:right>
    </x:border>
    <x:border>
      <x:left style="thin">
        <x:color rgb="FFD9B973"/>
      </x:left>
      <x:bottom style="thin">
        <x:color rgb="FFD9B973"/>
      </x:bottom>
    </x:border>
    <x:border>
      <x:bottom style="thin">
        <x:color rgb="FFD9B973"/>
      </x:bottom>
    </x:border>
    <x:border>
      <x:right style="thin">
        <x:color rgb="FFD9B973"/>
      </x:right>
      <x:bottom style="thin">
        <x:color rgb="FFD9B973"/>
      </x:bottom>
    </x:border>
    <x:border>
      <x:top style="medium">
        <x:color rgb="FF0B1F35"/>
      </x:top>
      <x:bottom style="medium">
        <x:color rgb="FF0B1F35"/>
      </x:bottom>
    </x:border>
    <x:border>
      <x:top style="thin">
        <x:color rgb="FFD9B973"/>
      </x:top>
      <x:bottom style="thin">
        <x:color rgb="FFD9B973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3" xfId="0" applyNumberFormat="1" applyFont="1" applyFill="1" applyBorder="1"/>
    <x:xf numFmtId="0" fontId="10" fillId="7" borderId="4" xfId="0" applyNumberFormat="1" applyFont="1" applyFill="1" applyBorder="1"/>
    <x:xf numFmtId="0" fontId="9" fillId="7" borderId="0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/>
    <x:xf numFmtId="0" fontId="12" fillId="4" borderId="7" xfId="0" applyNumberFormat="1" applyFont="1" applyFill="1" applyBorder="1"/>
    <x:xf numFmtId="0" fontId="12" fillId="4" borderId="8" xfId="0" applyNumberFormat="1" applyFont="1" applyFill="1" applyBorder="1"/>
    <x:xf numFmtId="0" fontId="12" fillId="4" borderId="9" xfId="0" applyNumberFormat="1" applyFont="1" applyFill="1" applyBorder="1"/>
    <x:xf numFmtId="0" fontId="12" fillId="4" borderId="7" xfId="0" applyNumberFormat="1" applyFont="1" applyFill="1" applyBorder="1" applyAlignment="1">
      <x:alignment wrapText="1"/>
    </x:xf>
    <x:xf numFmtId="0" fontId="12" fillId="4" borderId="8" xfId="0" applyNumberFormat="1" applyFont="1" applyFill="1" applyBorder="1" applyAlignment="1">
      <x:alignment wrapText="1"/>
    </x:xf>
    <x:xf numFmtId="0" fontId="12" fillId="4" borderId="9" xfId="0" applyNumberFormat="1" applyFont="1" applyFill="1" applyBorder="1" applyAlignment="1">
      <x:alignment wrapText="1"/>
    </x:xf>
    <x:xf numFmtId="0" fontId="12" fillId="4" borderId="7" xfId="0" applyNumberFormat="1" applyFont="1" applyFill="1" applyBorder="1" applyAlignment="1">
      <x:alignment vertical="center" wrapText="1"/>
    </x:xf>
    <x:xf numFmtId="0" fontId="12" fillId="4" borderId="8" xfId="0" applyNumberFormat="1" applyFont="1" applyFill="1" applyBorder="1" applyAlignment="1">
      <x:alignment vertical="center" wrapText="1"/>
    </x:xf>
    <x:xf numFmtId="0" fontId="12" fillId="4" borderId="9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wrapText="1"/>
    </x:xf>
    <x:xf numFmtId="0" fontId="12" fillId="4" borderId="2" xfId="0" applyNumberFormat="1" applyFont="1" applyFill="1" applyBorder="1" applyAlignment="1">
      <x:alignment vertical="center" wrapText="1"/>
    </x:xf>
    <x:xf numFmtId="0" fontId="13" fillId="0" borderId="2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2" fillId="4" borderId="10" xfId="0" applyNumberFormat="1" applyFont="1" applyFill="1" applyBorder="1"/>
    <x:xf numFmtId="0" fontId="12" fillId="4" borderId="10" xfId="0" applyNumberFormat="1" applyFont="1" applyFill="1" applyBorder="1" applyAlignment="1">
      <x:alignment wrapText="1"/>
    </x:xf>
    <x:xf numFmtId="0" fontId="12" fillId="4" borderId="1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12" fillId="4" borderId="11" xfId="0" applyNumberFormat="1" applyFont="1" applyFill="1" applyBorder="1"/>
    <x:xf numFmtId="0" fontId="12" fillId="4" borderId="12" xfId="0" applyNumberFormat="1" applyFont="1" applyFill="1" applyBorder="1"/>
    <x:xf numFmtId="0" fontId="12" fillId="4" borderId="11" xfId="0" applyNumberFormat="1" applyFont="1" applyFill="1" applyBorder="1" applyAlignment="1">
      <x:alignment wrapText="1"/>
    </x:xf>
    <x:xf numFmtId="0" fontId="12" fillId="4" borderId="12" xfId="0" applyNumberFormat="1" applyFont="1" applyFill="1" applyBorder="1" applyAlignment="1">
      <x:alignment wrapText="1"/>
    </x:xf>
    <x:xf numFmtId="0" fontId="12" fillId="4" borderId="11" xfId="0" applyNumberFormat="1" applyFont="1" applyFill="1" applyBorder="1" applyAlignment="1">
      <x:alignment vertical="center" wrapText="1"/>
    </x:xf>
    <x:xf numFmtId="0" fontId="12" fillId="4" borderId="12" xfId="0" applyNumberFormat="1" applyFont="1" applyFill="1" applyBorder="1" applyAlignment="1">
      <x:alignment vertical="center" wrapText="1"/>
    </x:xf>
    <x:xf numFmtId="0" fontId="12" fillId="4" borderId="13" xfId="0" applyNumberFormat="1" applyFont="1" applyFill="1" applyBorder="1"/>
    <x:xf numFmtId="0" fontId="12" fillId="4" borderId="14" xfId="0" applyNumberFormat="1" applyFont="1" applyFill="1" applyBorder="1"/>
    <x:xf numFmtId="0" fontId="12" fillId="4" borderId="15" xfId="0" applyNumberFormat="1" applyFont="1" applyFill="1" applyBorder="1"/>
    <x:xf numFmtId="0" fontId="12" fillId="4" borderId="16" xfId="0" applyNumberFormat="1" applyFont="1" applyFill="1" applyBorder="1"/>
    <x:xf numFmtId="0" fontId="12" fillId="4" borderId="17" xfId="0" applyNumberFormat="1" applyFont="1" applyFill="1" applyBorder="1"/>
    <x:xf numFmtId="0" fontId="12" fillId="4" borderId="18" xfId="0" applyNumberFormat="1" applyFont="1" applyFill="1" applyBorder="1"/>
    <x:xf numFmtId="0" fontId="12" fillId="4" borderId="19" xfId="0" applyNumberFormat="1" applyFont="1" applyFill="1" applyBorder="1"/>
    <x:xf numFmtId="0" fontId="12" fillId="4" borderId="20" xfId="0" applyNumberFormat="1" applyFont="1" applyFill="1" applyBorder="1"/>
    <x:xf numFmtId="0" fontId="12" fillId="4" borderId="13" xfId="0" applyNumberFormat="1" applyFont="1" applyFill="1" applyBorder="1" applyAlignment="1">
      <x:alignment wrapText="1"/>
    </x:xf>
    <x:xf numFmtId="0" fontId="12" fillId="4" borderId="14" xfId="0" applyNumberFormat="1" applyFont="1" applyFill="1" applyBorder="1" applyAlignment="1">
      <x:alignment wrapText="1"/>
    </x:xf>
    <x:xf numFmtId="0" fontId="12" fillId="4" borderId="15" xfId="0" applyNumberFormat="1" applyFont="1" applyFill="1" applyBorder="1" applyAlignment="1">
      <x:alignment wrapText="1"/>
    </x:xf>
    <x:xf numFmtId="0" fontId="12" fillId="4" borderId="16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0" fontId="12" fillId="4" borderId="17" xfId="0" applyNumberFormat="1" applyFont="1" applyFill="1" applyBorder="1" applyAlignment="1">
      <x:alignment wrapText="1"/>
    </x:xf>
    <x:xf numFmtId="0" fontId="12" fillId="4" borderId="18" xfId="0" applyNumberFormat="1" applyFont="1" applyFill="1" applyBorder="1" applyAlignment="1">
      <x:alignment wrapText="1"/>
    </x:xf>
    <x:xf numFmtId="0" fontId="12" fillId="4" borderId="19" xfId="0" applyNumberFormat="1" applyFont="1" applyFill="1" applyBorder="1" applyAlignment="1">
      <x:alignment wrapText="1"/>
    </x:xf>
    <x:xf numFmtId="0" fontId="12" fillId="4" borderId="20" xfId="0" applyNumberFormat="1" applyFont="1" applyFill="1" applyBorder="1" applyAlignment="1">
      <x:alignment wrapText="1"/>
    </x:xf>
    <x:xf numFmtId="0" fontId="12" fillId="4" borderId="13" xfId="0" applyNumberFormat="1" applyFont="1" applyFill="1" applyBorder="1" applyAlignment="1">
      <x:alignment vertical="center" wrapText="1"/>
    </x:xf>
    <x:xf numFmtId="0" fontId="12" fillId="4" borderId="14" xfId="0" applyNumberFormat="1" applyFont="1" applyFill="1" applyBorder="1" applyAlignment="1">
      <x:alignment vertical="center" wrapText="1"/>
    </x:xf>
    <x:xf numFmtId="0" fontId="12" fillId="4" borderId="15" xfId="0" applyNumberFormat="1" applyFont="1" applyFill="1" applyBorder="1" applyAlignment="1">
      <x:alignment vertical="center" wrapText="1"/>
    </x:xf>
    <x:xf numFmtId="0" fontId="12" fillId="4" borderId="16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17" xfId="0" applyNumberFormat="1" applyFont="1" applyFill="1" applyBorder="1" applyAlignment="1">
      <x:alignment vertical="center" wrapText="1"/>
    </x:xf>
    <x:xf numFmtId="0" fontId="12" fillId="4" borderId="18" xfId="0" applyNumberFormat="1" applyFont="1" applyFill="1" applyBorder="1" applyAlignment="1">
      <x:alignment vertical="center" wrapText="1"/>
    </x:xf>
    <x:xf numFmtId="0" fontId="12" fillId="4" borderId="19" xfId="0" applyNumberFormat="1" applyFont="1" applyFill="1" applyBorder="1" applyAlignment="1">
      <x:alignment vertical="center" wrapText="1"/>
    </x:xf>
    <x:xf numFmtId="0" fontId="12" fillId="4" borderId="20" xfId="0" applyNumberFormat="1" applyFont="1" applyFill="1" applyBorder="1" applyAlignment="1">
      <x:alignment vertical="center" wrapText="1"/>
    </x:xf>
    <x:xf numFmtId="200" fontId="12" fillId="4" borderId="14" xfId="0" applyNumberFormat="1" applyFont="1" applyFill="1" applyBorder="1" applyAlignment="1">
      <x:alignment vertical="center" wrapText="1"/>
    </x:xf>
    <x:xf numFmtId="200" fontId="12" fillId="4" borderId="0" xfId="0" applyNumberFormat="1" applyFont="1" applyFill="1" applyBorder="1" applyAlignment="1">
      <x:alignment vertical="center" wrapText="1"/>
    </x:xf>
    <x:xf numFmtId="200" fontId="12" fillId="4" borderId="19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9" borderId="0" xfId="0" applyNumberFormat="1" applyFont="1" applyFill="1" applyBorder="1"/>
    <x:xf numFmtId="0" fontId="14" fillId="9" borderId="0" xfId="0" applyNumberFormat="1" applyFont="1" applyFill="1" applyBorder="1"/>
    <x:xf numFmtId="0" fontId="9" fillId="7" borderId="3" xfId="0" applyNumberFormat="1" applyFont="1" applyFill="1" applyBorder="1"/>
    <x:xf numFmtId="0" fontId="9" fillId="7" borderId="21" xfId="0" applyNumberFormat="1" applyFont="1" applyFill="1" applyBorder="1"/>
    <x:xf numFmtId="0" fontId="9" fillId="7" borderId="4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5" fillId="5" borderId="2" xfId="0" applyNumberFormat="1" applyFont="1" applyFill="1" applyBorder="1"/>
    <x:xf numFmtId="0" fontId="9" fillId="8" borderId="2" xfId="0" applyNumberFormat="1" applyFont="1" applyFill="1" applyBorder="1"/>
    <x:xf numFmtId="0" fontId="9" fillId="8" borderId="2" xfId="0" applyNumberFormat="1" applyFont="1" applyFill="1" applyBorder="1" applyAlignment="1">
      <x:alignment wrapText="1"/>
    </x:xf>
    <x:xf numFmtId="0" fontId="12" fillId="4" borderId="22" xfId="0" applyNumberFormat="1" applyFont="1" applyFill="1" applyBorder="1"/>
    <x:xf numFmtId="0" fontId="12" fillId="4" borderId="22" xfId="0" applyNumberFormat="1" applyFont="1" applyFill="1" applyBorder="1" applyAlignment="1">
      <x:alignment wrapText="1"/>
    </x:xf>
    <x:xf numFmtId="0" fontId="12" fillId="4" borderId="22" xfId="0" applyNumberFormat="1" applyFont="1" applyFill="1" applyBorder="1" applyAlignment="1">
      <x:alignment vertical="center" wrapText="1"/>
    </x:xf>
    <x:xf numFmtId="200" fontId="12" fillId="4" borderId="18" xfId="0" applyNumberFormat="1" applyFont="1" applyFill="1" applyBorder="1" applyAlignment="1">
      <x:alignment vertical="center" wrapText="1"/>
    </x:xf>
    <x:xf numFmtId="200" fontId="12" fillId="4" borderId="2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12" fillId="6" borderId="13" xfId="0" applyNumberFormat="1" applyFont="1" applyFill="1" applyBorder="1" applyAlignment="1">
      <x:alignment vertical="center" wrapText="1"/>
    </x:xf>
    <x:xf numFmtId="0" fontId="12" fillId="6" borderId="16" xfId="0" applyNumberFormat="1" applyFont="1" applyFill="1" applyBorder="1" applyAlignment="1">
      <x:alignment vertical="center" wrapText="1"/>
    </x:xf>
    <x:xf numFmtId="0" fontId="12" fillId="6" borderId="18" xfId="0" applyNumberFormat="1" applyFont="1" applyFill="1" applyBorder="1" applyAlignment="1">
      <x:alignment vertical="center" wrapText="1"/>
    </x:xf>
    <x:xf numFmtId="0" fontId="15" fillId="6" borderId="13" xfId="0" applyNumberFormat="1" applyFont="1" applyFill="1" applyBorder="1" applyAlignment="1">
      <x:alignment vertical="center" wrapText="1"/>
    </x:xf>
    <x:xf numFmtId="0" fontId="15" fillId="6" borderId="16" xfId="0" applyNumberFormat="1" applyFont="1" applyFill="1" applyBorder="1" applyAlignment="1">
      <x:alignment vertical="center" wrapText="1"/>
    </x:xf>
    <x:xf numFmtId="0" fontId="15" fillId="6" borderId="18" xfId="0" applyNumberFormat="1" applyFont="1" applyFill="1" applyBorder="1" applyAlignment="1">
      <x:alignment vertical="center" wrapText="1"/>
    </x:xf>
    <x:xf numFmtId="200" fontId="12" fillId="4" borderId="13" xfId="0" applyNumberFormat="1" applyFont="1" applyFill="1" applyBorder="1" applyAlignment="1">
      <x:alignment vertical="center" wrapText="1"/>
    </x:xf>
    <x:xf numFmtId="200" fontId="1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6"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  <x:dxf>
      <x:font>
        <x:b/>
        <x:color rgb="FF17623E"/>
      </x:font>
      <x:fill>
        <x:patternFill patternType="solid">
          <x:bgColor rgb="FFDDF4E8"/>
        </x:patternFill>
      </x:fill>
    </x:dxf>
    <x:dxf>
      <x:font>
        <x:b/>
        <x:color rgb="FF8A3027"/>
      </x:font>
      <x:fill>
        <x:patternFill patternType="solid">
          <x:bgColor rgb="FFFBE3DF"/>
        </x:patternFill>
      </x:fill>
    </x:dxf>
    <x:dxf>
      <x:font>
        <x:b/>
        <x:color rgb="FF7A56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worksheet" Target="/xl/worksheets/sheet8.xml" Id="rId11" /><Relationship Type="http://schemas.openxmlformats.org/officeDocument/2006/relationships/worksheet" Target="/xl/worksheets/sheet9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4" hidden="0" customWidth="1"/>
  </x:cols>
  <x:sheetData>
    <x:row r="1" ht="34" customHeight="1">
      <x:c r="A1" s="3" t="str">
        <x:v>BUS331 Investment Committee Decision Record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Analyst Decision Log + one auditable record for every approval gate | Student template</x:v>
      </x:c>
      <x:c r="B2" s="6"/>
      <x:c r="C2" s="6"/>
      <x:c r="D2" s="6"/>
      <x:c r="E2" s="6"/>
      <x:c r="F2" s="6"/>
      <x:c r="G2" s="6"/>
      <x:c r="H2" s="6"/>
    </x:row>
    <x:row r="4" ht="42" customHeight="1">
      <x:c r="A4" s="9" t="str">
        <x:v>Use this workbook to show how analysis became a committee decision. Complete the roster, enter human-first Phase 1 judgments in the Analyst Decision Log, then use one decision sheet at each gate. Phase 2 requires a separate vote for each assigned client.</x:v>
      </x:c>
      <x:c r="B4" s="9"/>
      <x:c r="C4" s="9"/>
      <x:c r="D4" s="9"/>
      <x:c r="E4" s="9"/>
      <x:c r="F4" s="9"/>
      <x:c r="G4" s="9"/>
    </x:row>
    <x:row r="6" ht="23" customHeight="1">
      <x:c r="A6" s="11" t="str">
        <x:v>WORKFLOW</x:v>
      </x:c>
      <x:c r="B6" s="11"/>
      <x:c r="C6" s="11"/>
      <x:c r="D6" s="11"/>
      <x:c r="E6" s="11"/>
      <x:c r="F6" s="11"/>
      <x:c r="G6" s="11"/>
      <x:c r="H6" s="11"/>
    </x:row>
    <x:row r="7">
      <x:c r="A7" s="14" t="str">
        <x:v>Initial judgment</x:v>
      </x:c>
      <x:c r="B7" s="16" t="str">
        <x:v>Before AI use, each role records one provisional judgment for each assigned client and names the fact or assumption driving it.</x:v>
      </x:c>
      <x:c r="C7" s="16" t="str"/>
      <x:c r="D7" s="16" t="str"/>
      <x:c r="E7" s="16" t="str"/>
      <x:c r="F7" s="16" t="str"/>
      <x:c r="G7" s="16" t="str"/>
    </x:row>
    <x:row r="8">
      <x:c r="A8" s="14" t="str">
        <x:v>Alternative + trade-off</x:v>
      </x:c>
      <x:c r="B8" s="16" t="str">
        <x:v>Record the strongest realistic alternative rejected and the key trade-off behind the recommendation. Portfolio Manager entries record integration choices; Risk and Derivatives entries record residual risk and hedge/no-hedge evidence.</x:v>
      </x:c>
      <x:c r="C8" s="16" t="str"/>
      <x:c r="D8" s="16" t="str"/>
      <x:c r="E8" s="16" t="str"/>
      <x:c r="F8" s="16" t="str"/>
      <x:c r="G8" s="16" t="str"/>
    </x:row>
    <x:row r="9">
      <x:c r="A9" s="14" t="str">
        <x:v>Human verification</x:v>
      </x:c>
      <x:c r="B9" s="16" t="str">
        <x:v>Check client facts, calculations, and outside claims with an approved source and as-of date.</x:v>
      </x:c>
      <x:c r="C9" s="16" t="str"/>
      <x:c r="D9" s="16" t="str"/>
      <x:c r="E9" s="16" t="str"/>
      <x:c r="F9" s="16" t="str"/>
      <x:c r="G9" s="16" t="str"/>
    </x:row>
    <x:row r="10">
      <x:c r="A10" s="14" t="str">
        <x:v>Final reasoning</x:v>
      </x:c>
      <x:c r="B10" s="16" t="str">
        <x:v>State what changed, the final judgment, and the guardrail later security and portfolio decisions must honor.</x:v>
      </x:c>
      <x:c r="C10" s="16" t="str"/>
      <x:c r="D10" s="16" t="str"/>
      <x:c r="E10" s="16" t="str"/>
      <x:c r="F10" s="16" t="str"/>
      <x:c r="G10" s="16" t="str"/>
    </x:row>
    <x:row r="11">
      <x:c r="A11" s="14" t="str">
        <x:v>Committee gate</x:v>
      </x:c>
      <x:c r="B11" s="16" t="str">
        <x:v>Circulate the evidence, challenge the recommendation, vote, and record dissent, conditions, owners, and actions.</x:v>
      </x:c>
      <x:c r="C11" s="16" t="str"/>
      <x:c r="D11" s="16" t="str"/>
      <x:c r="E11" s="16" t="str"/>
      <x:c r="F11" s="16" t="str"/>
      <x:c r="G11" s="16" t="str"/>
    </x:row>
    <x:row r="13" ht="23" customHeight="1">
      <x:c r="A13" s="11" t="str">
        <x:v>GATE STATUS</x:v>
      </x:c>
      <x:c r="B13" s="11"/>
      <x:c r="C13" s="11"/>
      <x:c r="D13" s="11"/>
      <x:c r="E13" s="11"/>
      <x:c r="F13" s="11"/>
      <x:c r="G13" s="11"/>
      <x:c r="H13" s="11"/>
    </x:row>
    <x:row r="14">
      <x:c r="A14" s="21" t="str">
        <x:v>Approval gate</x:v>
      </x:c>
      <x:c r="B14" s="21" t="str">
        <x:v>Decision sheet</x:v>
      </x:c>
      <x:c r="C14" s="21" t="str">
        <x:v>Status</x:v>
      </x:c>
    </x:row>
    <x:row r="15">
      <x:c r="A15" s="23" t="str">
        <x:v>Phase 1 · Frame the Mandate</x:v>
      </x:c>
      <x:c r="B15" s="23" t="str">
        <x:v>PHASE 1</x:v>
      </x:c>
      <x:c r="C15" s="24" t="str">
        <x:f>'PHASE 1'!B30</x:f>
        <x:v>INCOMPLETE</x:v>
      </x:c>
    </x:row>
    <x:row r="16">
      <x:c r="A16" s="23" t="str">
        <x:v>Phase 2 · Client 1</x:v>
      </x:c>
      <x:c r="B16" s="23" t="str">
        <x:v>PHASE 2 CLIENT 1</x:v>
      </x:c>
      <x:c r="C16" s="24" t="str">
        <x:f>'PHASE 2 CLIENT 1'!B30</x:f>
        <x:v>INCOMPLETE</x:v>
      </x:c>
    </x:row>
    <x:row r="17">
      <x:c r="A17" s="23" t="str">
        <x:v>Phase 2 · Client 2</x:v>
      </x:c>
      <x:c r="B17" s="23" t="str">
        <x:v>PHASE 2 CLIENT 2</x:v>
      </x:c>
      <x:c r="C17" s="24" t="str">
        <x:f>'PHASE 2 CLIENT 2'!B30</x:f>
        <x:v>INCOMPLETE</x:v>
      </x:c>
    </x:row>
    <x:row r="18">
      <x:c r="A18" s="23" t="str">
        <x:v>Phase 2 · Client 3</x:v>
      </x:c>
      <x:c r="B18" s="23" t="str">
        <x:v>PHASE 2 CLIENT 3</x:v>
      </x:c>
      <x:c r="C18" s="24" t="str">
        <x:f>'PHASE 2 CLIENT 3'!B30</x:f>
        <x:v>INCOMPLETE</x:v>
      </x:c>
    </x:row>
    <x:row r="19">
      <x:c r="A19" s="23" t="str">
        <x:v>Phase 3 · Defend the Recommendation</x:v>
      </x:c>
      <x:c r="B19" s="23" t="str">
        <x:v>PHASE 3</x:v>
      </x:c>
      <x:c r="C19" s="24" t="str">
        <x:f>'PHASE 3'!B30</x:f>
        <x:v>INCOMPLETE</x:v>
      </x:c>
    </x:row>
    <x:row r="21">
      <x:c r="A21" s="25" t="str">
        <x:v>Overall readiness</x:v>
      </x:c>
      <x:c r="B21" s="28" t="str">
        <x:f>IF(B23&lt;&gt;"READY FOR PHASE 1 GATE","PHASE 1 LOG INCOMPLETE",IF(COUNTIF(C15:C19,"INCOMPLETE")&gt;0,"INCOMPLETE",IF(COUNTIF(C15:C19,"REVISION REQUIRED")&gt;0,"REVISION REQUIRED","READY FOR FINAL DEFENSE")))</x:f>
        <x:v>PHASE 1 LOG INCOMPLETE</x:v>
      </x:c>
      <x:c r="C21" s="29"/>
    </x:row>
    <x:row r="23">
      <x:c r="A23" s="25" t="str">
        <x:v>Phase 1 log readiness</x:v>
      </x:c>
      <x:c r="B23" s="33" t="str">
        <x:f>'ANALYST DECISION LOG'!K40</x:f>
        <x:v>ENTER 3 CLIENTS</x:v>
      </x:c>
      <x:c r="C23" s="34"/>
    </x:row>
    <x:row r="25" ht="28" customHeight="1">
      <x:c r="A25" s="37" t="str">
        <x:v>Use the current phase page for work steps and approval readiness. Use the Canvas Submission Workflow for exact files and filenames; Canvas controls due dates, points, and the actual upload.</x:v>
      </x:c>
      <x:c r="B25" s="37"/>
      <x:c r="C25" s="37"/>
      <x:c r="D25" s="37"/>
      <x:c r="E25" s="37"/>
      <x:c r="F25" s="37"/>
      <x:c r="G25" s="37"/>
    </x:row>
  </x:sheetData>
  <x:mergeCells>
    <x:mergeCell ref="A1:H1"/>
    <x:mergeCell ref="A2:H2"/>
    <x:mergeCell ref="A4:G4"/>
    <x:mergeCell ref="A6:H6"/>
    <x:mergeCell ref="B7:G7"/>
    <x:mergeCell ref="B8:G8"/>
    <x:mergeCell ref="B9:G9"/>
    <x:mergeCell ref="B10:G10"/>
    <x:mergeCell ref="B11:G11"/>
    <x:mergeCell ref="A13:H13"/>
    <x:mergeCell ref="B21:C21"/>
    <x:mergeCell ref="B23:C23"/>
    <x:mergeCell ref="A25:G25"/>
  </x:mergeCells>
  <x:conditionalFormatting sqref="C15:C19">
    <x:cfRule type="containsText" dxfId="0" priority="1" operator="containsText" text="APPROVED"/>
    <x:cfRule type="containsText" dxfId="1" priority="2" operator="containsText" text="REVISION"/>
    <x:cfRule type="containsText" dxfId="2" priority="3" operator="containsText" text="INCOMPLETE"/>
  </x:conditionalFormatting>
  <x:conditionalFormatting sqref="B21:C21">
    <x:cfRule type="containsText" dxfId="3" priority="4" operator="containsText" text="APPROVED"/>
    <x:cfRule type="containsText" dxfId="4" priority="5" operator="containsText" text="REVISION"/>
    <x:cfRule type="containsText" dxfId="5" priority="6" operator="containsText" text="INCOMPLETE"/>
  </x:conditionalFormatting>
  <x:conditionalFormatting sqref="B23:C23">
    <x:cfRule type="containsText" dxfId="6" priority="7" operator="containsText" text="EVIDENCE READY"/>
    <x:cfRule type="containsText" dxfId="7" priority="8" operator="containsText" text="REVISE"/>
    <x:cfRule type="containsText" dxfId="8" priority="9" operator="containsText" text="INCOMPLETE"/>
    <x:cfRule type="containsText" dxfId="9" priority="10" operator="containsText" text="MINIMUM"/>
    <x:cfRule type="containsText" dxfId="10" priority="11" operator="containsText" text="REVIEW"/>
    <x:cfRule type="containsText" dxfId="11" priority="12" operator="containsText" text="MISSING"/>
    <x:cfRule type="containsText" dxfId="12" priority="13" operator="containsText" text="ENTER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4" hidden="0" customWidth="1"/>
    <x:col min="8" max="8" width="4" hidden="0" customWidth="1"/>
  </x:cols>
  <x:sheetData>
    <x:row r="1" ht="34" customHeight="1">
      <x:c r="A1" s="3" t="str">
        <x:v>Committee Roster &amp; Role Charter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Assign all five roles to four or five members. A dual-role member casts one vote.</x:v>
      </x:c>
      <x:c r="B2" s="6"/>
      <x:c r="C2" s="6"/>
      <x:c r="D2" s="6"/>
      <x:c r="E2" s="6"/>
      <x:c r="F2" s="6"/>
      <x:c r="G2" s="6"/>
      <x:c r="H2" s="6"/>
    </x:row>
    <x:row r="4">
      <x:c r="A4" s="51" t="str">
        <x:v>Committee seat</x:v>
      </x:c>
      <x:c r="B4" s="51" t="str">
        <x:v>Member name</x:v>
      </x:c>
      <x:c r="C4" s="51" t="str">
        <x:v>Standing mandate</x:v>
      </x:c>
      <x:c r="D4" s="51" t="str">
        <x:v>Phase 1 responsibility</x:v>
      </x:c>
      <x:c r="E4" s="51" t="str">
        <x:v>Phase 2 responsibility</x:v>
      </x:c>
      <x:c r="F4" s="51" t="str">
        <x:v>Phase 3 responsibility</x:v>
      </x:c>
    </x:row>
    <x:row r="5" ht="72" customHeight="1">
      <x:c r="A5" s="52" t="str">
        <x:v>Client and Macro Strategist</x:v>
      </x:c>
      <x:c r="B5" s="53" t="str"/>
      <x:c r="C5" s="54" t="str">
        <x:v>Own client scenario analysis, the 12-month market view, IPS objectives and constraints, and the handoff from client needs to investment criteria.</x:v>
      </x:c>
      <x:c r="D5" s="54" t="str">
        <x:v>Lead analysis of the assigned client scenarios, document goals and RRTTLLU constraints, establish the macro context, and label reasoned assumptions and information gaps.</x:v>
      </x:c>
      <x:c r="E5" s="54" t="str">
        <x:v>Test whether proposed allocations and securities fit the approved client mandate and the committee's market view.</x:v>
      </x:c>
      <x:c r="F5" s="54" t="str">
        <x:v>Defend client suitability, the macro assumptions, and the line from discovered need to recommendation.</x:v>
      </x:c>
    </x:row>
    <x:row r="6" ht="72" customHeight="1">
      <x:c r="A6" s="52" t="str">
        <x:v>Fixed-Income Analyst</x:v>
      </x:c>
      <x:c r="B6" s="53" t="str"/>
      <x:c r="C6" s="54" t="str">
        <x:v>Own the income, capital-preservation, maturity, duration, credit-quality, liquidity, and tax questions that shape the fixed-income sleeve.</x:v>
      </x:c>
      <x:c r="D6" s="54" t="str">
        <x:v>Translate cash-flow needs, time horizon, liquidity, taxes, and loss capacity into fixed-income questions and provisional guardrails.</x:v>
      </x:c>
      <x:c r="E6" s="54" t="str">
        <x:v>Analyze yields, duration, credit, liquidity, and structure; recommend fixed-income exposures that meet the approved guardrails.</x:v>
      </x:c>
      <x:c r="F6" s="54" t="str">
        <x:v>Defend the portfolio's income, capital-preservation, interest-rate, and credit-risk trade-offs.</x:v>
      </x:c>
    </x:row>
    <x:row r="7" ht="72" customHeight="1">
      <x:c r="A7" s="52" t="str">
        <x:v>Equity Analyst</x:v>
      </x:c>
      <x:c r="B7" s="53" t="str"/>
      <x:c r="C7" s="54" t="str">
        <x:v>Own equity-fund and ETF due diligence and the limited use of individual equities, including exposure, style, sector, holdings, costs, liquidity, overlap, idiosyncratic risk, and position-size evidence.</x:v>
      </x:c>
      <x:c r="D7" s="54" t="str">
        <x:v>Translate the client's growth needs, time horizon, values, tax position, liquidity, and concentration limits into equity-selection guardrails.</x:v>
      </x:c>
      <x:c r="E7" s="54" t="str">
        <x:v>Recommend equity funds and ETFs as the primary equity vehicles and analyze any limited individual equities, including rationale, idiosyncratic risk, and position size.</x:v>
      </x:c>
      <x:c r="F7" s="54" t="str">
        <x:v>Defend equity exposures, vehicle choices, limited individual-security decisions, rejected alternatives, and their client fit.</x:v>
      </x:c>
    </x:row>
    <x:row r="8" ht="72" customHeight="1">
      <x:c r="A8" s="52" t="str">
        <x:v>Portfolio Manager</x:v>
      </x:c>
      <x:c r="B8" s="53" t="str"/>
      <x:c r="C8" s="54" t="str">
        <x:v>Own portfolio integration: resolve overlap and concentration, set final selection and weights, record explicit trade-offs, maintain decision-log quality, and move the integrated recommendation to a vote.</x:v>
      </x:c>
      <x:c r="D8" s="54" t="str">
        <x:v>Reconcile risk capacity and willingness, set provisional portfolio guardrails, coordinate the committee challenge, and audit the Analyst Decision Log.</x:v>
      </x:c>
      <x:c r="E8" s="54" t="str">
        <x:v>Integrate analyst recommendations, resolve duplication and concentration, choose the final 8–10 holdings and weights, and record the trade-offs behind every integration decision.</x:v>
      </x:c>
      <x:c r="F8" s="54" t="str">
        <x:v>State and defend the integrated recommendation, portfolio construction decisions, final weights, rejected integrations, and implementation priorities.</x:v>
      </x:c>
    </x:row>
    <x:row r="9" ht="72" customHeight="1">
      <x:c r="A9" s="52" t="str">
        <x:v>Risk and Derivatives Analyst</x:v>
      </x:c>
      <x:c r="B9" s="53" t="str"/>
      <x:c r="C9" s="54" t="str">
        <x:v>Own portfolio-level risk diagnosis, stress testing, residual-risk evidence, mandate-breach escalation, and the hedge or no-hedge conclusion; do not manufacture a derivative position when no targeted hedge is justified.</x:v>
      </x:c>
      <x:c r="D9" s="54" t="str">
        <x:v>Define the downside questions, drawdown tripwire, stress priorities, and residual-risk evidence the final portfolio must address.</x:v>
      </x:c>
      <x:c r="E9" s="54" t="str">
        <x:v>Run portfolio-level stress tests, identify residual risk, and document either one targeted hedge or a fully supported no-hedge conclusion, including cost, liquidity, trade-offs, residual risk, and adjustment or removal conditions.</x:v>
      </x:c>
      <x:c r="F9" s="54" t="str">
        <x:v>Defend the stress evidence, residual risk, hedge or no-hedge decision, limits of the analysis, and conditions that would change the risk response.</x:v>
      </x:c>
    </x:row>
    <x:row r="10" ht="23" customHeight="1">
      <x:c r="A10" s="11" t="str">
        <x:v>COMMITTEE NORMS</x:v>
      </x:c>
      <x:c r="B10" s="11"/>
      <x:c r="C10" s="11"/>
      <x:c r="D10" s="11"/>
      <x:c r="E10" s="11"/>
      <x:c r="F10" s="11"/>
    </x:row>
    <x:row r="11">
      <x:c r="A11" s="56" t="str">
        <x:v>Evidence before opinion</x:v>
      </x:c>
      <x:c r="B11" s="16" t="str">
        <x:v>Every recommendation cites the workbook, source, or client constraint that supports it.</x:v>
      </x:c>
      <x:c r="C11" s="16" t="str"/>
      <x:c r="D11" s="16" t="str"/>
      <x:c r="E11" s="16" t="str"/>
      <x:c r="F11" s="16" t="str"/>
    </x:row>
    <x:row r="12">
      <x:c r="A12" s="56" t="str">
        <x:v>Challenge the idea</x:v>
      </x:c>
      <x:c r="B12" s="16" t="str">
        <x:v>The independent challenge tests logic and risk; it is not a personal disagreement.</x:v>
      </x:c>
      <x:c r="C12" s="16" t="str"/>
      <x:c r="D12" s="16" t="str"/>
      <x:c r="E12" s="16" t="str"/>
      <x:c r="F12" s="16" t="str"/>
    </x:row>
    <x:row r="13">
      <x:c r="A13" s="56" t="str">
        <x:v>No silent consent</x:v>
      </x:c>
      <x:c r="B13" s="16" t="str">
        <x:v>Every member votes and records a reservation when evidence remains incomplete.</x:v>
      </x:c>
      <x:c r="C13" s="16" t="str"/>
      <x:c r="D13" s="16" t="str"/>
      <x:c r="E13" s="16" t="str"/>
      <x:c r="F13" s="16" t="str"/>
    </x:row>
    <x:row r="14">
      <x:c r="A14" s="56" t="str">
        <x:v>No mandate breach</x:v>
      </x:c>
      <x:c r="B14" s="16" t="str">
        <x:v>A client tripwire failure requires correction before approval.</x:v>
      </x:c>
      <x:c r="C14" s="16" t="str"/>
      <x:c r="D14" s="16" t="str"/>
      <x:c r="E14" s="16" t="str"/>
      <x:c r="F14" s="16" t="str"/>
    </x:row>
    <x:row r="15">
      <x:c r="A15" s="56" t="str">
        <x:v>Shared defense</x:v>
      </x:c>
      <x:c r="B15" s="16" t="str">
        <x:v>Every member can explain the full recommendation, not only the workstream they led.</x:v>
      </x:c>
      <x:c r="C15" s="16" t="str"/>
      <x:c r="D15" s="16" t="str"/>
      <x:c r="E15" s="16" t="str"/>
      <x:c r="F15" s="16" t="str"/>
    </x:row>
    <x:row r="17" ht="23" customHeight="1">
      <x:c r="A17" s="11" t="str">
        <x:v>VOTING MEMBERS — ENTER EACH PERSON ONCE</x:v>
      </x:c>
      <x:c r="B17" s="11"/>
      <x:c r="C17" s="11"/>
      <x:c r="D17" s="11"/>
      <x:c r="E17" s="11"/>
      <x:c r="F17" s="11"/>
    </x:row>
    <x:row r="18">
      <x:c r="A18" t="str">
        <x:v>Member 1</x:v>
      </x:c>
      <x:c r="B18" s="45"/>
      <x:c r="D18" t="str">
        <x:v>Team size (4 or 5)</x:v>
      </x:c>
      <x:c r="E18" s="59"/>
    </x:row>
    <x:row r="19">
      <x:c r="A19" t="str">
        <x:v>Member 2</x:v>
      </x:c>
      <x:c r="B19" s="46"/>
      <x:c r="D19" t="str">
        <x:v>Confirmed size</x:v>
      </x:c>
      <x:c r="E19" t="str">
        <x:f>IF(E18="","",VALUE(E18))</x:f>
      </x:c>
    </x:row>
    <x:row r="20">
      <x:c r="A20" t="str">
        <x:v>Member 3</x:v>
      </x:c>
      <x:c r="B20" s="46"/>
      <x:c r="D20" s="9" t="str">
        <x:v>Enter each person once at left. Assign the same person to two roles above when the team has four members. Vote names on gate sheets link to this list.</x:v>
      </x:c>
      <x:c r="E20" s="9"/>
      <x:c r="F20" s="9"/>
    </x:row>
    <x:row r="21">
      <x:c r="A21" t="str">
        <x:v>Member 4</x:v>
      </x:c>
      <x:c r="B21" s="46"/>
      <x:c r="D21" s="9"/>
      <x:c r="E21" s="9"/>
      <x:c r="F21" s="9"/>
    </x:row>
    <x:row r="22">
      <x:c r="A22" t="str">
        <x:v>Member 5 (optional)</x:v>
      </x:c>
      <x:c r="B22" s="47"/>
      <x:c r="D22" s="9"/>
      <x:c r="E22" s="9"/>
      <x:c r="F22" s="9"/>
    </x:row>
    <x:row r="23">
      <x:c r="A23" t="str">
        <x:v>Roster status</x:v>
      </x:c>
      <x:c r="B23" t="str">
        <x:f>IF(OR(E19="",AND(E19&lt;&gt;4,E19&lt;&gt;5),COUNTA(B18:B22)&lt;&gt;E19,COUNTA(B5:B9)&lt;&gt;5),"INCOMPLETE",IF(OR(AND(B18&lt;&gt;"",B18=B19),AND(B18&lt;&gt;"",B18=B20),AND(B18&lt;&gt;"",B18=B21),AND(B18&lt;&gt;"",B18=B22),AND(B19&lt;&gt;"",B19=B20),AND(B19&lt;&gt;"",B19=B21),AND(B19&lt;&gt;"",B19=B22),AND(B20&lt;&gt;"",B20=B21),AND(B20&lt;&gt;"",B20=B22),AND(B21&lt;&gt;"",B21=B22)),"DUPLICATE MEMBER",IF(B24="COVERED","READY","ROLE OWNER MISMATCH")))</x:f>
        <x:v>INCOMPLETE</x:v>
      </x:c>
    </x:row>
    <x:row r="24">
      <x:c r="A24" t="str">
        <x:v>Role coverage</x:v>
      </x:c>
      <x:c r="B24" t="str">
        <x:f>IF(OR(E19="",COUNTA(B5:B9)&lt;&gt;5),"INCOMPLETE",IF(AND(COUNTIF(B18:B22,B5)&gt;0,COUNTIF(B18:B22,B6)&gt;0,COUNTIF(B18:B22,B7)&gt;0,COUNTIF(B18:B22,B8)&gt;0,COUNTIF(B18:B22,B9)&gt;0,COUNTIF(B5:B9,B18)&gt;0,COUNTIF(B5:B9,B19)&gt;0,COUNTIF(B5:B9,B20)&gt;0,COUNTIF(B5:B9,B21)&gt;0,IF(E19=5,COUNTIF(B5:B9,B22)&gt;0,TRUE)),"COVERED","ROLE OWNER MISMATCH"))</x:f>
        <x:v>INCOMPLETE</x:v>
      </x:c>
    </x:row>
  </x:sheetData>
  <x:mergeCells>
    <x:mergeCell ref="A1:H1"/>
    <x:mergeCell ref="A2:H2"/>
    <x:mergeCell ref="A10:F10"/>
    <x:mergeCell ref="B11:F11"/>
    <x:mergeCell ref="B12:F12"/>
    <x:mergeCell ref="B13:F13"/>
    <x:mergeCell ref="B14:F14"/>
    <x:mergeCell ref="B15:F15"/>
    <x:mergeCell ref="A17:F17"/>
    <x:mergeCell ref="D20:F22"/>
  </x:mergeCells>
  <x:conditionalFormatting sqref="B23:B23">
    <x:cfRule type="containsText" dxfId="13" priority="1" operator="containsText" text="EVIDENCE READY"/>
    <x:cfRule type="containsText" dxfId="14" priority="2" operator="containsText" text="REVISE"/>
    <x:cfRule type="containsText" dxfId="15" priority="3" operator="containsText" text="INCOMPLETE"/>
    <x:cfRule type="containsText" dxfId="16" priority="4" operator="containsText" text="MINIMUM"/>
    <x:cfRule type="containsText" dxfId="17" priority="5" operator="containsText" text="REVIEW"/>
    <x:cfRule type="containsText" dxfId="18" priority="6" operator="containsText" text="MISSING"/>
    <x:cfRule type="containsText" dxfId="19" priority="7" operator="containsText" text="ENTER"/>
  </x:conditionalFormatting>
  <x:dataValidations count="1">
    <x:dataValidation type="list" sqref="E18">
      <x:formula1>"4,5"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27" hidden="0" customWidth="1"/>
    <x:col min="5" max="5" width="28" hidden="0" customWidth="1"/>
    <x:col min="6" max="6" width="34" hidden="0" customWidth="1"/>
    <x:col min="7" max="7" width="14" hidden="0" customWidth="1"/>
    <x:col min="8" max="8" width="19" hidden="0" customWidth="1"/>
    <x:col min="9" max="9" width="32" hidden="0" customWidth="1"/>
    <x:col min="10" max="10" width="32" hidden="0" customWidth="1"/>
    <x:col min="11" max="11" width="27" hidden="0" customWidth="1"/>
    <x:col min="12" max="12" width="34" hidden="0" customWidth="1"/>
    <x:col min="13" max="13" width="14" hidden="0" customWidth="1"/>
    <x:col min="14" max="14" width="19" hidden="0" customWidth="1"/>
    <x:col min="15" max="15" width="28" hidden="0" customWidth="1"/>
    <x:col min="16" max="16" width="36" hidden="0" customWidth="1"/>
    <x:col min="17" max="17" width="34" hidden="0" customWidth="1"/>
    <x:col min="18" max="18" width="16" hidden="0" customWidth="1"/>
    <x:col min="19" max="19" width="21" hidden="0" customWidth="1"/>
    <x:col min="20" max="20" width="19" hidden="0" customWidth="1"/>
  </x:cols>
  <x:sheetData>
    <x:row r="1" ht="34" customHeight="1">
      <x:c r="A1" s="3" t="str">
        <x:v>Analyst Decision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4" customHeight="1">
      <x:c r="A2" s="6" t="str">
        <x:v>Recommendation → alternative rejected → key trade-off → verification → final reasoning → downstream guardrail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4" ht="30" customHeight="1">
      <x:c r="A4" s="61" t="str">
        <x:v>Each of the five roles records at least one recommendation for each assigned client. Every material entry includes an alternative rejected and a key trade-off. Minimum Phase 1 evidence: 15 complete role-by-client entries across the team.</x:v>
      </x:c>
      <x:c r="B4" s="61"/>
      <x:c r="C4" s="61"/>
      <x:c r="D4" s="61"/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1"/>
      <x:c r="P4" s="61"/>
      <x:c r="Q4" s="61"/>
      <x:c r="R4" s="61"/>
      <x:c r="S4" s="61"/>
      <x:c r="T4" s="61"/>
    </x:row>
    <x:row r="5" ht="30" customHeight="1">
      <x:c r="A5" s="37" t="str">
        <x:v>Separate supplied case facts from labeled, reasoned assumptions. Mark unsupported exact values for confirmation. Summarize AI challenges; do not enter real personal information or proprietary FactSet data into an AI tool.</x:v>
      </x:c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</x:row>
    <x:row r="6">
      <x:c r="A6" s="25" t="str">
        <x:v>Team / committee</x:v>
      </x:c>
      <x:c r="B6" s="66" t="str"/>
      <x:c r="C6" s="67" t="str"/>
      <x:c r="D6" s="25" t="str">
        <x:v>Assigned Client 1</x:v>
      </x:c>
      <x:c r="E6" s="66" t="str"/>
      <x:c r="F6" s="67" t="str"/>
      <x:c r="G6" s="25" t="str">
        <x:v>Assigned Client 2</x:v>
      </x:c>
      <x:c r="H6" s="66" t="str"/>
      <x:c r="I6" s="67" t="str"/>
      <x:c r="J6" s="25" t="str">
        <x:v>Assigned Client 3</x:v>
      </x:c>
      <x:c r="K6" s="66" t="str"/>
      <x:c r="L6" s="67" t="str"/>
    </x:row>
    <x:row r="7" ht="48" customHeight="1">
      <x:c r="A7" s="21" t="str">
        <x:v>Decision ID</x:v>
      </x:c>
      <x:c r="B7" s="21" t="str">
        <x:v>Date</x:v>
      </x:c>
      <x:c r="C7" s="21" t="str">
        <x:v>Client</x:v>
      </x:c>
      <x:c r="D7" s="21" t="str">
        <x:v>Owner role</x:v>
      </x:c>
      <x:c r="E7" s="21" t="str">
        <x:v>Decision / question</x:v>
      </x:c>
      <x:c r="F7" s="21" t="str">
        <x:v>Initial judgment</x:v>
      </x:c>
      <x:c r="G7" s="21" t="str">
        <x:v>Confidence</x:v>
      </x:c>
      <x:c r="H7" s="21" t="str">
        <x:v>Claim type</x:v>
      </x:c>
      <x:c r="I7" s="21" t="str">
        <x:v>Alternative(s) rejected</x:v>
      </x:c>
      <x:c r="J7" s="21" t="str">
        <x:v>Key trade-off</x:v>
      </x:c>
      <x:c r="K7" s="21" t="str">
        <x:v>Claim to verify</x:v>
      </x:c>
      <x:c r="L7" s="21" t="str">
        <x:v>Verification source / link</x:v>
      </x:c>
      <x:c r="M7" s="21" t="str">
        <x:v>Source as-of</x:v>
      </x:c>
      <x:c r="N7" s="21" t="str">
        <x:v>Verification result</x:v>
      </x:c>
      <x:c r="O7" s="21" t="str">
        <x:v>Change to reasoning</x:v>
      </x:c>
      <x:c r="P7" s="21" t="str">
        <x:v>Final judgment and rationale</x:v>
      </x:c>
      <x:c r="Q7" s="21" t="str">
        <x:v>Downstream investment guardrail</x:v>
      </x:c>
      <x:c r="R7" s="21" t="str">
        <x:v>Peer reviewer</x:v>
      </x:c>
      <x:c r="S7" s="21" t="str">
        <x:v>Peer review status</x:v>
      </x:c>
      <x:c r="T7" s="21" t="str">
        <x:v>Entry status</x:v>
      </x:c>
    </x:row>
    <x:row r="8" ht="66" customHeight="1">
      <x:c r="A8" s="85"/>
      <x:c r="B8" s="94"/>
      <x:c r="C8" s="86"/>
      <x:c r="D8" s="86"/>
      <x:c r="E8" s="86"/>
      <x:c r="F8" s="86"/>
      <x:c r="G8" s="86"/>
      <x:c r="H8" s="86"/>
      <x:c r="I8" s="86"/>
      <x:c r="J8" s="86"/>
      <x:c r="K8" s="86"/>
      <x:c r="L8" s="86"/>
      <x:c r="M8" s="94"/>
      <x:c r="N8" s="86"/>
      <x:c r="O8" s="86"/>
      <x:c r="P8" s="86"/>
      <x:c r="Q8" s="86"/>
      <x:c r="R8" s="86"/>
      <x:c r="S8" s="87"/>
      <x:c r="T8" s="99" t="str">
        <x:f>IF(COUNTA(A8:S8)=0,"NOT STARTED",IF(OR(A8="",B8="",C8="",D8="",E8="",F8="",G8="",H8="",I8="",J8="",K8="",L8="",M8="",N8="",O8="",P8="",Q8="",R8="",S8=""),"INCOMPLETE",IF(OR(S8="Needs revision",AND(OR(N8="Contradicted",N8="Not verifiable"),S8&lt;&gt;"Cleared after revision")),"REVISE / FLAG","EVIDENCE READY")))</x:f>
        <x:v>NOT STARTED</x:v>
      </x:c>
    </x:row>
    <x:row r="9" ht="66" customHeight="1">
      <x:c r="A9" s="88"/>
      <x:c r="B9" s="95"/>
      <x:c r="C9" s="89"/>
      <x:c r="D9" s="89"/>
      <x:c r="E9" s="89"/>
      <x:c r="F9" s="89"/>
      <x:c r="G9" s="89"/>
      <x:c r="H9" s="89"/>
      <x:c r="I9" s="89"/>
      <x:c r="J9" s="89"/>
      <x:c r="K9" s="89"/>
      <x:c r="L9" s="89"/>
      <x:c r="M9" s="95"/>
      <x:c r="N9" s="89"/>
      <x:c r="O9" s="89"/>
      <x:c r="P9" s="89"/>
      <x:c r="Q9" s="89"/>
      <x:c r="R9" s="89"/>
      <x:c r="S9" s="90"/>
      <x:c r="T9" s="99" t="str">
        <x:f>IF(COUNTA(A9:S9)=0,"NOT STARTED",IF(OR(A9="",B9="",C9="",D9="",E9="",F9="",G9="",H9="",I9="",J9="",K9="",L9="",M9="",N9="",O9="",P9="",Q9="",R9="",S9=""),"INCOMPLETE",IF(OR(S9="Needs revision",AND(OR(N9="Contradicted",N9="Not verifiable"),S9&lt;&gt;"Cleared after revision")),"REVISE / FLAG","EVIDENCE READY")))</x:f>
        <x:v>NOT STARTED</x:v>
      </x:c>
    </x:row>
    <x:row r="10" ht="66" customHeight="1">
      <x:c r="A10" s="88"/>
      <x:c r="B10" s="95"/>
      <x:c r="C10" s="89"/>
      <x:c r="D10" s="89"/>
      <x:c r="E10" s="89"/>
      <x:c r="F10" s="89"/>
      <x:c r="G10" s="89"/>
      <x:c r="H10" s="89"/>
      <x:c r="I10" s="89"/>
      <x:c r="J10" s="89"/>
      <x:c r="K10" s="89"/>
      <x:c r="L10" s="89"/>
      <x:c r="M10" s="95"/>
      <x:c r="N10" s="89"/>
      <x:c r="O10" s="89"/>
      <x:c r="P10" s="89"/>
      <x:c r="Q10" s="89"/>
      <x:c r="R10" s="89"/>
      <x:c r="S10" s="90"/>
      <x:c r="T10" s="99" t="str">
        <x:f>IF(COUNTA(A10:S10)=0,"NOT STARTED",IF(OR(A10="",B10="",C10="",D10="",E10="",F10="",G10="",H10="",I10="",J10="",K10="",L10="",M10="",N10="",O10="",P10="",Q10="",R10="",S10=""),"INCOMPLETE",IF(OR(S10="Needs revision",AND(OR(N10="Contradicted",N10="Not verifiable"),S10&lt;&gt;"Cleared after revision")),"REVISE / FLAG","EVIDENCE READY")))</x:f>
        <x:v>NOT STARTED</x:v>
      </x:c>
    </x:row>
    <x:row r="11" ht="66" customHeight="1">
      <x:c r="A11" s="88"/>
      <x:c r="B11" s="95"/>
      <x:c r="C11" s="89"/>
      <x:c r="D11" s="89"/>
      <x:c r="E11" s="89"/>
      <x:c r="F11" s="89"/>
      <x:c r="G11" s="89"/>
      <x:c r="H11" s="89"/>
      <x:c r="I11" s="89"/>
      <x:c r="J11" s="89"/>
      <x:c r="K11" s="89"/>
      <x:c r="L11" s="89"/>
      <x:c r="M11" s="95"/>
      <x:c r="N11" s="89"/>
      <x:c r="O11" s="89"/>
      <x:c r="P11" s="89"/>
      <x:c r="Q11" s="89"/>
      <x:c r="R11" s="89"/>
      <x:c r="S11" s="90"/>
      <x:c r="T11" s="99" t="str">
        <x:f>IF(COUNTA(A11:S11)=0,"NOT STARTED",IF(OR(A11="",B11="",C11="",D11="",E11="",F11="",G11="",H11="",I11="",J11="",K11="",L11="",M11="",N11="",O11="",P11="",Q11="",R11="",S11=""),"INCOMPLETE",IF(OR(S11="Needs revision",AND(OR(N11="Contradicted",N11="Not verifiable"),S11&lt;&gt;"Cleared after revision")),"REVISE / FLAG","EVIDENCE READY")))</x:f>
        <x:v>NOT STARTED</x:v>
      </x:c>
    </x:row>
    <x:row r="12" ht="66" customHeight="1">
      <x:c r="A12" s="88"/>
      <x:c r="B12" s="95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95"/>
      <x:c r="N12" s="89"/>
      <x:c r="O12" s="89"/>
      <x:c r="P12" s="89"/>
      <x:c r="Q12" s="89"/>
      <x:c r="R12" s="89"/>
      <x:c r="S12" s="90"/>
      <x:c r="T12" s="99" t="str">
        <x:f>IF(COUNTA(A12:S12)=0,"NOT STARTED",IF(OR(A12="",B12="",C12="",D12="",E12="",F12="",G12="",H12="",I12="",J12="",K12="",L12="",M12="",N12="",O12="",P12="",Q12="",R12="",S12=""),"INCOMPLETE",IF(OR(S12="Needs revision",AND(OR(N12="Contradicted",N12="Not verifiable"),S12&lt;&gt;"Cleared after revision")),"REVISE / FLAG","EVIDENCE READY")))</x:f>
        <x:v>NOT STARTED</x:v>
      </x:c>
    </x:row>
    <x:row r="13" ht="66" customHeight="1">
      <x:c r="A13" s="88"/>
      <x:c r="B13" s="95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95"/>
      <x:c r="N13" s="89"/>
      <x:c r="O13" s="89"/>
      <x:c r="P13" s="89"/>
      <x:c r="Q13" s="89"/>
      <x:c r="R13" s="89"/>
      <x:c r="S13" s="90"/>
      <x:c r="T13" s="99" t="str">
        <x:f>IF(COUNTA(A13:S13)=0,"NOT STARTED",IF(OR(A13="",B13="",C13="",D13="",E13="",F13="",G13="",H13="",I13="",J13="",K13="",L13="",M13="",N13="",O13="",P13="",Q13="",R13="",S13=""),"INCOMPLETE",IF(OR(S13="Needs revision",AND(OR(N13="Contradicted",N13="Not verifiable"),S13&lt;&gt;"Cleared after revision")),"REVISE / FLAG","EVIDENCE READY")))</x:f>
        <x:v>NOT STARTED</x:v>
      </x:c>
    </x:row>
    <x:row r="14" ht="66" customHeight="1">
      <x:c r="A14" s="88"/>
      <x:c r="B14" s="95"/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95"/>
      <x:c r="N14" s="89"/>
      <x:c r="O14" s="89"/>
      <x:c r="P14" s="89"/>
      <x:c r="Q14" s="89"/>
      <x:c r="R14" s="89"/>
      <x:c r="S14" s="90"/>
      <x:c r="T14" s="99" t="str">
        <x:f>IF(COUNTA(A14:S14)=0,"NOT STARTED",IF(OR(A14="",B14="",C14="",D14="",E14="",F14="",G14="",H14="",I14="",J14="",K14="",L14="",M14="",N14="",O14="",P14="",Q14="",R14="",S14=""),"INCOMPLETE",IF(OR(S14="Needs revision",AND(OR(N14="Contradicted",N14="Not verifiable"),S14&lt;&gt;"Cleared after revision")),"REVISE / FLAG","EVIDENCE READY")))</x:f>
        <x:v>NOT STARTED</x:v>
      </x:c>
    </x:row>
    <x:row r="15" ht="66" customHeight="1">
      <x:c r="A15" s="88"/>
      <x:c r="B15" s="95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95"/>
      <x:c r="N15" s="89"/>
      <x:c r="O15" s="89"/>
      <x:c r="P15" s="89"/>
      <x:c r="Q15" s="89"/>
      <x:c r="R15" s="89"/>
      <x:c r="S15" s="90"/>
      <x:c r="T15" s="99" t="str">
        <x:f>IF(COUNTA(A15:S15)=0,"NOT STARTED",IF(OR(A15="",B15="",C15="",D15="",E15="",F15="",G15="",H15="",I15="",J15="",K15="",L15="",M15="",N15="",O15="",P15="",Q15="",R15="",S15=""),"INCOMPLETE",IF(OR(S15="Needs revision",AND(OR(N15="Contradicted",N15="Not verifiable"),S15&lt;&gt;"Cleared after revision")),"REVISE / FLAG","EVIDENCE READY")))</x:f>
        <x:v>NOT STARTED</x:v>
      </x:c>
    </x:row>
    <x:row r="16" ht="66" customHeight="1">
      <x:c r="A16" s="88"/>
      <x:c r="B16" s="95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95"/>
      <x:c r="N16" s="89"/>
      <x:c r="O16" s="89"/>
      <x:c r="P16" s="89"/>
      <x:c r="Q16" s="89"/>
      <x:c r="R16" s="89"/>
      <x:c r="S16" s="90"/>
      <x:c r="T16" s="99" t="str">
        <x:f>IF(COUNTA(A16:S16)=0,"NOT STARTED",IF(OR(A16="",B16="",C16="",D16="",E16="",F16="",G16="",H16="",I16="",J16="",K16="",L16="",M16="",N16="",O16="",P16="",Q16="",R16="",S16=""),"INCOMPLETE",IF(OR(S16="Needs revision",AND(OR(N16="Contradicted",N16="Not verifiable"),S16&lt;&gt;"Cleared after revision")),"REVISE / FLAG","EVIDENCE READY")))</x:f>
        <x:v>NOT STARTED</x:v>
      </x:c>
    </x:row>
    <x:row r="17" ht="66" customHeight="1">
      <x:c r="A17" s="88"/>
      <x:c r="B17" s="95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95"/>
      <x:c r="N17" s="89"/>
      <x:c r="O17" s="89"/>
      <x:c r="P17" s="89"/>
      <x:c r="Q17" s="89"/>
      <x:c r="R17" s="89"/>
      <x:c r="S17" s="90"/>
      <x:c r="T17" s="99" t="str">
        <x:f>IF(COUNTA(A17:S17)=0,"NOT STARTED",IF(OR(A17="",B17="",C17="",D17="",E17="",F17="",G17="",H17="",I17="",J17="",K17="",L17="",M17="",N17="",O17="",P17="",Q17="",R17="",S17=""),"INCOMPLETE",IF(OR(S17="Needs revision",AND(OR(N17="Contradicted",N17="Not verifiable"),S17&lt;&gt;"Cleared after revision")),"REVISE / FLAG","EVIDENCE READY")))</x:f>
        <x:v>NOT STARTED</x:v>
      </x:c>
    </x:row>
    <x:row r="18" ht="66" customHeight="1">
      <x:c r="A18" s="88"/>
      <x:c r="B18" s="95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95"/>
      <x:c r="N18" s="89"/>
      <x:c r="O18" s="89"/>
      <x:c r="P18" s="89"/>
      <x:c r="Q18" s="89"/>
      <x:c r="R18" s="89"/>
      <x:c r="S18" s="90"/>
      <x:c r="T18" s="99" t="str">
        <x:f>IF(COUNTA(A18:S18)=0,"NOT STARTED",IF(OR(A18="",B18="",C18="",D18="",E18="",F18="",G18="",H18="",I18="",J18="",K18="",L18="",M18="",N18="",O18="",P18="",Q18="",R18="",S18=""),"INCOMPLETE",IF(OR(S18="Needs revision",AND(OR(N18="Contradicted",N18="Not verifiable"),S18&lt;&gt;"Cleared after revision")),"REVISE / FLAG","EVIDENCE READY")))</x:f>
        <x:v>NOT STARTED</x:v>
      </x:c>
    </x:row>
    <x:row r="19" ht="66" customHeight="1">
      <x:c r="A19" s="88"/>
      <x:c r="B19" s="95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95"/>
      <x:c r="N19" s="89"/>
      <x:c r="O19" s="89"/>
      <x:c r="P19" s="89"/>
      <x:c r="Q19" s="89"/>
      <x:c r="R19" s="89"/>
      <x:c r="S19" s="90"/>
      <x:c r="T19" s="99" t="str">
        <x:f>IF(COUNTA(A19:S19)=0,"NOT STARTED",IF(OR(A19="",B19="",C19="",D19="",E19="",F19="",G19="",H19="",I19="",J19="",K19="",L19="",M19="",N19="",O19="",P19="",Q19="",R19="",S19=""),"INCOMPLETE",IF(OR(S19="Needs revision",AND(OR(N19="Contradicted",N19="Not verifiable"),S19&lt;&gt;"Cleared after revision")),"REVISE / FLAG","EVIDENCE READY")))</x:f>
        <x:v>NOT STARTED</x:v>
      </x:c>
    </x:row>
    <x:row r="20" ht="66" customHeight="1">
      <x:c r="A20" s="88"/>
      <x:c r="B20" s="95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95"/>
      <x:c r="N20" s="89"/>
      <x:c r="O20" s="89"/>
      <x:c r="P20" s="89"/>
      <x:c r="Q20" s="89"/>
      <x:c r="R20" s="89"/>
      <x:c r="S20" s="90"/>
      <x:c r="T20" s="99" t="str">
        <x:f>IF(COUNTA(A20:S20)=0,"NOT STARTED",IF(OR(A20="",B20="",C20="",D20="",E20="",F20="",G20="",H20="",I20="",J20="",K20="",L20="",M20="",N20="",O20="",P20="",Q20="",R20="",S20=""),"INCOMPLETE",IF(OR(S20="Needs revision",AND(OR(N20="Contradicted",N20="Not verifiable"),S20&lt;&gt;"Cleared after revision")),"REVISE / FLAG","EVIDENCE READY")))</x:f>
        <x:v>NOT STARTED</x:v>
      </x:c>
    </x:row>
    <x:row r="21" ht="66" customHeight="1">
      <x:c r="A21" s="88"/>
      <x:c r="B21" s="95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95"/>
      <x:c r="N21" s="89"/>
      <x:c r="O21" s="89"/>
      <x:c r="P21" s="89"/>
      <x:c r="Q21" s="89"/>
      <x:c r="R21" s="89"/>
      <x:c r="S21" s="90"/>
      <x:c r="T21" s="99" t="str">
        <x:f>IF(COUNTA(A21:S21)=0,"NOT STARTED",IF(OR(A21="",B21="",C21="",D21="",E21="",F21="",G21="",H21="",I21="",J21="",K21="",L21="",M21="",N21="",O21="",P21="",Q21="",R21="",S21=""),"INCOMPLETE",IF(OR(S21="Needs revision",AND(OR(N21="Contradicted",N21="Not verifiable"),S21&lt;&gt;"Cleared after revision")),"REVISE / FLAG","EVIDENCE READY")))</x:f>
        <x:v>NOT STARTED</x:v>
      </x:c>
    </x:row>
    <x:row r="22" ht="66" customHeight="1">
      <x:c r="A22" s="88"/>
      <x:c r="B22" s="95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95"/>
      <x:c r="N22" s="89"/>
      <x:c r="O22" s="89"/>
      <x:c r="P22" s="89"/>
      <x:c r="Q22" s="89"/>
      <x:c r="R22" s="89"/>
      <x:c r="S22" s="90"/>
      <x:c r="T22" s="99" t="str">
        <x:f>IF(COUNTA(A22:S22)=0,"NOT STARTED",IF(OR(A22="",B22="",C22="",D22="",E22="",F22="",G22="",H22="",I22="",J22="",K22="",L22="",M22="",N22="",O22="",P22="",Q22="",R22="",S22=""),"INCOMPLETE",IF(OR(S22="Needs revision",AND(OR(N22="Contradicted",N22="Not verifiable"),S22&lt;&gt;"Cleared after revision")),"REVISE / FLAG","EVIDENCE READY")))</x:f>
        <x:v>NOT STARTED</x:v>
      </x:c>
    </x:row>
    <x:row r="23" ht="66" customHeight="1">
      <x:c r="A23" s="88"/>
      <x:c r="B23" s="95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95"/>
      <x:c r="N23" s="89"/>
      <x:c r="O23" s="89"/>
      <x:c r="P23" s="89"/>
      <x:c r="Q23" s="89"/>
      <x:c r="R23" s="89"/>
      <x:c r="S23" s="90"/>
      <x:c r="T23" s="99" t="str">
        <x:f>IF(COUNTA(A23:S23)=0,"NOT STARTED",IF(OR(A23="",B23="",C23="",D23="",E23="",F23="",G23="",H23="",I23="",J23="",K23="",L23="",M23="",N23="",O23="",P23="",Q23="",R23="",S23=""),"INCOMPLETE",IF(OR(S23="Needs revision",AND(OR(N23="Contradicted",N23="Not verifiable"),S23&lt;&gt;"Cleared after revision")),"REVISE / FLAG","EVIDENCE READY")))</x:f>
        <x:v>NOT STARTED</x:v>
      </x:c>
    </x:row>
    <x:row r="24" ht="66" customHeight="1">
      <x:c r="A24" s="88"/>
      <x:c r="B24" s="95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95"/>
      <x:c r="N24" s="89"/>
      <x:c r="O24" s="89"/>
      <x:c r="P24" s="89"/>
      <x:c r="Q24" s="89"/>
      <x:c r="R24" s="89"/>
      <x:c r="S24" s="90"/>
      <x:c r="T24" s="99" t="str">
        <x:f>IF(COUNTA(A24:S24)=0,"NOT STARTED",IF(OR(A24="",B24="",C24="",D24="",E24="",F24="",G24="",H24="",I24="",J24="",K24="",L24="",M24="",N24="",O24="",P24="",Q24="",R24="",S24=""),"INCOMPLETE",IF(OR(S24="Needs revision",AND(OR(N24="Contradicted",N24="Not verifiable"),S24&lt;&gt;"Cleared after revision")),"REVISE / FLAG","EVIDENCE READY")))</x:f>
        <x:v>NOT STARTED</x:v>
      </x:c>
    </x:row>
    <x:row r="25" ht="66" customHeight="1">
      <x:c r="A25" s="88"/>
      <x:c r="B25" s="95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95"/>
      <x:c r="N25" s="89"/>
      <x:c r="O25" s="89"/>
      <x:c r="P25" s="89"/>
      <x:c r="Q25" s="89"/>
      <x:c r="R25" s="89"/>
      <x:c r="S25" s="90"/>
      <x:c r="T25" s="99" t="str">
        <x:f>IF(COUNTA(A25:S25)=0,"NOT STARTED",IF(OR(A25="",B25="",C25="",D25="",E25="",F25="",G25="",H25="",I25="",J25="",K25="",L25="",M25="",N25="",O25="",P25="",Q25="",R25="",S25=""),"INCOMPLETE",IF(OR(S25="Needs revision",AND(OR(N25="Contradicted",N25="Not verifiable"),S25&lt;&gt;"Cleared after revision")),"REVISE / FLAG","EVIDENCE READY")))</x:f>
        <x:v>NOT STARTED</x:v>
      </x:c>
    </x:row>
    <x:row r="26" ht="66" customHeight="1">
      <x:c r="A26" s="88"/>
      <x:c r="B26" s="95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95"/>
      <x:c r="N26" s="89"/>
      <x:c r="O26" s="89"/>
      <x:c r="P26" s="89"/>
      <x:c r="Q26" s="89"/>
      <x:c r="R26" s="89"/>
      <x:c r="S26" s="90"/>
      <x:c r="T26" s="99" t="str">
        <x:f>IF(COUNTA(A26:S26)=0,"NOT STARTED",IF(OR(A26="",B26="",C26="",D26="",E26="",F26="",G26="",H26="",I26="",J26="",K26="",L26="",M26="",N26="",O26="",P26="",Q26="",R26="",S26=""),"INCOMPLETE",IF(OR(S26="Needs revision",AND(OR(N26="Contradicted",N26="Not verifiable"),S26&lt;&gt;"Cleared after revision")),"REVISE / FLAG","EVIDENCE READY")))</x:f>
        <x:v>NOT STARTED</x:v>
      </x:c>
    </x:row>
    <x:row r="27" ht="66" customHeight="1">
      <x:c r="A27" s="88"/>
      <x:c r="B27" s="95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95"/>
      <x:c r="N27" s="89"/>
      <x:c r="O27" s="89"/>
      <x:c r="P27" s="89"/>
      <x:c r="Q27" s="89"/>
      <x:c r="R27" s="89"/>
      <x:c r="S27" s="90"/>
      <x:c r="T27" s="99" t="str">
        <x:f>IF(COUNTA(A27:S27)=0,"NOT STARTED",IF(OR(A27="",B27="",C27="",D27="",E27="",F27="",G27="",H27="",I27="",J27="",K27="",L27="",M27="",N27="",O27="",P27="",Q27="",R27="",S27=""),"INCOMPLETE",IF(OR(S27="Needs revision",AND(OR(N27="Contradicted",N27="Not verifiable"),S27&lt;&gt;"Cleared after revision")),"REVISE / FLAG","EVIDENCE READY")))</x:f>
        <x:v>NOT STARTED</x:v>
      </x:c>
    </x:row>
    <x:row r="28" ht="66" customHeight="1">
      <x:c r="A28" s="88"/>
      <x:c r="B28" s="95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95"/>
      <x:c r="N28" s="89"/>
      <x:c r="O28" s="89"/>
      <x:c r="P28" s="89"/>
      <x:c r="Q28" s="89"/>
      <x:c r="R28" s="89"/>
      <x:c r="S28" s="90"/>
      <x:c r="T28" s="99" t="str">
        <x:f>IF(COUNTA(A28:S28)=0,"NOT STARTED",IF(OR(A28="",B28="",C28="",D28="",E28="",F28="",G28="",H28="",I28="",J28="",K28="",L28="",M28="",N28="",O28="",P28="",Q28="",R28="",S28=""),"INCOMPLETE",IF(OR(S28="Needs revision",AND(OR(N28="Contradicted",N28="Not verifiable"),S28&lt;&gt;"Cleared after revision")),"REVISE / FLAG","EVIDENCE READY")))</x:f>
        <x:v>NOT STARTED</x:v>
      </x:c>
    </x:row>
    <x:row r="29" ht="66" customHeight="1">
      <x:c r="A29" s="88"/>
      <x:c r="B29" s="95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95"/>
      <x:c r="N29" s="89"/>
      <x:c r="O29" s="89"/>
      <x:c r="P29" s="89"/>
      <x:c r="Q29" s="89"/>
      <x:c r="R29" s="89"/>
      <x:c r="S29" s="90"/>
      <x:c r="T29" s="99" t="str">
        <x:f>IF(COUNTA(A29:S29)=0,"NOT STARTED",IF(OR(A29="",B29="",C29="",D29="",E29="",F29="",G29="",H29="",I29="",J29="",K29="",L29="",M29="",N29="",O29="",P29="",Q29="",R29="",S29=""),"INCOMPLETE",IF(OR(S29="Needs revision",AND(OR(N29="Contradicted",N29="Not verifiable"),S29&lt;&gt;"Cleared after revision")),"REVISE / FLAG","EVIDENCE READY")))</x:f>
        <x:v>NOT STARTED</x:v>
      </x:c>
    </x:row>
    <x:row r="30" ht="66" customHeight="1">
      <x:c r="A30" s="88"/>
      <x:c r="B30" s="95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95"/>
      <x:c r="N30" s="89"/>
      <x:c r="O30" s="89"/>
      <x:c r="P30" s="89"/>
      <x:c r="Q30" s="89"/>
      <x:c r="R30" s="89"/>
      <x:c r="S30" s="90"/>
      <x:c r="T30" s="99" t="str">
        <x:f>IF(COUNTA(A30:S30)=0,"NOT STARTED",IF(OR(A30="",B30="",C30="",D30="",E30="",F30="",G30="",H30="",I30="",J30="",K30="",L30="",M30="",N30="",O30="",P30="",Q30="",R30="",S30=""),"INCOMPLETE",IF(OR(S30="Needs revision",AND(OR(N30="Contradicted",N30="Not verifiable"),S30&lt;&gt;"Cleared after revision")),"REVISE / FLAG","EVIDENCE READY")))</x:f>
        <x:v>NOT STARTED</x:v>
      </x:c>
    </x:row>
    <x:row r="31" ht="66" customHeight="1">
      <x:c r="A31" s="88"/>
      <x:c r="B31" s="95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95"/>
      <x:c r="N31" s="89"/>
      <x:c r="O31" s="89"/>
      <x:c r="P31" s="89"/>
      <x:c r="Q31" s="89"/>
      <x:c r="R31" s="89"/>
      <x:c r="S31" s="90"/>
      <x:c r="T31" s="99" t="str">
        <x:f>IF(COUNTA(A31:S31)=0,"NOT STARTED",IF(OR(A31="",B31="",C31="",D31="",E31="",F31="",G31="",H31="",I31="",J31="",K31="",L31="",M31="",N31="",O31="",P31="",Q31="",R31="",S31=""),"INCOMPLETE",IF(OR(S31="Needs revision",AND(OR(N31="Contradicted",N31="Not verifiable"),S31&lt;&gt;"Cleared after revision")),"REVISE / FLAG","EVIDENCE READY")))</x:f>
        <x:v>NOT STARTED</x:v>
      </x:c>
    </x:row>
    <x:row r="32" ht="66" customHeight="1">
      <x:c r="A32" s="88"/>
      <x:c r="B32" s="95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95"/>
      <x:c r="N32" s="89"/>
      <x:c r="O32" s="89"/>
      <x:c r="P32" s="89"/>
      <x:c r="Q32" s="89"/>
      <x:c r="R32" s="89"/>
      <x:c r="S32" s="90"/>
      <x:c r="T32" s="99" t="str">
        <x:f>IF(COUNTA(A32:S32)=0,"NOT STARTED",IF(OR(A32="",B32="",C32="",D32="",E32="",F32="",G32="",H32="",I32="",J32="",K32="",L32="",M32="",N32="",O32="",P32="",Q32="",R32="",S32=""),"INCOMPLETE",IF(OR(S32="Needs revision",AND(OR(N32="Contradicted",N32="Not verifiable"),S32&lt;&gt;"Cleared after revision")),"REVISE / FLAG","EVIDENCE READY")))</x:f>
        <x:v>NOT STARTED</x:v>
      </x:c>
    </x:row>
    <x:row r="33" ht="66" customHeight="1">
      <x:c r="A33" s="88"/>
      <x:c r="B33" s="95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95"/>
      <x:c r="N33" s="89"/>
      <x:c r="O33" s="89"/>
      <x:c r="P33" s="89"/>
      <x:c r="Q33" s="89"/>
      <x:c r="R33" s="89"/>
      <x:c r="S33" s="90"/>
      <x:c r="T33" s="99" t="str">
        <x:f>IF(COUNTA(A33:S33)=0,"NOT STARTED",IF(OR(A33="",B33="",C33="",D33="",E33="",F33="",G33="",H33="",I33="",J33="",K33="",L33="",M33="",N33="",O33="",P33="",Q33="",R33="",S33=""),"INCOMPLETE",IF(OR(S33="Needs revision",AND(OR(N33="Contradicted",N33="Not verifiable"),S33&lt;&gt;"Cleared after revision")),"REVISE / FLAG","EVIDENCE READY")))</x:f>
        <x:v>NOT STARTED</x:v>
      </x:c>
    </x:row>
    <x:row r="34" ht="66" customHeight="1">
      <x:c r="A34" s="88"/>
      <x:c r="B34" s="95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95"/>
      <x:c r="N34" s="89"/>
      <x:c r="O34" s="89"/>
      <x:c r="P34" s="89"/>
      <x:c r="Q34" s="89"/>
      <x:c r="R34" s="89"/>
      <x:c r="S34" s="90"/>
      <x:c r="T34" s="99" t="str">
        <x:f>IF(COUNTA(A34:S34)=0,"NOT STARTED",IF(OR(A34="",B34="",C34="",D34="",E34="",F34="",G34="",H34="",I34="",J34="",K34="",L34="",M34="",N34="",O34="",P34="",Q34="",R34="",S34=""),"INCOMPLETE",IF(OR(S34="Needs revision",AND(OR(N34="Contradicted",N34="Not verifiable"),S34&lt;&gt;"Cleared after revision")),"REVISE / FLAG","EVIDENCE READY")))</x:f>
        <x:v>NOT STARTED</x:v>
      </x:c>
    </x:row>
    <x:row r="35" ht="66" customHeight="1">
      <x:c r="A35" s="88"/>
      <x:c r="B35" s="95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95"/>
      <x:c r="N35" s="89"/>
      <x:c r="O35" s="89"/>
      <x:c r="P35" s="89"/>
      <x:c r="Q35" s="89"/>
      <x:c r="R35" s="89"/>
      <x:c r="S35" s="90"/>
      <x:c r="T35" s="99" t="str">
        <x:f>IF(COUNTA(A35:S35)=0,"NOT STARTED",IF(OR(A35="",B35="",C35="",D35="",E35="",F35="",G35="",H35="",I35="",J35="",K35="",L35="",M35="",N35="",O35="",P35="",Q35="",R35="",S35=""),"INCOMPLETE",IF(OR(S35="Needs revision",AND(OR(N35="Contradicted",N35="Not verifiable"),S35&lt;&gt;"Cleared after revision")),"REVISE / FLAG","EVIDENCE READY")))</x:f>
        <x:v>NOT STARTED</x:v>
      </x:c>
    </x:row>
    <x:row r="36" ht="66" customHeight="1">
      <x:c r="A36" s="88"/>
      <x:c r="B36" s="95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95"/>
      <x:c r="N36" s="89"/>
      <x:c r="O36" s="89"/>
      <x:c r="P36" s="89"/>
      <x:c r="Q36" s="89"/>
      <x:c r="R36" s="89"/>
      <x:c r="S36" s="90"/>
      <x:c r="T36" s="99" t="str">
        <x:f>IF(COUNTA(A36:S36)=0,"NOT STARTED",IF(OR(A36="",B36="",C36="",D36="",E36="",F36="",G36="",H36="",I36="",J36="",K36="",L36="",M36="",N36="",O36="",P36="",Q36="",R36="",S36=""),"INCOMPLETE",IF(OR(S36="Needs revision",AND(OR(N36="Contradicted",N36="Not verifiable"),S36&lt;&gt;"Cleared after revision")),"REVISE / FLAG","EVIDENCE READY")))</x:f>
        <x:v>NOT STARTED</x:v>
      </x:c>
    </x:row>
    <x:row r="37" ht="66" customHeight="1">
      <x:c r="A37" s="91"/>
      <x:c r="B37" s="96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6"/>
      <x:c r="N37" s="92"/>
      <x:c r="O37" s="92"/>
      <x:c r="P37" s="92"/>
      <x:c r="Q37" s="92"/>
      <x:c r="R37" s="92"/>
      <x:c r="S37" s="93"/>
      <x:c r="T37" s="99" t="str">
        <x:f>IF(COUNTA(A37:S37)=0,"NOT STARTED",IF(OR(A37="",B37="",C37="",D37="",E37="",F37="",G37="",H37="",I37="",J37="",K37="",L37="",M37="",N37="",O37="",P37="",Q37="",R37="",S37=""),"INCOMPLETE",IF(OR(S37="Needs revision",AND(OR(N37="Contradicted",N37="Not verifiable"),S37&lt;&gt;"Cleared after revision")),"REVISE / FLAG","EVIDENCE READY")))</x:f>
        <x:v>NOT STARTED</x:v>
      </x:c>
    </x:row>
    <x:row r="39" ht="23" customHeight="1">
      <x:c r="A39" s="11" t="str">
        <x:v>PHASE 1 READINESS</x:v>
      </x:c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</x:row>
    <x:row r="40">
      <x:c r="A40" s="25" t="str">
        <x:v>Evidence-ready entries</x:v>
      </x:c>
      <x:c r="B40" s="100" t="n">
        <x:f>COUNTIF(T8:T37,"EVIDENCE READY")</x:f>
        <x:v>0</x:v>
      </x:c>
      <x:c r="C40" s="100" t="str"/>
      <x:c r="D40" s="25" t="str">
        <x:v>Entries to revise / flag</x:v>
      </x:c>
      <x:c r="E40" s="102" t="n">
        <x:f>COUNTIF(T8:T37,"REVISE / FLAG")</x:f>
        <x:v>0</x:v>
      </x:c>
      <x:c r="F40" s="102" t="str"/>
      <x:c r="G40" s="25" t="str">
        <x:v>Minimum required</x:v>
      </x:c>
      <x:c r="H40" s="60" t="n">
        <x:v>15</x:v>
      </x:c>
      <x:c r="J40" s="25" t="str">
        <x:v>Log readiness</x:v>
      </x:c>
      <x:c r="K40" s="103" t="str">
        <x:f>IF(OR(E6="",H6="",K6=""),"ENTER 3 CLIENTS",IF(COUNTIF(B47:D51,"READY")&lt;H40,"COVERAGE INCOMPLETE",IF(COUNTIF(T8:T37,"INCOMPLETE")+E40&gt;0,"REVIEW LOG","READY FOR PHASE 1 GATE")))</x:f>
        <x:v>ENTER 3 CLIENTS</x:v>
      </x:c>
      <x:c r="L40" s="104"/>
      <x:c r="M40" s="105"/>
    </x:row>
    <x:row r="42" ht="34" customHeight="1">
      <x:c r="A42" s="107" t="str">
        <x:v>Evidence-ready means the entry shows the recommendation or initial judgment, an alternative rejected, a key trade-off, a human-verified source and as-of date, what changed, the final reasoning, a downstream guardrail, and peer review. Portfolio Manager entries identify integration decisions; Risk and Derivatives entries identify residual risk and hedge/no-hedge evidence. Contradicted or unverifiable material claims must be revised or carried to the committee as an explicit open issue.</x:v>
      </x:c>
      <x:c r="B42" s="107"/>
      <x:c r="C42" s="107"/>
      <x:c r="D42" s="107"/>
      <x:c r="E42" s="107"/>
      <x:c r="F42" s="107"/>
      <x:c r="G42" s="107"/>
      <x:c r="H42" s="107"/>
      <x:c r="I42" s="107"/>
      <x:c r="J42" s="107"/>
      <x:c r="K42" s="107"/>
      <x:c r="L42" s="107"/>
      <x:c r="M42" s="107"/>
      <x:c r="N42" s="107"/>
      <x:c r="O42" s="107"/>
      <x:c r="P42" s="107"/>
      <x:c r="Q42" s="107"/>
      <x:c r="R42" s="107"/>
      <x:c r="S42" s="107"/>
      <x:c r="T42" s="107"/>
    </x:row>
    <x:row r="45" ht="23" customHeight="1">
      <x:c r="A45" s="11" t="str">
        <x:v>ROLE × CLIENT COVERAGE</x:v>
      </x:c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</x:row>
    <x:row r="46">
      <x:c r="A46" s="21" t="str">
        <x:v>Committee role</x:v>
      </x:c>
      <x:c r="B46" s="21" t="str">
        <x:v>Assigned Client 1</x:v>
      </x:c>
      <x:c r="C46" s="21" t="str">
        <x:v>Assigned Client 2</x:v>
      </x:c>
      <x:c r="D46" s="21" t="str">
        <x:v>Assigned Client 3</x:v>
      </x:c>
      <x:c r="E46" s="21" t="str">
        <x:v>Role coverage</x:v>
      </x:c>
    </x:row>
    <x:row r="47">
      <x:c r="A47" s="52" t="str">
        <x:v>Client and Macro Strategist</x:v>
      </x:c>
      <x:c r="B47" s="110" t="str">
        <x:f>IF(OR($E$6="",COUNTIFS($C$8:$C$37,$E$6,$D$8:$D$37,$A47,$T$8:$T$37,"EVIDENCE READY")=0),"MISSING","READY")</x:f>
        <x:v>MISSING</x:v>
      </x:c>
      <x:c r="C47" s="110" t="str">
        <x:f>IF(OR($H$6="",COUNTIFS($C$8:$C$37,$H$6,$D$8:$D$37,$A47,$T$8:$T$37,"EVIDENCE READY")=0),"MISSING","READY")</x:f>
        <x:v>MISSING</x:v>
      </x:c>
      <x:c r="D47" s="110" t="str">
        <x:f>IF(OR($K$6="",COUNTIFS($C$8:$C$37,$K$6,$D$8:$D$37,$A47,$T$8:$T$37,"EVIDENCE READY")=0),"MISSING","READY")</x:f>
        <x:v>MISSING</x:v>
      </x:c>
      <x:c r="E47" s="110" t="str">
        <x:f>IF(COUNTIF(B47:D47,"MISSING")&gt;0,"MISSING","READY")</x:f>
        <x:v>MISSING</x:v>
      </x:c>
    </x:row>
    <x:row r="48">
      <x:c r="A48" s="52" t="str">
        <x:v>Fixed-Income Analyst</x:v>
      </x:c>
      <x:c r="B48" s="110" t="str">
        <x:f>IF(OR($E$6="",COUNTIFS($C$8:$C$37,$E$6,$D$8:$D$37,$A48,$T$8:$T$37,"EVIDENCE READY")=0),"MISSING","READY")</x:f>
        <x:v>MISSING</x:v>
      </x:c>
      <x:c r="C48" s="110" t="str">
        <x:f>IF(OR($H$6="",COUNTIFS($C$8:$C$37,$H$6,$D$8:$D$37,$A48,$T$8:$T$37,"EVIDENCE READY")=0),"MISSING","READY")</x:f>
        <x:v>MISSING</x:v>
      </x:c>
      <x:c r="D48" s="110" t="str">
        <x:f>IF(OR($K$6="",COUNTIFS($C$8:$C$37,$K$6,$D$8:$D$37,$A48,$T$8:$T$37,"EVIDENCE READY")=0),"MISSING","READY")</x:f>
        <x:v>MISSING</x:v>
      </x:c>
      <x:c r="E48" s="110" t="str">
        <x:f>IF(COUNTIF(B48:D48,"MISSING")&gt;0,"MISSING","READY")</x:f>
        <x:v>MISSING</x:v>
      </x:c>
    </x:row>
    <x:row r="49">
      <x:c r="A49" s="52" t="str">
        <x:v>Equity Analyst</x:v>
      </x:c>
      <x:c r="B49" s="110" t="str">
        <x:f>IF(OR($E$6="",COUNTIFS($C$8:$C$37,$E$6,$D$8:$D$37,$A49,$T$8:$T$37,"EVIDENCE READY")=0),"MISSING","READY")</x:f>
        <x:v>MISSING</x:v>
      </x:c>
      <x:c r="C49" s="110" t="str">
        <x:f>IF(OR($H$6="",COUNTIFS($C$8:$C$37,$H$6,$D$8:$D$37,$A49,$T$8:$T$37,"EVIDENCE READY")=0),"MISSING","READY")</x:f>
        <x:v>MISSING</x:v>
      </x:c>
      <x:c r="D49" s="110" t="str">
        <x:f>IF(OR($K$6="",COUNTIFS($C$8:$C$37,$K$6,$D$8:$D$37,$A49,$T$8:$T$37,"EVIDENCE READY")=0),"MISSING","READY")</x:f>
        <x:v>MISSING</x:v>
      </x:c>
      <x:c r="E49" s="110" t="str">
        <x:f>IF(COUNTIF(B49:D49,"MISSING")&gt;0,"MISSING","READY")</x:f>
        <x:v>MISSING</x:v>
      </x:c>
    </x:row>
    <x:row r="50">
      <x:c r="A50" s="52" t="str">
        <x:v>Portfolio Manager</x:v>
      </x:c>
      <x:c r="B50" s="110" t="str">
        <x:f>IF(OR($E$6="",COUNTIFS($C$8:$C$37,$E$6,$D$8:$D$37,$A50,$T$8:$T$37,"EVIDENCE READY")=0),"MISSING","READY")</x:f>
        <x:v>MISSING</x:v>
      </x:c>
      <x:c r="C50" s="110" t="str">
        <x:f>IF(OR($H$6="",COUNTIFS($C$8:$C$37,$H$6,$D$8:$D$37,$A50,$T$8:$T$37,"EVIDENCE READY")=0),"MISSING","READY")</x:f>
        <x:v>MISSING</x:v>
      </x:c>
      <x:c r="D50" s="110" t="str">
        <x:f>IF(OR($K$6="",COUNTIFS($C$8:$C$37,$K$6,$D$8:$D$37,$A50,$T$8:$T$37,"EVIDENCE READY")=0),"MISSING","READY")</x:f>
        <x:v>MISSING</x:v>
      </x:c>
      <x:c r="E50" s="110" t="str">
        <x:f>IF(COUNTIF(B50:D50,"MISSING")&gt;0,"MISSING","READY")</x:f>
        <x:v>MISSING</x:v>
      </x:c>
    </x:row>
    <x:row r="51">
      <x:c r="A51" s="52" t="str">
        <x:v>Risk and Derivatives Analyst</x:v>
      </x:c>
      <x:c r="B51" s="110" t="str">
        <x:f>IF(OR($E$6="",COUNTIFS($C$8:$C$37,$E$6,$D$8:$D$37,$A51,$T$8:$T$37,"EVIDENCE READY")=0),"MISSING","READY")</x:f>
        <x:v>MISSING</x:v>
      </x:c>
      <x:c r="C51" s="110" t="str">
        <x:f>IF(OR($H$6="",COUNTIFS($C$8:$C$37,$H$6,$D$8:$D$37,$A51,$T$8:$T$37,"EVIDENCE READY")=0),"MISSING","READY")</x:f>
        <x:v>MISSING</x:v>
      </x:c>
      <x:c r="D51" s="110" t="str">
        <x:f>IF(OR($K$6="",COUNTIFS($C$8:$C$37,$K$6,$D$8:$D$37,$A51,$T$8:$T$37,"EVIDENCE READY")=0),"MISSING","READY")</x:f>
        <x:v>MISSING</x:v>
      </x:c>
      <x:c r="E51" s="110" t="str">
        <x:f>IF(COUNTIF(B51:D51,"MISSING")&gt;0,"MISSING","READY")</x:f>
        <x:v>MISSING</x:v>
      </x:c>
    </x:row>
    <x:row r="52" ht="30" customHeight="1">
      <x:c r="A52" s="107" t="str">
        <x:v>The Phase 1 gate remains closed until every one of the five roles has at least one evidence-ready entry for each of the three assigned clients. The client names in row 6 must match the Client column exactly.</x:v>
      </x:c>
      <x:c r="B52" s="107"/>
      <x:c r="C52" s="107"/>
      <x:c r="D52" s="107"/>
      <x:c r="E52" s="107"/>
      <x:c r="F52" s="107"/>
      <x:c r="G52" s="107"/>
      <x:c r="H52" s="107"/>
      <x:c r="I52" s="107"/>
      <x:c r="J52" s="107"/>
      <x:c r="K52" s="107"/>
      <x:c r="L52" s="107"/>
      <x:c r="M52" s="107"/>
      <x:c r="N52" s="107"/>
      <x:c r="O52" s="107"/>
      <x:c r="P52" s="107"/>
      <x:c r="Q52" s="107"/>
      <x:c r="R52" s="107"/>
      <x:c r="S52" s="107"/>
      <x:c r="T52" s="107"/>
    </x:row>
  </x:sheetData>
  <x:mergeCells>
    <x:mergeCell ref="A1:T1"/>
    <x:mergeCell ref="A2:T2"/>
    <x:mergeCell ref="A4:T4"/>
    <x:mergeCell ref="A5:T5"/>
    <x:mergeCell ref="B6:C6"/>
    <x:mergeCell ref="E6:F6"/>
    <x:mergeCell ref="H6:I6"/>
    <x:mergeCell ref="K6:L6"/>
    <x:mergeCell ref="A39:T39"/>
    <x:mergeCell ref="B40:C40"/>
    <x:mergeCell ref="E40:F40"/>
    <x:mergeCell ref="K40:M40"/>
    <x:mergeCell ref="A42:T42"/>
    <x:mergeCell ref="A45:T45"/>
    <x:mergeCell ref="A52:T52"/>
  </x:mergeCells>
  <x:conditionalFormatting sqref="T8:T37">
    <x:cfRule type="containsText" dxfId="20" priority="1" operator="containsText" text="EVIDENCE READY"/>
    <x:cfRule type="containsText" dxfId="21" priority="2" operator="containsText" text="REVISE"/>
    <x:cfRule type="containsText" dxfId="22" priority="3" operator="containsText" text="INCOMPLETE"/>
    <x:cfRule type="containsText" dxfId="23" priority="4" operator="containsText" text="MINIMUM"/>
    <x:cfRule type="containsText" dxfId="24" priority="5" operator="containsText" text="REVIEW"/>
    <x:cfRule type="containsText" dxfId="25" priority="6" operator="containsText" text="MISSING"/>
    <x:cfRule type="containsText" dxfId="26" priority="7" operator="containsText" text="ENTER"/>
  </x:conditionalFormatting>
  <x:conditionalFormatting sqref="K40:M40">
    <x:cfRule type="containsText" dxfId="27" priority="8" operator="containsText" text="EVIDENCE READY"/>
    <x:cfRule type="containsText" dxfId="28" priority="9" operator="containsText" text="REVISE"/>
    <x:cfRule type="containsText" dxfId="29" priority="10" operator="containsText" text="INCOMPLETE"/>
    <x:cfRule type="containsText" dxfId="30" priority="11" operator="containsText" text="MINIMUM"/>
    <x:cfRule type="containsText" dxfId="31" priority="12" operator="containsText" text="REVIEW"/>
    <x:cfRule type="containsText" dxfId="32" priority="13" operator="containsText" text="MISSING"/>
    <x:cfRule type="containsText" dxfId="33" priority="14" operator="containsText" text="ENTER"/>
  </x:conditionalFormatting>
  <x:conditionalFormatting sqref="B47:E51">
    <x:cfRule type="containsText" dxfId="34" priority="15" operator="containsText" text="EVIDENCE READY"/>
    <x:cfRule type="containsText" dxfId="35" priority="16" operator="containsText" text="REVISE"/>
    <x:cfRule type="containsText" dxfId="36" priority="17" operator="containsText" text="INCOMPLETE"/>
    <x:cfRule type="containsText" dxfId="37" priority="18" operator="containsText" text="MINIMUM"/>
    <x:cfRule type="containsText" dxfId="38" priority="19" operator="containsText" text="REVIEW"/>
    <x:cfRule type="containsText" dxfId="39" priority="20" operator="containsText" text="MISSING"/>
    <x:cfRule type="containsText" dxfId="40" priority="21" operator="containsText" text="ENTER"/>
  </x:conditionalFormatting>
  <x:dataValidations count="5">
    <x:dataValidation type="list" sqref="D8:D37">
      <x:formula1>"Client and Macro Strategist,Fixed-Income Analyst,Equity Analyst,Portfolio Manager,Risk and Derivatives Analyst"</x:formula1>
    </x:dataValidation>
    <x:dataValidation type="list" sqref="G8:G37">
      <x:formula1>"Low,Medium,High"</x:formula1>
    </x:dataValidation>
    <x:dataValidation type="list" sqref="H8:H37">
      <x:formula1>"Client fact,Analyst assumption,Market claim,Product / security claim"</x:formula1>
    </x:dataValidation>
    <x:dataValidation type="list" sqref="N8:N37">
      <x:formula1>"Confirmed,Qualified,Contradicted,Not verifiable"</x:formula1>
    </x:dataValidation>
    <x:dataValidation type="list" sqref="S8:S37">
      <x:formula1>"Cleared,Cleared after revision,Needs revision"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24" hidden="0" customWidth="1"/>
    <x:col min="5" max="5" width="20" hidden="0" customWidth="1"/>
    <x:col min="6" max="6" width="18" hidden="0" customWidth="1"/>
    <x:col min="7" max="7" width="18" hidden="0" customWidth="1"/>
    <x:col min="8" max="8" width="4" hidden="0" customWidth="1"/>
  </x:cols>
  <x:sheetData>
    <x:row r="1" ht="34" customHeight="1">
      <x:c r="A1" s="3" t="str">
        <x:v>BUS331 Investment Committee — Phase 1 Decision Record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Frame the Mandate | All four or five members review and cast one vote each.</x:v>
      </x:c>
      <x:c r="B2" s="6"/>
      <x:c r="C2" s="6"/>
      <x:c r="D2" s="6"/>
      <x:c r="E2" s="6"/>
      <x:c r="F2" s="6"/>
      <x:c r="G2" s="6"/>
      <x:c r="H2" s="6"/>
    </x:row>
    <x:row r="4">
      <x:c r="A4" s="25" t="str">
        <x:v>Team / Committee Name</x:v>
      </x:c>
      <x:c r="B4" s="85"/>
      <x:c r="C4" s="87"/>
      <x:c r="D4" s="25" t="str">
        <x:v>Recorder</x:v>
      </x:c>
      <x:c r="E4" s="66"/>
      <x:c r="F4" s="113"/>
      <x:c r="G4" s="67"/>
    </x:row>
    <x:row r="5">
      <x:c r="A5" s="25" t="str">
        <x:v>Scope: all three clients</x:v>
      </x:c>
      <x:c r="B5" s="88"/>
      <x:c r="C5" s="90"/>
      <x:c r="D5" s="25" t="str">
        <x:v>Gate</x:v>
      </x:c>
      <x:c r="E5" s="14" t="str">
        <x:v>Approve market view and client mandates</x:v>
      </x:c>
      <x:c r="F5" s="14"/>
      <x:c r="G5" s="14"/>
    </x:row>
    <x:row r="6">
      <x:c r="A6" s="25" t="str">
        <x:v>Meeting Date</x:v>
      </x:c>
      <x:c r="B6" s="114"/>
      <x:c r="C6" s="115"/>
      <x:c r="D6" s="25" t="str">
        <x:v>Meeting Chair</x:v>
      </x:c>
      <x:c r="E6" s="66"/>
      <x:c r="F6" s="113"/>
      <x:c r="G6" s="67"/>
    </x:row>
    <x:row r="8" ht="23" customHeight="1">
      <x:c r="A8" s="11" t="str">
        <x:v>EVIDENCE REVIEWED</x:v>
      </x:c>
      <x:c r="B8" s="11"/>
      <x:c r="C8" s="11"/>
      <x:c r="D8" s="11"/>
      <x:c r="E8" s="11"/>
      <x:c r="F8" s="11"/>
      <x:c r="G8" s="11"/>
      <x:c r="H8" s="11"/>
    </x:row>
    <x:row r="9">
      <x:c r="A9" s="21" t="str">
        <x:v>Evidence item</x:v>
      </x:c>
      <x:c r="B9" s="21" t="str">
        <x:v>Location / file</x:v>
      </x:c>
      <x:c r="C9" s="21" t="str">
        <x:v>Source date</x:v>
      </x:c>
      <x:c r="D9" s="21" t="str">
        <x:v>Prepared by</x:v>
      </x:c>
      <x:c r="E9" s="21" t="str">
        <x:v>Reviewed by</x:v>
      </x:c>
      <x:c r="F9" s="21" t="str">
        <x:v>Key issue</x:v>
      </x:c>
      <x:c r="G9" s="21" t="str">
        <x:v>Review status</x:v>
      </x:c>
    </x:row>
    <x:row r="10">
      <x:c r="A10" s="85" t="str"/>
      <x:c r="B10" s="86" t="str"/>
      <x:c r="C10" s="94" t="str"/>
      <x:c r="D10" s="86" t="str"/>
      <x:c r="E10" s="86" t="str"/>
      <x:c r="F10" s="86" t="str"/>
      <x:c r="G10" s="87" t="str">
        <x:v>Not reviewed</x:v>
      </x:c>
    </x:row>
    <x:row r="11">
      <x:c r="A11" s="88" t="str"/>
      <x:c r="B11" s="89" t="str"/>
      <x:c r="C11" s="95" t="str"/>
      <x:c r="D11" s="89" t="str"/>
      <x:c r="E11" s="89" t="str"/>
      <x:c r="F11" s="89" t="str"/>
      <x:c r="G11" s="90" t="str">
        <x:v>Not reviewed</x:v>
      </x:c>
    </x:row>
    <x:row r="12">
      <x:c r="A12" s="88" t="str"/>
      <x:c r="B12" s="89" t="str"/>
      <x:c r="C12" s="95" t="str"/>
      <x:c r="D12" s="89" t="str"/>
      <x:c r="E12" s="89" t="str"/>
      <x:c r="F12" s="89" t="str"/>
      <x:c r="G12" s="90" t="str">
        <x:v>Not reviewed</x:v>
      </x:c>
    </x:row>
    <x:row r="13">
      <x:c r="A13" s="88" t="str"/>
      <x:c r="B13" s="89" t="str"/>
      <x:c r="C13" s="95" t="str"/>
      <x:c r="D13" s="89" t="str"/>
      <x:c r="E13" s="89" t="str"/>
      <x:c r="F13" s="89" t="str"/>
      <x:c r="G13" s="90" t="str">
        <x:v>Not reviewed</x:v>
      </x:c>
    </x:row>
    <x:row r="14">
      <x:c r="A14" s="88" t="str"/>
      <x:c r="B14" s="89" t="str"/>
      <x:c r="C14" s="95" t="str"/>
      <x:c r="D14" s="89" t="str"/>
      <x:c r="E14" s="89" t="str"/>
      <x:c r="F14" s="89" t="str"/>
      <x:c r="G14" s="90" t="str">
        <x:v>Not reviewed</x:v>
      </x:c>
    </x:row>
    <x:row r="15">
      <x:c r="A15" s="91" t="str"/>
      <x:c r="B15" s="92" t="str"/>
      <x:c r="C15" s="96" t="str"/>
      <x:c r="D15" s="92" t="str"/>
      <x:c r="E15" s="92" t="str"/>
      <x:c r="F15" s="92" t="str"/>
      <x:c r="G15" s="93" t="str">
        <x:v>Not reviewed</x:v>
      </x:c>
    </x:row>
    <x:row r="17">
      <x:c r="A17" s="25" t="str">
        <x:v>Evidence status</x:v>
      </x:c>
      <x:c r="B17" s="30" t="str">
        <x:f>IF(COUNTIF(G10:G15,"Reviewed")=6,"EVIDENCE COMPLETE","EVIDENCE INCOMPLETE")</x:f>
        <x:v>EVIDENCE INCOMPLETE</x:v>
      </x:c>
      <x:c r="C17" s="30"/>
    </x:row>
    <x:row r="19" ht="23" customHeight="1">
      <x:c r="A19" s="11" t="str">
        <x:v>MOTION</x:v>
      </x:c>
      <x:c r="B19" s="11"/>
      <x:c r="C19" s="11"/>
      <x:c r="D19" s="11"/>
      <x:c r="E19" s="11"/>
      <x:c r="F19" s="11"/>
      <x:c r="G19" s="11"/>
      <x:c r="H19" s="11"/>
    </x:row>
    <x:row r="20" ht="30" customHeight="1">
      <x:c r="A20" s="37" t="str">
        <x:v>Write the exact motion presented to the committee. It must name the recommendation, scope, and any conditions.</x:v>
      </x:c>
      <x:c r="B20" s="37"/>
      <x:c r="C20" s="37"/>
      <x:c r="D20" s="37"/>
      <x:c r="E20" s="37"/>
      <x:c r="F20" s="37"/>
      <x:c r="G20" s="37"/>
    </x:row>
    <x:row r="21" ht="42" customHeight="1">
      <x:c r="A21" s="66"/>
      <x:c r="B21" s="113"/>
      <x:c r="C21" s="113"/>
      <x:c r="D21" s="113"/>
      <x:c r="E21" s="113"/>
      <x:c r="F21" s="113"/>
      <x:c r="G21" s="67"/>
    </x:row>
    <x:row r="23" ht="23" customHeight="1">
      <x:c r="A23" s="11" t="str">
        <x:v>COMMITTEE VOTE</x:v>
      </x:c>
      <x:c r="B23" s="11"/>
      <x:c r="C23" s="11"/>
      <x:c r="D23" s="11"/>
      <x:c r="E23" s="11"/>
      <x:c r="F23" s="11"/>
      <x:c r="G23" s="11"/>
      <x:c r="H23" s="11"/>
    </x:row>
    <x:row r="24">
      <x:c r="A24" s="21" t="str">
        <x:v>Member slot</x:v>
      </x:c>
      <x:c r="B24" s="21" t="str">
        <x:v>Member name</x:v>
      </x:c>
      <x:c r="C24" s="21" t="str">
        <x:v>Vote</x:v>
      </x:c>
      <x:c r="D24" s="21" t="str">
        <x:v>Reservation / condition</x:v>
      </x:c>
      <x:c r="E24" s="21" t="str">
        <x:v>Evidence cited</x:v>
      </x:c>
      <x:c r="F24" s="21" t="str">
        <x:v>Initials</x:v>
      </x:c>
      <x:c r="G24" s="21" t="str">
        <x:v>Follow-up owner</x:v>
      </x:c>
    </x:row>
    <x:row r="25">
      <x:c r="A25" s="117" t="str">
        <x:v>Member 1</x:v>
      </x:c>
      <x:c r="B25" s="121" t="str">
        <x:f>IF('COMMITTEE ROSTER'!B18="","",'COMMITTEE ROSTER'!B18)</x:f>
      </x:c>
      <x:c r="C25" s="86" t="str"/>
      <x:c r="D25" s="86" t="str"/>
      <x:c r="E25" s="86" t="str"/>
      <x:c r="F25" s="86" t="str"/>
      <x:c r="G25" s="87" t="str"/>
    </x:row>
    <x:row r="26">
      <x:c r="A26" s="117" t="str">
        <x:v>Member 2</x:v>
      </x:c>
      <x:c r="B26" s="122" t="str">
        <x:f>IF('COMMITTEE ROSTER'!B19="","",'COMMITTEE ROSTER'!B19)</x:f>
      </x:c>
      <x:c r="C26" s="89" t="str"/>
      <x:c r="D26" s="89" t="str"/>
      <x:c r="E26" s="89" t="str"/>
      <x:c r="F26" s="89" t="str"/>
      <x:c r="G26" s="90" t="str"/>
    </x:row>
    <x:row r="27">
      <x:c r="A27" s="117" t="str">
        <x:v>Member 3</x:v>
      </x:c>
      <x:c r="B27" s="122" t="str">
        <x:f>IF('COMMITTEE ROSTER'!B20="","",'COMMITTEE ROSTER'!B20)</x:f>
      </x:c>
      <x:c r="C27" s="89" t="str"/>
      <x:c r="D27" s="89" t="str"/>
      <x:c r="E27" s="89" t="str"/>
      <x:c r="F27" s="89" t="str"/>
      <x:c r="G27" s="90" t="str"/>
    </x:row>
    <x:row r="28">
      <x:c r="A28" s="117" t="str">
        <x:v>Member 4</x:v>
      </x:c>
      <x:c r="B28" s="122" t="str">
        <x:f>IF('COMMITTEE ROSTER'!B21="","",'COMMITTEE ROSTER'!B21)</x:f>
      </x:c>
      <x:c r="C28" s="89" t="str"/>
      <x:c r="D28" s="89" t="str"/>
      <x:c r="E28" s="89" t="str"/>
      <x:c r="F28" s="89" t="str"/>
      <x:c r="G28" s="90" t="str"/>
    </x:row>
    <x:row r="29">
      <x:c r="A29" s="117" t="str">
        <x:v>Member 5</x:v>
      </x:c>
      <x:c r="B29" s="123" t="str">
        <x:f>IF('COMMITTEE ROSTER'!B22="","",'COMMITTEE ROSTER'!B22)</x:f>
      </x:c>
      <x:c r="C29" s="92" t="str"/>
      <x:c r="D29" s="92" t="str"/>
      <x:c r="E29" s="92" t="str"/>
      <x:c r="F29" s="92" t="str"/>
      <x:c r="G29" s="93" t="str"/>
    </x:row>
    <x:row r="30">
      <x:c r="A30" s="25" t="str">
        <x:v>Decision status</x:v>
      </x:c>
      <x:c r="B30" s="28" t="str">
        <x:f>IF('COMMITTEE ROSTER'!B23&lt;&gt;"READY","INCOMPLETE",IF(COUNTIF(C25:C29,"Revise")+COUNTIF(C25:C29,"Reject")&gt;0,"REVISION REQUIRED",IF(COUNTIF(C25:C29,"Approve")='COMMITTEE ROSTER'!E19,"APPROVED","INCOMPLETE")))</x:f>
        <x:v>INCOMPLETE</x:v>
      </x:c>
      <x:c r="C30" s="29"/>
    </x:row>
    <x:row r="32" ht="23" customHeight="1">
      <x:c r="A32" s="11" t="str">
        <x:v>DISSENT, RESERVATIONS &amp; CONDITIONS</x:v>
      </x:c>
      <x:c r="B32" s="11"/>
      <x:c r="C32" s="11"/>
      <x:c r="D32" s="11"/>
      <x:c r="E32" s="11"/>
      <x:c r="F32" s="11"/>
      <x:c r="G32" s="11"/>
      <x:c r="H32" s="11"/>
    </x:row>
    <x:row r="33" ht="34" customHeight="1">
      <x:c r="A33" s="85"/>
      <x:c r="B33" s="86"/>
      <x:c r="C33" s="86"/>
      <x:c r="D33" s="86"/>
      <x:c r="E33" s="86"/>
      <x:c r="F33" s="86"/>
      <x:c r="G33" s="87"/>
    </x:row>
    <x:row r="34" ht="34" customHeight="1">
      <x:c r="A34" s="91"/>
      <x:c r="B34" s="92"/>
      <x:c r="C34" s="92"/>
      <x:c r="D34" s="92"/>
      <x:c r="E34" s="92"/>
      <x:c r="F34" s="92"/>
      <x:c r="G34" s="93"/>
    </x:row>
    <x:row r="36" ht="23" customHeight="1">
      <x:c r="A36" s="11" t="str">
        <x:v>ACTION ITEMS</x:v>
      </x:c>
      <x:c r="B36" s="11"/>
      <x:c r="C36" s="11"/>
      <x:c r="D36" s="11"/>
      <x:c r="E36" s="11"/>
      <x:c r="F36" s="11"/>
      <x:c r="G36" s="11"/>
      <x:c r="H36" s="11"/>
    </x:row>
    <x:row r="37">
      <x:c r="A37" s="21" t="str">
        <x:v>Action required</x:v>
      </x:c>
      <x:c r="B37" s="21" t="str">
        <x:v>Owner</x:v>
      </x:c>
      <x:c r="C37" s="21" t="str">
        <x:v>Due date</x:v>
      </x:c>
      <x:c r="D37" s="21" t="str">
        <x:v>Evidence of completion</x:v>
      </x:c>
      <x:c r="E37" s="21" t="str">
        <x:v>Status</x:v>
      </x:c>
      <x:c r="F37" s="21" t="str">
        <x:v>Committee check</x:v>
      </x:c>
      <x:c r="G37" s="21" t="str">
        <x:v>Notes</x:v>
      </x:c>
    </x:row>
    <x:row r="38">
      <x:c r="A38" s="85" t="str"/>
      <x:c r="B38" s="86" t="str"/>
      <x:c r="C38" s="94" t="str"/>
      <x:c r="D38" s="86" t="str"/>
      <x:c r="E38" s="86" t="str">
        <x:v>Open</x:v>
      </x:c>
      <x:c r="F38" s="86" t="str"/>
      <x:c r="G38" s="87" t="str"/>
    </x:row>
    <x:row r="39">
      <x:c r="A39" s="88" t="str"/>
      <x:c r="B39" s="89" t="str"/>
      <x:c r="C39" s="95" t="str"/>
      <x:c r="D39" s="89" t="str"/>
      <x:c r="E39" s="89" t="str">
        <x:v>Open</x:v>
      </x:c>
      <x:c r="F39" s="89" t="str"/>
      <x:c r="G39" s="90" t="str"/>
    </x:row>
    <x:row r="40">
      <x:c r="A40" s="88" t="str"/>
      <x:c r="B40" s="89" t="str"/>
      <x:c r="C40" s="95" t="str"/>
      <x:c r="D40" s="89" t="str"/>
      <x:c r="E40" s="89" t="str">
        <x:v>Open</x:v>
      </x:c>
      <x:c r="F40" s="89" t="str"/>
      <x:c r="G40" s="90" t="str"/>
    </x:row>
    <x:row r="41">
      <x:c r="A41" s="88" t="str"/>
      <x:c r="B41" s="89" t="str"/>
      <x:c r="C41" s="95" t="str"/>
      <x:c r="D41" s="89" t="str"/>
      <x:c r="E41" s="89" t="str">
        <x:v>Open</x:v>
      </x:c>
      <x:c r="F41" s="89" t="str"/>
      <x:c r="G41" s="90" t="str"/>
    </x:row>
    <x:row r="42">
      <x:c r="A42" s="91" t="str"/>
      <x:c r="B42" s="92" t="str"/>
      <x:c r="C42" s="96" t="str"/>
      <x:c r="D42" s="92" t="str"/>
      <x:c r="E42" s="92" t="str">
        <x:v>Open</x:v>
      </x:c>
      <x:c r="F42" s="92" t="str"/>
      <x:c r="G42" s="93" t="str"/>
    </x:row>
    <x:row r="44" ht="32" customHeight="1">
      <x:c r="A44" s="107" t="str">
        <x:v>Approval requires one Approve vote from each of the four or five distinct members listed on the roster. A dual-role member votes once. Any Revise or Reject vote requires revision and a new meeting.</x:v>
      </x:c>
      <x:c r="B44" s="107"/>
      <x:c r="C44" s="107"/>
      <x:c r="D44" s="107"/>
      <x:c r="E44" s="107"/>
      <x:c r="F44" s="107"/>
      <x:c r="G44" s="107"/>
    </x:row>
  </x:sheetData>
  <x:mergeCells>
    <x:mergeCell ref="A1:H1"/>
    <x:mergeCell ref="A2:H2"/>
    <x:mergeCell ref="B4:C4"/>
    <x:mergeCell ref="B5:C5"/>
    <x:mergeCell ref="B6:C6"/>
    <x:mergeCell ref="E4:G4"/>
    <x:mergeCell ref="E5:G5"/>
    <x:mergeCell ref="E6:G6"/>
    <x:mergeCell ref="A8:H8"/>
    <x:mergeCell ref="B17:C17"/>
    <x:mergeCell ref="A19:H19"/>
    <x:mergeCell ref="A20:G20"/>
    <x:mergeCell ref="A21:G21"/>
    <x:mergeCell ref="A23:H23"/>
    <x:mergeCell ref="B30:C30"/>
    <x:mergeCell ref="A32:H32"/>
    <x:mergeCell ref="A33:G34"/>
    <x:mergeCell ref="A36:H36"/>
    <x:mergeCell ref="A44:G44"/>
  </x:mergeCells>
  <x:conditionalFormatting sqref="B30:C30">
    <x:cfRule type="containsText" dxfId="41" priority="1" operator="containsText" text="APPROVED"/>
    <x:cfRule type="containsText" dxfId="42" priority="2" operator="containsText" text="REVISION"/>
    <x:cfRule type="containsText" dxfId="43" priority="3" operator="containsText" text="INCOMPLETE"/>
  </x:conditionalFormatting>
  <x:dataValidations count="3">
    <x:dataValidation type="list" sqref="G10:G15">
      <x:formula1>"Not reviewed,Reviewed,Needs follow-up"</x:formula1>
    </x:dataValidation>
    <x:dataValidation type="list" sqref="C25:C29">
      <x:formula1>"Approve,Revise,Reject"</x:formula1>
    </x:dataValidation>
    <x:dataValidation type="list" sqref="E38:E42">
      <x:formula1>"Open,Complete"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24" hidden="0" customWidth="1"/>
    <x:col min="5" max="5" width="20" hidden="0" customWidth="1"/>
    <x:col min="6" max="6" width="18" hidden="0" customWidth="1"/>
    <x:col min="7" max="7" width="18" hidden="0" customWidth="1"/>
    <x:col min="8" max="8" width="4" hidden="0" customWidth="1"/>
  </x:cols>
  <x:sheetData>
    <x:row r="1" ht="34" customHeight="1">
      <x:c r="A1" s="3" t="str">
        <x:v>BUS331 Investment Committee — Phase 2 Decision Record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Build &amp; Challenge | All four or five members review and cast one vote each.</x:v>
      </x:c>
      <x:c r="B2" s="6"/>
      <x:c r="C2" s="6"/>
      <x:c r="D2" s="6"/>
      <x:c r="E2" s="6"/>
      <x:c r="F2" s="6"/>
      <x:c r="G2" s="6"/>
      <x:c r="H2" s="6"/>
    </x:row>
    <x:row r="4">
      <x:c r="A4" s="25" t="str">
        <x:v>Team / Committee Name</x:v>
      </x:c>
      <x:c r="B4" s="85"/>
      <x:c r="C4" s="87"/>
      <x:c r="D4" s="25" t="str">
        <x:v>Recorder</x:v>
      </x:c>
      <x:c r="E4" s="66"/>
      <x:c r="F4" s="113"/>
      <x:c r="G4" s="67"/>
    </x:row>
    <x:row r="5">
      <x:c r="A5" s="25" t="str">
        <x:v>Client name / case</x:v>
      </x:c>
      <x:c r="B5" s="88"/>
      <x:c r="C5" s="90"/>
      <x:c r="D5" s="25" t="str">
        <x:v>Gate</x:v>
      </x:c>
      <x:c r="E5" s="14" t="str">
        <x:v>Approve, revise, or reject Client 1 portfolio</x:v>
      </x:c>
      <x:c r="F5" s="14"/>
      <x:c r="G5" s="14"/>
    </x:row>
    <x:row r="6">
      <x:c r="A6" s="25" t="str">
        <x:v>Meeting Date</x:v>
      </x:c>
      <x:c r="B6" s="114"/>
      <x:c r="C6" s="115"/>
      <x:c r="D6" s="25" t="str">
        <x:v>Meeting Chair</x:v>
      </x:c>
      <x:c r="E6" s="66"/>
      <x:c r="F6" s="113"/>
      <x:c r="G6" s="67"/>
    </x:row>
    <x:row r="8" ht="23" customHeight="1">
      <x:c r="A8" s="11" t="str">
        <x:v>EVIDENCE REVIEWED</x:v>
      </x:c>
      <x:c r="B8" s="11"/>
      <x:c r="C8" s="11"/>
      <x:c r="D8" s="11"/>
      <x:c r="E8" s="11"/>
      <x:c r="F8" s="11"/>
      <x:c r="G8" s="11"/>
      <x:c r="H8" s="11"/>
    </x:row>
    <x:row r="9">
      <x:c r="A9" s="21" t="str">
        <x:v>Evidence item</x:v>
      </x:c>
      <x:c r="B9" s="21" t="str">
        <x:v>Location / file</x:v>
      </x:c>
      <x:c r="C9" s="21" t="str">
        <x:v>Source date</x:v>
      </x:c>
      <x:c r="D9" s="21" t="str">
        <x:v>Prepared by</x:v>
      </x:c>
      <x:c r="E9" s="21" t="str">
        <x:v>Reviewed by</x:v>
      </x:c>
      <x:c r="F9" s="21" t="str">
        <x:v>Key issue</x:v>
      </x:c>
      <x:c r="G9" s="21" t="str">
        <x:v>Review status</x:v>
      </x:c>
    </x:row>
    <x:row r="10">
      <x:c r="A10" s="85" t="str"/>
      <x:c r="B10" s="86" t="str"/>
      <x:c r="C10" s="94" t="str"/>
      <x:c r="D10" s="86" t="str"/>
      <x:c r="E10" s="86" t="str"/>
      <x:c r="F10" s="86" t="str"/>
      <x:c r="G10" s="87" t="str">
        <x:v>Not reviewed</x:v>
      </x:c>
    </x:row>
    <x:row r="11">
      <x:c r="A11" s="88" t="str"/>
      <x:c r="B11" s="89" t="str"/>
      <x:c r="C11" s="95" t="str"/>
      <x:c r="D11" s="89" t="str"/>
      <x:c r="E11" s="89" t="str"/>
      <x:c r="F11" s="89" t="str"/>
      <x:c r="G11" s="90" t="str">
        <x:v>Not reviewed</x:v>
      </x:c>
    </x:row>
    <x:row r="12">
      <x:c r="A12" s="88" t="str"/>
      <x:c r="B12" s="89" t="str"/>
      <x:c r="C12" s="95" t="str"/>
      <x:c r="D12" s="89" t="str"/>
      <x:c r="E12" s="89" t="str"/>
      <x:c r="F12" s="89" t="str"/>
      <x:c r="G12" s="90" t="str">
        <x:v>Not reviewed</x:v>
      </x:c>
    </x:row>
    <x:row r="13">
      <x:c r="A13" s="88" t="str"/>
      <x:c r="B13" s="89" t="str"/>
      <x:c r="C13" s="95" t="str"/>
      <x:c r="D13" s="89" t="str"/>
      <x:c r="E13" s="89" t="str"/>
      <x:c r="F13" s="89" t="str"/>
      <x:c r="G13" s="90" t="str">
        <x:v>Not reviewed</x:v>
      </x:c>
    </x:row>
    <x:row r="14">
      <x:c r="A14" s="88" t="str"/>
      <x:c r="B14" s="89" t="str"/>
      <x:c r="C14" s="95" t="str"/>
      <x:c r="D14" s="89" t="str"/>
      <x:c r="E14" s="89" t="str"/>
      <x:c r="F14" s="89" t="str"/>
      <x:c r="G14" s="90" t="str">
        <x:v>Not reviewed</x:v>
      </x:c>
    </x:row>
    <x:row r="15">
      <x:c r="A15" s="91" t="str"/>
      <x:c r="B15" s="92" t="str"/>
      <x:c r="C15" s="96" t="str"/>
      <x:c r="D15" s="92" t="str"/>
      <x:c r="E15" s="92" t="str"/>
      <x:c r="F15" s="92" t="str"/>
      <x:c r="G15" s="93" t="str">
        <x:v>Not reviewed</x:v>
      </x:c>
    </x:row>
    <x:row r="17">
      <x:c r="A17" s="25" t="str">
        <x:v>Evidence status</x:v>
      </x:c>
      <x:c r="B17" s="30" t="str">
        <x:f>IF(COUNTIF(G10:G15,"Reviewed")=6,"EVIDENCE COMPLETE","EVIDENCE INCOMPLETE")</x:f>
        <x:v>EVIDENCE INCOMPLETE</x:v>
      </x:c>
      <x:c r="C17" s="30"/>
    </x:row>
    <x:row r="19" ht="23" customHeight="1">
      <x:c r="A19" s="11" t="str">
        <x:v>MOTION</x:v>
      </x:c>
      <x:c r="B19" s="11"/>
      <x:c r="C19" s="11"/>
      <x:c r="D19" s="11"/>
      <x:c r="E19" s="11"/>
      <x:c r="F19" s="11"/>
      <x:c r="G19" s="11"/>
      <x:c r="H19" s="11"/>
    </x:row>
    <x:row r="20" ht="30" customHeight="1">
      <x:c r="A20" s="37" t="str">
        <x:v>Write the exact motion presented to the committee. It must name the recommendation, scope, and any conditions.</x:v>
      </x:c>
      <x:c r="B20" s="37"/>
      <x:c r="C20" s="37"/>
      <x:c r="D20" s="37"/>
      <x:c r="E20" s="37"/>
      <x:c r="F20" s="37"/>
      <x:c r="G20" s="37"/>
    </x:row>
    <x:row r="21" ht="42" customHeight="1">
      <x:c r="A21" s="66"/>
      <x:c r="B21" s="113"/>
      <x:c r="C21" s="113"/>
      <x:c r="D21" s="113"/>
      <x:c r="E21" s="113"/>
      <x:c r="F21" s="113"/>
      <x:c r="G21" s="67"/>
    </x:row>
    <x:row r="23" ht="23" customHeight="1">
      <x:c r="A23" s="11" t="str">
        <x:v>COMMITTEE VOTE</x:v>
      </x:c>
      <x:c r="B23" s="11"/>
      <x:c r="C23" s="11"/>
      <x:c r="D23" s="11"/>
      <x:c r="E23" s="11"/>
      <x:c r="F23" s="11"/>
      <x:c r="G23" s="11"/>
      <x:c r="H23" s="11"/>
    </x:row>
    <x:row r="24">
      <x:c r="A24" s="21" t="str">
        <x:v>Member slot</x:v>
      </x:c>
      <x:c r="B24" s="21" t="str">
        <x:v>Member name</x:v>
      </x:c>
      <x:c r="C24" s="21" t="str">
        <x:v>Vote</x:v>
      </x:c>
      <x:c r="D24" s="21" t="str">
        <x:v>Reservation / condition</x:v>
      </x:c>
      <x:c r="E24" s="21" t="str">
        <x:v>Evidence cited</x:v>
      </x:c>
      <x:c r="F24" s="21" t="str">
        <x:v>Initials</x:v>
      </x:c>
      <x:c r="G24" s="21" t="str">
        <x:v>Follow-up owner</x:v>
      </x:c>
    </x:row>
    <x:row r="25">
      <x:c r="A25" s="117" t="str">
        <x:v>Member 1</x:v>
      </x:c>
      <x:c r="B25" s="121" t="str">
        <x:f>IF('COMMITTEE ROSTER'!B18="","",'COMMITTEE ROSTER'!B18)</x:f>
      </x:c>
      <x:c r="C25" s="86" t="str"/>
      <x:c r="D25" s="86" t="str"/>
      <x:c r="E25" s="86" t="str"/>
      <x:c r="F25" s="86" t="str"/>
      <x:c r="G25" s="87" t="str"/>
    </x:row>
    <x:row r="26">
      <x:c r="A26" s="117" t="str">
        <x:v>Member 2</x:v>
      </x:c>
      <x:c r="B26" s="122" t="str">
        <x:f>IF('COMMITTEE ROSTER'!B19="","",'COMMITTEE ROSTER'!B19)</x:f>
      </x:c>
      <x:c r="C26" s="89" t="str"/>
      <x:c r="D26" s="89" t="str"/>
      <x:c r="E26" s="89" t="str"/>
      <x:c r="F26" s="89" t="str"/>
      <x:c r="G26" s="90" t="str"/>
    </x:row>
    <x:row r="27">
      <x:c r="A27" s="117" t="str">
        <x:v>Member 3</x:v>
      </x:c>
      <x:c r="B27" s="122" t="str">
        <x:f>IF('COMMITTEE ROSTER'!B20="","",'COMMITTEE ROSTER'!B20)</x:f>
      </x:c>
      <x:c r="C27" s="89" t="str"/>
      <x:c r="D27" s="89" t="str"/>
      <x:c r="E27" s="89" t="str"/>
      <x:c r="F27" s="89" t="str"/>
      <x:c r="G27" s="90" t="str"/>
    </x:row>
    <x:row r="28">
      <x:c r="A28" s="117" t="str">
        <x:v>Member 4</x:v>
      </x:c>
      <x:c r="B28" s="122" t="str">
        <x:f>IF('COMMITTEE ROSTER'!B21="","",'COMMITTEE ROSTER'!B21)</x:f>
      </x:c>
      <x:c r="C28" s="89" t="str"/>
      <x:c r="D28" s="89" t="str"/>
      <x:c r="E28" s="89" t="str"/>
      <x:c r="F28" s="89" t="str"/>
      <x:c r="G28" s="90" t="str"/>
    </x:row>
    <x:row r="29">
      <x:c r="A29" s="117" t="str">
        <x:v>Member 5</x:v>
      </x:c>
      <x:c r="B29" s="123" t="str">
        <x:f>IF('COMMITTEE ROSTER'!B22="","",'COMMITTEE ROSTER'!B22)</x:f>
      </x:c>
      <x:c r="C29" s="92" t="str"/>
      <x:c r="D29" s="92" t="str"/>
      <x:c r="E29" s="92" t="str"/>
      <x:c r="F29" s="92" t="str"/>
      <x:c r="G29" s="93" t="str"/>
    </x:row>
    <x:row r="30">
      <x:c r="A30" s="25" t="str">
        <x:v>Decision status</x:v>
      </x:c>
      <x:c r="B30" s="28" t="str">
        <x:f>IF('COMMITTEE ROSTER'!B23&lt;&gt;"READY","INCOMPLETE",IF(COUNTIF(C25:C29,"Revise")+COUNTIF(C25:C29,"Reject")&gt;0,"REVISION REQUIRED",IF(COUNTIF(C25:C29,"Approve")='COMMITTEE ROSTER'!E19,"APPROVED","INCOMPLETE")))</x:f>
        <x:v>INCOMPLETE</x:v>
      </x:c>
      <x:c r="C30" s="29"/>
    </x:row>
    <x:row r="32" ht="23" customHeight="1">
      <x:c r="A32" s="11" t="str">
        <x:v>DISSENT, RESERVATIONS &amp; CONDITIONS</x:v>
      </x:c>
      <x:c r="B32" s="11"/>
      <x:c r="C32" s="11"/>
      <x:c r="D32" s="11"/>
      <x:c r="E32" s="11"/>
      <x:c r="F32" s="11"/>
      <x:c r="G32" s="11"/>
      <x:c r="H32" s="11"/>
    </x:row>
    <x:row r="33" ht="34" customHeight="1">
      <x:c r="A33" s="85"/>
      <x:c r="B33" s="86"/>
      <x:c r="C33" s="86"/>
      <x:c r="D33" s="86"/>
      <x:c r="E33" s="86"/>
      <x:c r="F33" s="86"/>
      <x:c r="G33" s="87"/>
    </x:row>
    <x:row r="34" ht="34" customHeight="1">
      <x:c r="A34" s="91"/>
      <x:c r="B34" s="92"/>
      <x:c r="C34" s="92"/>
      <x:c r="D34" s="92"/>
      <x:c r="E34" s="92"/>
      <x:c r="F34" s="92"/>
      <x:c r="G34" s="93"/>
    </x:row>
    <x:row r="36" ht="23" customHeight="1">
      <x:c r="A36" s="11" t="str">
        <x:v>ACTION ITEMS</x:v>
      </x:c>
      <x:c r="B36" s="11"/>
      <x:c r="C36" s="11"/>
      <x:c r="D36" s="11"/>
      <x:c r="E36" s="11"/>
      <x:c r="F36" s="11"/>
      <x:c r="G36" s="11"/>
      <x:c r="H36" s="11"/>
    </x:row>
    <x:row r="37">
      <x:c r="A37" s="21" t="str">
        <x:v>Action required</x:v>
      </x:c>
      <x:c r="B37" s="21" t="str">
        <x:v>Owner</x:v>
      </x:c>
      <x:c r="C37" s="21" t="str">
        <x:v>Due date</x:v>
      </x:c>
      <x:c r="D37" s="21" t="str">
        <x:v>Evidence of completion</x:v>
      </x:c>
      <x:c r="E37" s="21" t="str">
        <x:v>Status</x:v>
      </x:c>
      <x:c r="F37" s="21" t="str">
        <x:v>Committee check</x:v>
      </x:c>
      <x:c r="G37" s="21" t="str">
        <x:v>Notes</x:v>
      </x:c>
    </x:row>
    <x:row r="38">
      <x:c r="A38" s="85" t="str"/>
      <x:c r="B38" s="86" t="str"/>
      <x:c r="C38" s="94" t="str"/>
      <x:c r="D38" s="86" t="str"/>
      <x:c r="E38" s="86" t="str">
        <x:v>Open</x:v>
      </x:c>
      <x:c r="F38" s="86" t="str"/>
      <x:c r="G38" s="87" t="str"/>
    </x:row>
    <x:row r="39">
      <x:c r="A39" s="88" t="str"/>
      <x:c r="B39" s="89" t="str"/>
      <x:c r="C39" s="95" t="str"/>
      <x:c r="D39" s="89" t="str"/>
      <x:c r="E39" s="89" t="str">
        <x:v>Open</x:v>
      </x:c>
      <x:c r="F39" s="89" t="str"/>
      <x:c r="G39" s="90" t="str"/>
    </x:row>
    <x:row r="40">
      <x:c r="A40" s="88" t="str"/>
      <x:c r="B40" s="89" t="str"/>
      <x:c r="C40" s="95" t="str"/>
      <x:c r="D40" s="89" t="str"/>
      <x:c r="E40" s="89" t="str">
        <x:v>Open</x:v>
      </x:c>
      <x:c r="F40" s="89" t="str"/>
      <x:c r="G40" s="90" t="str"/>
    </x:row>
    <x:row r="41">
      <x:c r="A41" s="88" t="str"/>
      <x:c r="B41" s="89" t="str"/>
      <x:c r="C41" s="95" t="str"/>
      <x:c r="D41" s="89" t="str"/>
      <x:c r="E41" s="89" t="str">
        <x:v>Open</x:v>
      </x:c>
      <x:c r="F41" s="89" t="str"/>
      <x:c r="G41" s="90" t="str"/>
    </x:row>
    <x:row r="42">
      <x:c r="A42" s="91" t="str"/>
      <x:c r="B42" s="92" t="str"/>
      <x:c r="C42" s="96" t="str"/>
      <x:c r="D42" s="92" t="str"/>
      <x:c r="E42" s="92" t="str">
        <x:v>Open</x:v>
      </x:c>
      <x:c r="F42" s="92" t="str"/>
      <x:c r="G42" s="93" t="str"/>
    </x:row>
    <x:row r="44" ht="32" customHeight="1">
      <x:c r="A44" s="107" t="str">
        <x:v>Approval requires one Approve vote from each of the four or five distinct members listed on the roster. A dual-role member votes once. Any Revise or Reject vote requires revision and a new meeting.</x:v>
      </x:c>
      <x:c r="B44" s="107"/>
      <x:c r="C44" s="107"/>
      <x:c r="D44" s="107"/>
      <x:c r="E44" s="107"/>
      <x:c r="F44" s="107"/>
      <x:c r="G44" s="107"/>
    </x:row>
  </x:sheetData>
  <x:mergeCells>
    <x:mergeCell ref="A1:H1"/>
    <x:mergeCell ref="A2:H2"/>
    <x:mergeCell ref="B4:C4"/>
    <x:mergeCell ref="B5:C5"/>
    <x:mergeCell ref="B6:C6"/>
    <x:mergeCell ref="E4:G4"/>
    <x:mergeCell ref="E5:G5"/>
    <x:mergeCell ref="E6:G6"/>
    <x:mergeCell ref="A8:H8"/>
    <x:mergeCell ref="B17:C17"/>
    <x:mergeCell ref="A19:H19"/>
    <x:mergeCell ref="A20:G20"/>
    <x:mergeCell ref="A21:G21"/>
    <x:mergeCell ref="A23:H23"/>
    <x:mergeCell ref="B30:C30"/>
    <x:mergeCell ref="A32:H32"/>
    <x:mergeCell ref="A33:G34"/>
    <x:mergeCell ref="A36:H36"/>
    <x:mergeCell ref="A44:G44"/>
  </x:mergeCells>
  <x:conditionalFormatting sqref="B30:C30">
    <x:cfRule type="containsText" dxfId="44" priority="1" operator="containsText" text="APPROVED"/>
    <x:cfRule type="containsText" dxfId="45" priority="2" operator="containsText" text="REVISION"/>
    <x:cfRule type="containsText" dxfId="46" priority="3" operator="containsText" text="INCOMPLETE"/>
  </x:conditionalFormatting>
  <x:dataValidations count="3">
    <x:dataValidation type="list" sqref="G10:G15">
      <x:formula1>"Not reviewed,Reviewed,Needs follow-up"</x:formula1>
    </x:dataValidation>
    <x:dataValidation type="list" sqref="C25:C29">
      <x:formula1>"Approve,Revise,Reject"</x:formula1>
    </x:dataValidation>
    <x:dataValidation type="list" sqref="E38:E42">
      <x:formula1>"Open,Complete"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24" hidden="0" customWidth="1"/>
    <x:col min="5" max="5" width="20" hidden="0" customWidth="1"/>
    <x:col min="6" max="6" width="18" hidden="0" customWidth="1"/>
    <x:col min="7" max="7" width="18" hidden="0" customWidth="1"/>
    <x:col min="8" max="8" width="4" hidden="0" customWidth="1"/>
  </x:cols>
  <x:sheetData>
    <x:row r="1" ht="34" customHeight="1">
      <x:c r="A1" s="3" t="str">
        <x:v>BUS331 Investment Committee — Phase 2 Decision Record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Build &amp; Challenge | All four or five members review and cast one vote each.</x:v>
      </x:c>
      <x:c r="B2" s="6"/>
      <x:c r="C2" s="6"/>
      <x:c r="D2" s="6"/>
      <x:c r="E2" s="6"/>
      <x:c r="F2" s="6"/>
      <x:c r="G2" s="6"/>
      <x:c r="H2" s="6"/>
    </x:row>
    <x:row r="4">
      <x:c r="A4" s="25" t="str">
        <x:v>Team / Committee Name</x:v>
      </x:c>
      <x:c r="B4" s="85"/>
      <x:c r="C4" s="87"/>
      <x:c r="D4" s="25" t="str">
        <x:v>Recorder</x:v>
      </x:c>
      <x:c r="E4" s="66"/>
      <x:c r="F4" s="113"/>
      <x:c r="G4" s="67"/>
    </x:row>
    <x:row r="5">
      <x:c r="A5" s="25" t="str">
        <x:v>Client name / case</x:v>
      </x:c>
      <x:c r="B5" s="88"/>
      <x:c r="C5" s="90"/>
      <x:c r="D5" s="25" t="str">
        <x:v>Gate</x:v>
      </x:c>
      <x:c r="E5" s="14" t="str">
        <x:v>Approve, revise, or reject Client 2 portfolio</x:v>
      </x:c>
      <x:c r="F5" s="14"/>
      <x:c r="G5" s="14"/>
    </x:row>
    <x:row r="6">
      <x:c r="A6" s="25" t="str">
        <x:v>Meeting Date</x:v>
      </x:c>
      <x:c r="B6" s="114"/>
      <x:c r="C6" s="115"/>
      <x:c r="D6" s="25" t="str">
        <x:v>Meeting Chair</x:v>
      </x:c>
      <x:c r="E6" s="66"/>
      <x:c r="F6" s="113"/>
      <x:c r="G6" s="67"/>
    </x:row>
    <x:row r="8" ht="23" customHeight="1">
      <x:c r="A8" s="11" t="str">
        <x:v>EVIDENCE REVIEWED</x:v>
      </x:c>
      <x:c r="B8" s="11"/>
      <x:c r="C8" s="11"/>
      <x:c r="D8" s="11"/>
      <x:c r="E8" s="11"/>
      <x:c r="F8" s="11"/>
      <x:c r="G8" s="11"/>
      <x:c r="H8" s="11"/>
    </x:row>
    <x:row r="9">
      <x:c r="A9" s="21" t="str">
        <x:v>Evidence item</x:v>
      </x:c>
      <x:c r="B9" s="21" t="str">
        <x:v>Location / file</x:v>
      </x:c>
      <x:c r="C9" s="21" t="str">
        <x:v>Source date</x:v>
      </x:c>
      <x:c r="D9" s="21" t="str">
        <x:v>Prepared by</x:v>
      </x:c>
      <x:c r="E9" s="21" t="str">
        <x:v>Reviewed by</x:v>
      </x:c>
      <x:c r="F9" s="21" t="str">
        <x:v>Key issue</x:v>
      </x:c>
      <x:c r="G9" s="21" t="str">
        <x:v>Review status</x:v>
      </x:c>
    </x:row>
    <x:row r="10">
      <x:c r="A10" s="85" t="str"/>
      <x:c r="B10" s="86" t="str"/>
      <x:c r="C10" s="94" t="str"/>
      <x:c r="D10" s="86" t="str"/>
      <x:c r="E10" s="86" t="str"/>
      <x:c r="F10" s="86" t="str"/>
      <x:c r="G10" s="87" t="str">
        <x:v>Not reviewed</x:v>
      </x:c>
    </x:row>
    <x:row r="11">
      <x:c r="A11" s="88" t="str"/>
      <x:c r="B11" s="89" t="str"/>
      <x:c r="C11" s="95" t="str"/>
      <x:c r="D11" s="89" t="str"/>
      <x:c r="E11" s="89" t="str"/>
      <x:c r="F11" s="89" t="str"/>
      <x:c r="G11" s="90" t="str">
        <x:v>Not reviewed</x:v>
      </x:c>
    </x:row>
    <x:row r="12">
      <x:c r="A12" s="88" t="str"/>
      <x:c r="B12" s="89" t="str"/>
      <x:c r="C12" s="95" t="str"/>
      <x:c r="D12" s="89" t="str"/>
      <x:c r="E12" s="89" t="str"/>
      <x:c r="F12" s="89" t="str"/>
      <x:c r="G12" s="90" t="str">
        <x:v>Not reviewed</x:v>
      </x:c>
    </x:row>
    <x:row r="13">
      <x:c r="A13" s="88" t="str"/>
      <x:c r="B13" s="89" t="str"/>
      <x:c r="C13" s="95" t="str"/>
      <x:c r="D13" s="89" t="str"/>
      <x:c r="E13" s="89" t="str"/>
      <x:c r="F13" s="89" t="str"/>
      <x:c r="G13" s="90" t="str">
        <x:v>Not reviewed</x:v>
      </x:c>
    </x:row>
    <x:row r="14">
      <x:c r="A14" s="88" t="str"/>
      <x:c r="B14" s="89" t="str"/>
      <x:c r="C14" s="95" t="str"/>
      <x:c r="D14" s="89" t="str"/>
      <x:c r="E14" s="89" t="str"/>
      <x:c r="F14" s="89" t="str"/>
      <x:c r="G14" s="90" t="str">
        <x:v>Not reviewed</x:v>
      </x:c>
    </x:row>
    <x:row r="15">
      <x:c r="A15" s="91" t="str"/>
      <x:c r="B15" s="92" t="str"/>
      <x:c r="C15" s="96" t="str"/>
      <x:c r="D15" s="92" t="str"/>
      <x:c r="E15" s="92" t="str"/>
      <x:c r="F15" s="92" t="str"/>
      <x:c r="G15" s="93" t="str">
        <x:v>Not reviewed</x:v>
      </x:c>
    </x:row>
    <x:row r="17">
      <x:c r="A17" s="25" t="str">
        <x:v>Evidence status</x:v>
      </x:c>
      <x:c r="B17" s="30" t="str">
        <x:f>IF(COUNTIF(G10:G15,"Reviewed")=6,"EVIDENCE COMPLETE","EVIDENCE INCOMPLETE")</x:f>
        <x:v>EVIDENCE INCOMPLETE</x:v>
      </x:c>
      <x:c r="C17" s="30"/>
    </x:row>
    <x:row r="19" ht="23" customHeight="1">
      <x:c r="A19" s="11" t="str">
        <x:v>MOTION</x:v>
      </x:c>
      <x:c r="B19" s="11"/>
      <x:c r="C19" s="11"/>
      <x:c r="D19" s="11"/>
      <x:c r="E19" s="11"/>
      <x:c r="F19" s="11"/>
      <x:c r="G19" s="11"/>
      <x:c r="H19" s="11"/>
    </x:row>
    <x:row r="20" ht="30" customHeight="1">
      <x:c r="A20" s="37" t="str">
        <x:v>Write the exact motion presented to the committee. It must name the recommendation, scope, and any conditions.</x:v>
      </x:c>
      <x:c r="B20" s="37"/>
      <x:c r="C20" s="37"/>
      <x:c r="D20" s="37"/>
      <x:c r="E20" s="37"/>
      <x:c r="F20" s="37"/>
      <x:c r="G20" s="37"/>
    </x:row>
    <x:row r="21" ht="42" customHeight="1">
      <x:c r="A21" s="66"/>
      <x:c r="B21" s="113"/>
      <x:c r="C21" s="113"/>
      <x:c r="D21" s="113"/>
      <x:c r="E21" s="113"/>
      <x:c r="F21" s="113"/>
      <x:c r="G21" s="67"/>
    </x:row>
    <x:row r="23" ht="23" customHeight="1">
      <x:c r="A23" s="11" t="str">
        <x:v>COMMITTEE VOTE</x:v>
      </x:c>
      <x:c r="B23" s="11"/>
      <x:c r="C23" s="11"/>
      <x:c r="D23" s="11"/>
      <x:c r="E23" s="11"/>
      <x:c r="F23" s="11"/>
      <x:c r="G23" s="11"/>
      <x:c r="H23" s="11"/>
    </x:row>
    <x:row r="24">
      <x:c r="A24" s="21" t="str">
        <x:v>Member slot</x:v>
      </x:c>
      <x:c r="B24" s="21" t="str">
        <x:v>Member name</x:v>
      </x:c>
      <x:c r="C24" s="21" t="str">
        <x:v>Vote</x:v>
      </x:c>
      <x:c r="D24" s="21" t="str">
        <x:v>Reservation / condition</x:v>
      </x:c>
      <x:c r="E24" s="21" t="str">
        <x:v>Evidence cited</x:v>
      </x:c>
      <x:c r="F24" s="21" t="str">
        <x:v>Initials</x:v>
      </x:c>
      <x:c r="G24" s="21" t="str">
        <x:v>Follow-up owner</x:v>
      </x:c>
    </x:row>
    <x:row r="25">
      <x:c r="A25" s="117" t="str">
        <x:v>Member 1</x:v>
      </x:c>
      <x:c r="B25" s="121" t="str">
        <x:f>IF('COMMITTEE ROSTER'!B18="","",'COMMITTEE ROSTER'!B18)</x:f>
      </x:c>
      <x:c r="C25" s="86" t="str"/>
      <x:c r="D25" s="86" t="str"/>
      <x:c r="E25" s="86" t="str"/>
      <x:c r="F25" s="86" t="str"/>
      <x:c r="G25" s="87" t="str"/>
    </x:row>
    <x:row r="26">
      <x:c r="A26" s="117" t="str">
        <x:v>Member 2</x:v>
      </x:c>
      <x:c r="B26" s="122" t="str">
        <x:f>IF('COMMITTEE ROSTER'!B19="","",'COMMITTEE ROSTER'!B19)</x:f>
      </x:c>
      <x:c r="C26" s="89" t="str"/>
      <x:c r="D26" s="89" t="str"/>
      <x:c r="E26" s="89" t="str"/>
      <x:c r="F26" s="89" t="str"/>
      <x:c r="G26" s="90" t="str"/>
    </x:row>
    <x:row r="27">
      <x:c r="A27" s="117" t="str">
        <x:v>Member 3</x:v>
      </x:c>
      <x:c r="B27" s="122" t="str">
        <x:f>IF('COMMITTEE ROSTER'!B20="","",'COMMITTEE ROSTER'!B20)</x:f>
      </x:c>
      <x:c r="C27" s="89" t="str"/>
      <x:c r="D27" s="89" t="str"/>
      <x:c r="E27" s="89" t="str"/>
      <x:c r="F27" s="89" t="str"/>
      <x:c r="G27" s="90" t="str"/>
    </x:row>
    <x:row r="28">
      <x:c r="A28" s="117" t="str">
        <x:v>Member 4</x:v>
      </x:c>
      <x:c r="B28" s="122" t="str">
        <x:f>IF('COMMITTEE ROSTER'!B21="","",'COMMITTEE ROSTER'!B21)</x:f>
      </x:c>
      <x:c r="C28" s="89" t="str"/>
      <x:c r="D28" s="89" t="str"/>
      <x:c r="E28" s="89" t="str"/>
      <x:c r="F28" s="89" t="str"/>
      <x:c r="G28" s="90" t="str"/>
    </x:row>
    <x:row r="29">
      <x:c r="A29" s="117" t="str">
        <x:v>Member 5</x:v>
      </x:c>
      <x:c r="B29" s="123" t="str">
        <x:f>IF('COMMITTEE ROSTER'!B22="","",'COMMITTEE ROSTER'!B22)</x:f>
      </x:c>
      <x:c r="C29" s="92" t="str"/>
      <x:c r="D29" s="92" t="str"/>
      <x:c r="E29" s="92" t="str"/>
      <x:c r="F29" s="92" t="str"/>
      <x:c r="G29" s="93" t="str"/>
    </x:row>
    <x:row r="30">
      <x:c r="A30" s="25" t="str">
        <x:v>Decision status</x:v>
      </x:c>
      <x:c r="B30" s="28" t="str">
        <x:f>IF('COMMITTEE ROSTER'!B23&lt;&gt;"READY","INCOMPLETE",IF(COUNTIF(C25:C29,"Revise")+COUNTIF(C25:C29,"Reject")&gt;0,"REVISION REQUIRED",IF(COUNTIF(C25:C29,"Approve")='COMMITTEE ROSTER'!E19,"APPROVED","INCOMPLETE")))</x:f>
        <x:v>INCOMPLETE</x:v>
      </x:c>
      <x:c r="C30" s="29"/>
    </x:row>
    <x:row r="32" ht="23" customHeight="1">
      <x:c r="A32" s="11" t="str">
        <x:v>DISSENT, RESERVATIONS &amp; CONDITIONS</x:v>
      </x:c>
      <x:c r="B32" s="11"/>
      <x:c r="C32" s="11"/>
      <x:c r="D32" s="11"/>
      <x:c r="E32" s="11"/>
      <x:c r="F32" s="11"/>
      <x:c r="G32" s="11"/>
      <x:c r="H32" s="11"/>
    </x:row>
    <x:row r="33" ht="34" customHeight="1">
      <x:c r="A33" s="85"/>
      <x:c r="B33" s="86"/>
      <x:c r="C33" s="86"/>
      <x:c r="D33" s="86"/>
      <x:c r="E33" s="86"/>
      <x:c r="F33" s="86"/>
      <x:c r="G33" s="87"/>
    </x:row>
    <x:row r="34" ht="34" customHeight="1">
      <x:c r="A34" s="91"/>
      <x:c r="B34" s="92"/>
      <x:c r="C34" s="92"/>
      <x:c r="D34" s="92"/>
      <x:c r="E34" s="92"/>
      <x:c r="F34" s="92"/>
      <x:c r="G34" s="93"/>
    </x:row>
    <x:row r="36" ht="23" customHeight="1">
      <x:c r="A36" s="11" t="str">
        <x:v>ACTION ITEMS</x:v>
      </x:c>
      <x:c r="B36" s="11"/>
      <x:c r="C36" s="11"/>
      <x:c r="D36" s="11"/>
      <x:c r="E36" s="11"/>
      <x:c r="F36" s="11"/>
      <x:c r="G36" s="11"/>
      <x:c r="H36" s="11"/>
    </x:row>
    <x:row r="37">
      <x:c r="A37" s="21" t="str">
        <x:v>Action required</x:v>
      </x:c>
      <x:c r="B37" s="21" t="str">
        <x:v>Owner</x:v>
      </x:c>
      <x:c r="C37" s="21" t="str">
        <x:v>Due date</x:v>
      </x:c>
      <x:c r="D37" s="21" t="str">
        <x:v>Evidence of completion</x:v>
      </x:c>
      <x:c r="E37" s="21" t="str">
        <x:v>Status</x:v>
      </x:c>
      <x:c r="F37" s="21" t="str">
        <x:v>Committee check</x:v>
      </x:c>
      <x:c r="G37" s="21" t="str">
        <x:v>Notes</x:v>
      </x:c>
    </x:row>
    <x:row r="38">
      <x:c r="A38" s="85" t="str"/>
      <x:c r="B38" s="86" t="str"/>
      <x:c r="C38" s="94" t="str"/>
      <x:c r="D38" s="86" t="str"/>
      <x:c r="E38" s="86" t="str">
        <x:v>Open</x:v>
      </x:c>
      <x:c r="F38" s="86" t="str"/>
      <x:c r="G38" s="87" t="str"/>
    </x:row>
    <x:row r="39">
      <x:c r="A39" s="88" t="str"/>
      <x:c r="B39" s="89" t="str"/>
      <x:c r="C39" s="95" t="str"/>
      <x:c r="D39" s="89" t="str"/>
      <x:c r="E39" s="89" t="str">
        <x:v>Open</x:v>
      </x:c>
      <x:c r="F39" s="89" t="str"/>
      <x:c r="G39" s="90" t="str"/>
    </x:row>
    <x:row r="40">
      <x:c r="A40" s="88" t="str"/>
      <x:c r="B40" s="89" t="str"/>
      <x:c r="C40" s="95" t="str"/>
      <x:c r="D40" s="89" t="str"/>
      <x:c r="E40" s="89" t="str">
        <x:v>Open</x:v>
      </x:c>
      <x:c r="F40" s="89" t="str"/>
      <x:c r="G40" s="90" t="str"/>
    </x:row>
    <x:row r="41">
      <x:c r="A41" s="88" t="str"/>
      <x:c r="B41" s="89" t="str"/>
      <x:c r="C41" s="95" t="str"/>
      <x:c r="D41" s="89" t="str"/>
      <x:c r="E41" s="89" t="str">
        <x:v>Open</x:v>
      </x:c>
      <x:c r="F41" s="89" t="str"/>
      <x:c r="G41" s="90" t="str"/>
    </x:row>
    <x:row r="42">
      <x:c r="A42" s="91" t="str"/>
      <x:c r="B42" s="92" t="str"/>
      <x:c r="C42" s="96" t="str"/>
      <x:c r="D42" s="92" t="str"/>
      <x:c r="E42" s="92" t="str">
        <x:v>Open</x:v>
      </x:c>
      <x:c r="F42" s="92" t="str"/>
      <x:c r="G42" s="93" t="str"/>
    </x:row>
    <x:row r="44" ht="32" customHeight="1">
      <x:c r="A44" s="107" t="str">
        <x:v>Approval requires one Approve vote from each of the four or five distinct members listed on the roster. A dual-role member votes once. Any Revise or Reject vote requires revision and a new meeting.</x:v>
      </x:c>
      <x:c r="B44" s="107"/>
      <x:c r="C44" s="107"/>
      <x:c r="D44" s="107"/>
      <x:c r="E44" s="107"/>
      <x:c r="F44" s="107"/>
      <x:c r="G44" s="107"/>
    </x:row>
  </x:sheetData>
  <x:mergeCells>
    <x:mergeCell ref="A1:H1"/>
    <x:mergeCell ref="A2:H2"/>
    <x:mergeCell ref="B4:C4"/>
    <x:mergeCell ref="B5:C5"/>
    <x:mergeCell ref="B6:C6"/>
    <x:mergeCell ref="E4:G4"/>
    <x:mergeCell ref="E5:G5"/>
    <x:mergeCell ref="E6:G6"/>
    <x:mergeCell ref="A8:H8"/>
    <x:mergeCell ref="B17:C17"/>
    <x:mergeCell ref="A19:H19"/>
    <x:mergeCell ref="A20:G20"/>
    <x:mergeCell ref="A21:G21"/>
    <x:mergeCell ref="A23:H23"/>
    <x:mergeCell ref="B30:C30"/>
    <x:mergeCell ref="A32:H32"/>
    <x:mergeCell ref="A33:G34"/>
    <x:mergeCell ref="A36:H36"/>
    <x:mergeCell ref="A44:G44"/>
  </x:mergeCells>
  <x:conditionalFormatting sqref="B30:C30">
    <x:cfRule type="containsText" dxfId="47" priority="1" operator="containsText" text="APPROVED"/>
    <x:cfRule type="containsText" dxfId="48" priority="2" operator="containsText" text="REVISION"/>
    <x:cfRule type="containsText" dxfId="49" priority="3" operator="containsText" text="INCOMPLETE"/>
  </x:conditionalFormatting>
  <x:dataValidations count="3">
    <x:dataValidation type="list" sqref="G10:G15">
      <x:formula1>"Not reviewed,Reviewed,Needs follow-up"</x:formula1>
    </x:dataValidation>
    <x:dataValidation type="list" sqref="C25:C29">
      <x:formula1>"Approve,Revise,Reject"</x:formula1>
    </x:dataValidation>
    <x:dataValidation type="list" sqref="E38:E42">
      <x:formula1>"Open,Complete"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24" hidden="0" customWidth="1"/>
    <x:col min="5" max="5" width="20" hidden="0" customWidth="1"/>
    <x:col min="6" max="6" width="18" hidden="0" customWidth="1"/>
    <x:col min="7" max="7" width="18" hidden="0" customWidth="1"/>
    <x:col min="8" max="8" width="4" hidden="0" customWidth="1"/>
  </x:cols>
  <x:sheetData>
    <x:row r="1" ht="34" customHeight="1">
      <x:c r="A1" s="3" t="str">
        <x:v>BUS331 Investment Committee — Phase 2 Decision Record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Build &amp; Challenge | All four or five members review and cast one vote each.</x:v>
      </x:c>
      <x:c r="B2" s="6"/>
      <x:c r="C2" s="6"/>
      <x:c r="D2" s="6"/>
      <x:c r="E2" s="6"/>
      <x:c r="F2" s="6"/>
      <x:c r="G2" s="6"/>
      <x:c r="H2" s="6"/>
    </x:row>
    <x:row r="4">
      <x:c r="A4" s="25" t="str">
        <x:v>Team / Committee Name</x:v>
      </x:c>
      <x:c r="B4" s="85"/>
      <x:c r="C4" s="87"/>
      <x:c r="D4" s="25" t="str">
        <x:v>Recorder</x:v>
      </x:c>
      <x:c r="E4" s="66"/>
      <x:c r="F4" s="113"/>
      <x:c r="G4" s="67"/>
    </x:row>
    <x:row r="5">
      <x:c r="A5" s="25" t="str">
        <x:v>Client name / case</x:v>
      </x:c>
      <x:c r="B5" s="88"/>
      <x:c r="C5" s="90"/>
      <x:c r="D5" s="25" t="str">
        <x:v>Gate</x:v>
      </x:c>
      <x:c r="E5" s="14" t="str">
        <x:v>Approve, revise, or reject Client 3 portfolio</x:v>
      </x:c>
      <x:c r="F5" s="14"/>
      <x:c r="G5" s="14"/>
    </x:row>
    <x:row r="6">
      <x:c r="A6" s="25" t="str">
        <x:v>Meeting Date</x:v>
      </x:c>
      <x:c r="B6" s="114"/>
      <x:c r="C6" s="115"/>
      <x:c r="D6" s="25" t="str">
        <x:v>Meeting Chair</x:v>
      </x:c>
      <x:c r="E6" s="66"/>
      <x:c r="F6" s="113"/>
      <x:c r="G6" s="67"/>
    </x:row>
    <x:row r="8" ht="23" customHeight="1">
      <x:c r="A8" s="11" t="str">
        <x:v>EVIDENCE REVIEWED</x:v>
      </x:c>
      <x:c r="B8" s="11"/>
      <x:c r="C8" s="11"/>
      <x:c r="D8" s="11"/>
      <x:c r="E8" s="11"/>
      <x:c r="F8" s="11"/>
      <x:c r="G8" s="11"/>
      <x:c r="H8" s="11"/>
    </x:row>
    <x:row r="9">
      <x:c r="A9" s="21" t="str">
        <x:v>Evidence item</x:v>
      </x:c>
      <x:c r="B9" s="21" t="str">
        <x:v>Location / file</x:v>
      </x:c>
      <x:c r="C9" s="21" t="str">
        <x:v>Source date</x:v>
      </x:c>
      <x:c r="D9" s="21" t="str">
        <x:v>Prepared by</x:v>
      </x:c>
      <x:c r="E9" s="21" t="str">
        <x:v>Reviewed by</x:v>
      </x:c>
      <x:c r="F9" s="21" t="str">
        <x:v>Key issue</x:v>
      </x:c>
      <x:c r="G9" s="21" t="str">
        <x:v>Review status</x:v>
      </x:c>
    </x:row>
    <x:row r="10">
      <x:c r="A10" s="85" t="str"/>
      <x:c r="B10" s="86" t="str"/>
      <x:c r="C10" s="94" t="str"/>
      <x:c r="D10" s="86" t="str"/>
      <x:c r="E10" s="86" t="str"/>
      <x:c r="F10" s="86" t="str"/>
      <x:c r="G10" s="87" t="str">
        <x:v>Not reviewed</x:v>
      </x:c>
    </x:row>
    <x:row r="11">
      <x:c r="A11" s="88" t="str"/>
      <x:c r="B11" s="89" t="str"/>
      <x:c r="C11" s="95" t="str"/>
      <x:c r="D11" s="89" t="str"/>
      <x:c r="E11" s="89" t="str"/>
      <x:c r="F11" s="89" t="str"/>
      <x:c r="G11" s="90" t="str">
        <x:v>Not reviewed</x:v>
      </x:c>
    </x:row>
    <x:row r="12">
      <x:c r="A12" s="88" t="str"/>
      <x:c r="B12" s="89" t="str"/>
      <x:c r="C12" s="95" t="str"/>
      <x:c r="D12" s="89" t="str"/>
      <x:c r="E12" s="89" t="str"/>
      <x:c r="F12" s="89" t="str"/>
      <x:c r="G12" s="90" t="str">
        <x:v>Not reviewed</x:v>
      </x:c>
    </x:row>
    <x:row r="13">
      <x:c r="A13" s="88" t="str"/>
      <x:c r="B13" s="89" t="str"/>
      <x:c r="C13" s="95" t="str"/>
      <x:c r="D13" s="89" t="str"/>
      <x:c r="E13" s="89" t="str"/>
      <x:c r="F13" s="89" t="str"/>
      <x:c r="G13" s="90" t="str">
        <x:v>Not reviewed</x:v>
      </x:c>
    </x:row>
    <x:row r="14">
      <x:c r="A14" s="88" t="str"/>
      <x:c r="B14" s="89" t="str"/>
      <x:c r="C14" s="95" t="str"/>
      <x:c r="D14" s="89" t="str"/>
      <x:c r="E14" s="89" t="str"/>
      <x:c r="F14" s="89" t="str"/>
      <x:c r="G14" s="90" t="str">
        <x:v>Not reviewed</x:v>
      </x:c>
    </x:row>
    <x:row r="15">
      <x:c r="A15" s="91" t="str"/>
      <x:c r="B15" s="92" t="str"/>
      <x:c r="C15" s="96" t="str"/>
      <x:c r="D15" s="92" t="str"/>
      <x:c r="E15" s="92" t="str"/>
      <x:c r="F15" s="92" t="str"/>
      <x:c r="G15" s="93" t="str">
        <x:v>Not reviewed</x:v>
      </x:c>
    </x:row>
    <x:row r="17">
      <x:c r="A17" s="25" t="str">
        <x:v>Evidence status</x:v>
      </x:c>
      <x:c r="B17" s="30" t="str">
        <x:f>IF(COUNTIF(G10:G15,"Reviewed")=6,"EVIDENCE COMPLETE","EVIDENCE INCOMPLETE")</x:f>
        <x:v>EVIDENCE INCOMPLETE</x:v>
      </x:c>
      <x:c r="C17" s="30"/>
    </x:row>
    <x:row r="19" ht="23" customHeight="1">
      <x:c r="A19" s="11" t="str">
        <x:v>MOTION</x:v>
      </x:c>
      <x:c r="B19" s="11"/>
      <x:c r="C19" s="11"/>
      <x:c r="D19" s="11"/>
      <x:c r="E19" s="11"/>
      <x:c r="F19" s="11"/>
      <x:c r="G19" s="11"/>
      <x:c r="H19" s="11"/>
    </x:row>
    <x:row r="20" ht="30" customHeight="1">
      <x:c r="A20" s="37" t="str">
        <x:v>Write the exact motion presented to the committee. It must name the recommendation, scope, and any conditions.</x:v>
      </x:c>
      <x:c r="B20" s="37"/>
      <x:c r="C20" s="37"/>
      <x:c r="D20" s="37"/>
      <x:c r="E20" s="37"/>
      <x:c r="F20" s="37"/>
      <x:c r="G20" s="37"/>
    </x:row>
    <x:row r="21" ht="42" customHeight="1">
      <x:c r="A21" s="66"/>
      <x:c r="B21" s="113"/>
      <x:c r="C21" s="113"/>
      <x:c r="D21" s="113"/>
      <x:c r="E21" s="113"/>
      <x:c r="F21" s="113"/>
      <x:c r="G21" s="67"/>
    </x:row>
    <x:row r="23" ht="23" customHeight="1">
      <x:c r="A23" s="11" t="str">
        <x:v>COMMITTEE VOTE</x:v>
      </x:c>
      <x:c r="B23" s="11"/>
      <x:c r="C23" s="11"/>
      <x:c r="D23" s="11"/>
      <x:c r="E23" s="11"/>
      <x:c r="F23" s="11"/>
      <x:c r="G23" s="11"/>
      <x:c r="H23" s="11"/>
    </x:row>
    <x:row r="24">
      <x:c r="A24" s="21" t="str">
        <x:v>Member slot</x:v>
      </x:c>
      <x:c r="B24" s="21" t="str">
        <x:v>Member name</x:v>
      </x:c>
      <x:c r="C24" s="21" t="str">
        <x:v>Vote</x:v>
      </x:c>
      <x:c r="D24" s="21" t="str">
        <x:v>Reservation / condition</x:v>
      </x:c>
      <x:c r="E24" s="21" t="str">
        <x:v>Evidence cited</x:v>
      </x:c>
      <x:c r="F24" s="21" t="str">
        <x:v>Initials</x:v>
      </x:c>
      <x:c r="G24" s="21" t="str">
        <x:v>Follow-up owner</x:v>
      </x:c>
    </x:row>
    <x:row r="25">
      <x:c r="A25" s="117" t="str">
        <x:v>Member 1</x:v>
      </x:c>
      <x:c r="B25" s="121" t="str">
        <x:f>IF('COMMITTEE ROSTER'!B18="","",'COMMITTEE ROSTER'!B18)</x:f>
      </x:c>
      <x:c r="C25" s="86" t="str"/>
      <x:c r="D25" s="86" t="str"/>
      <x:c r="E25" s="86" t="str"/>
      <x:c r="F25" s="86" t="str"/>
      <x:c r="G25" s="87" t="str"/>
    </x:row>
    <x:row r="26">
      <x:c r="A26" s="117" t="str">
        <x:v>Member 2</x:v>
      </x:c>
      <x:c r="B26" s="122" t="str">
        <x:f>IF('COMMITTEE ROSTER'!B19="","",'COMMITTEE ROSTER'!B19)</x:f>
      </x:c>
      <x:c r="C26" s="89" t="str"/>
      <x:c r="D26" s="89" t="str"/>
      <x:c r="E26" s="89" t="str"/>
      <x:c r="F26" s="89" t="str"/>
      <x:c r="G26" s="90" t="str"/>
    </x:row>
    <x:row r="27">
      <x:c r="A27" s="117" t="str">
        <x:v>Member 3</x:v>
      </x:c>
      <x:c r="B27" s="122" t="str">
        <x:f>IF('COMMITTEE ROSTER'!B20="","",'COMMITTEE ROSTER'!B20)</x:f>
      </x:c>
      <x:c r="C27" s="89" t="str"/>
      <x:c r="D27" s="89" t="str"/>
      <x:c r="E27" s="89" t="str"/>
      <x:c r="F27" s="89" t="str"/>
      <x:c r="G27" s="90" t="str"/>
    </x:row>
    <x:row r="28">
      <x:c r="A28" s="117" t="str">
        <x:v>Member 4</x:v>
      </x:c>
      <x:c r="B28" s="122" t="str">
        <x:f>IF('COMMITTEE ROSTER'!B21="","",'COMMITTEE ROSTER'!B21)</x:f>
      </x:c>
      <x:c r="C28" s="89" t="str"/>
      <x:c r="D28" s="89" t="str"/>
      <x:c r="E28" s="89" t="str"/>
      <x:c r="F28" s="89" t="str"/>
      <x:c r="G28" s="90" t="str"/>
    </x:row>
    <x:row r="29">
      <x:c r="A29" s="117" t="str">
        <x:v>Member 5</x:v>
      </x:c>
      <x:c r="B29" s="123" t="str">
        <x:f>IF('COMMITTEE ROSTER'!B22="","",'COMMITTEE ROSTER'!B22)</x:f>
      </x:c>
      <x:c r="C29" s="92" t="str"/>
      <x:c r="D29" s="92" t="str"/>
      <x:c r="E29" s="92" t="str"/>
      <x:c r="F29" s="92" t="str"/>
      <x:c r="G29" s="93" t="str"/>
    </x:row>
    <x:row r="30">
      <x:c r="A30" s="25" t="str">
        <x:v>Decision status</x:v>
      </x:c>
      <x:c r="B30" s="28" t="str">
        <x:f>IF('COMMITTEE ROSTER'!B23&lt;&gt;"READY","INCOMPLETE",IF(COUNTIF(C25:C29,"Revise")+COUNTIF(C25:C29,"Reject")&gt;0,"REVISION REQUIRED",IF(COUNTIF(C25:C29,"Approve")='COMMITTEE ROSTER'!E19,"APPROVED","INCOMPLETE")))</x:f>
        <x:v>INCOMPLETE</x:v>
      </x:c>
      <x:c r="C30" s="29"/>
    </x:row>
    <x:row r="32" ht="23" customHeight="1">
      <x:c r="A32" s="11" t="str">
        <x:v>DISSENT, RESERVATIONS &amp; CONDITIONS</x:v>
      </x:c>
      <x:c r="B32" s="11"/>
      <x:c r="C32" s="11"/>
      <x:c r="D32" s="11"/>
      <x:c r="E32" s="11"/>
      <x:c r="F32" s="11"/>
      <x:c r="G32" s="11"/>
      <x:c r="H32" s="11"/>
    </x:row>
    <x:row r="33" ht="34" customHeight="1">
      <x:c r="A33" s="85"/>
      <x:c r="B33" s="86"/>
      <x:c r="C33" s="86"/>
      <x:c r="D33" s="86"/>
      <x:c r="E33" s="86"/>
      <x:c r="F33" s="86"/>
      <x:c r="G33" s="87"/>
    </x:row>
    <x:row r="34" ht="34" customHeight="1">
      <x:c r="A34" s="91"/>
      <x:c r="B34" s="92"/>
      <x:c r="C34" s="92"/>
      <x:c r="D34" s="92"/>
      <x:c r="E34" s="92"/>
      <x:c r="F34" s="92"/>
      <x:c r="G34" s="93"/>
    </x:row>
    <x:row r="36" ht="23" customHeight="1">
      <x:c r="A36" s="11" t="str">
        <x:v>ACTION ITEMS</x:v>
      </x:c>
      <x:c r="B36" s="11"/>
      <x:c r="C36" s="11"/>
      <x:c r="D36" s="11"/>
      <x:c r="E36" s="11"/>
      <x:c r="F36" s="11"/>
      <x:c r="G36" s="11"/>
      <x:c r="H36" s="11"/>
    </x:row>
    <x:row r="37">
      <x:c r="A37" s="21" t="str">
        <x:v>Action required</x:v>
      </x:c>
      <x:c r="B37" s="21" t="str">
        <x:v>Owner</x:v>
      </x:c>
      <x:c r="C37" s="21" t="str">
        <x:v>Due date</x:v>
      </x:c>
      <x:c r="D37" s="21" t="str">
        <x:v>Evidence of completion</x:v>
      </x:c>
      <x:c r="E37" s="21" t="str">
        <x:v>Status</x:v>
      </x:c>
      <x:c r="F37" s="21" t="str">
        <x:v>Committee check</x:v>
      </x:c>
      <x:c r="G37" s="21" t="str">
        <x:v>Notes</x:v>
      </x:c>
    </x:row>
    <x:row r="38">
      <x:c r="A38" s="85" t="str"/>
      <x:c r="B38" s="86" t="str"/>
      <x:c r="C38" s="94" t="str"/>
      <x:c r="D38" s="86" t="str"/>
      <x:c r="E38" s="86" t="str">
        <x:v>Open</x:v>
      </x:c>
      <x:c r="F38" s="86" t="str"/>
      <x:c r="G38" s="87" t="str"/>
    </x:row>
    <x:row r="39">
      <x:c r="A39" s="88" t="str"/>
      <x:c r="B39" s="89" t="str"/>
      <x:c r="C39" s="95" t="str"/>
      <x:c r="D39" s="89" t="str"/>
      <x:c r="E39" s="89" t="str">
        <x:v>Open</x:v>
      </x:c>
      <x:c r="F39" s="89" t="str"/>
      <x:c r="G39" s="90" t="str"/>
    </x:row>
    <x:row r="40">
      <x:c r="A40" s="88" t="str"/>
      <x:c r="B40" s="89" t="str"/>
      <x:c r="C40" s="95" t="str"/>
      <x:c r="D40" s="89" t="str"/>
      <x:c r="E40" s="89" t="str">
        <x:v>Open</x:v>
      </x:c>
      <x:c r="F40" s="89" t="str"/>
      <x:c r="G40" s="90" t="str"/>
    </x:row>
    <x:row r="41">
      <x:c r="A41" s="88" t="str"/>
      <x:c r="B41" s="89" t="str"/>
      <x:c r="C41" s="95" t="str"/>
      <x:c r="D41" s="89" t="str"/>
      <x:c r="E41" s="89" t="str">
        <x:v>Open</x:v>
      </x:c>
      <x:c r="F41" s="89" t="str"/>
      <x:c r="G41" s="90" t="str"/>
    </x:row>
    <x:row r="42">
      <x:c r="A42" s="91" t="str"/>
      <x:c r="B42" s="92" t="str"/>
      <x:c r="C42" s="96" t="str"/>
      <x:c r="D42" s="92" t="str"/>
      <x:c r="E42" s="92" t="str">
        <x:v>Open</x:v>
      </x:c>
      <x:c r="F42" s="92" t="str"/>
      <x:c r="G42" s="93" t="str"/>
    </x:row>
    <x:row r="44" ht="32" customHeight="1">
      <x:c r="A44" s="107" t="str">
        <x:v>Approval requires one Approve vote from each of the four or five distinct members listed on the roster. A dual-role member votes once. Any Revise or Reject vote requires revision and a new meeting.</x:v>
      </x:c>
      <x:c r="B44" s="107"/>
      <x:c r="C44" s="107"/>
      <x:c r="D44" s="107"/>
      <x:c r="E44" s="107"/>
      <x:c r="F44" s="107"/>
      <x:c r="G44" s="107"/>
    </x:row>
  </x:sheetData>
  <x:mergeCells>
    <x:mergeCell ref="A1:H1"/>
    <x:mergeCell ref="A2:H2"/>
    <x:mergeCell ref="B4:C4"/>
    <x:mergeCell ref="B5:C5"/>
    <x:mergeCell ref="B6:C6"/>
    <x:mergeCell ref="E4:G4"/>
    <x:mergeCell ref="E5:G5"/>
    <x:mergeCell ref="E6:G6"/>
    <x:mergeCell ref="A8:H8"/>
    <x:mergeCell ref="B17:C17"/>
    <x:mergeCell ref="A19:H19"/>
    <x:mergeCell ref="A20:G20"/>
    <x:mergeCell ref="A21:G21"/>
    <x:mergeCell ref="A23:H23"/>
    <x:mergeCell ref="B30:C30"/>
    <x:mergeCell ref="A32:H32"/>
    <x:mergeCell ref="A33:G34"/>
    <x:mergeCell ref="A36:H36"/>
    <x:mergeCell ref="A44:G44"/>
  </x:mergeCells>
  <x:conditionalFormatting sqref="B30:C30">
    <x:cfRule type="containsText" dxfId="50" priority="1" operator="containsText" text="APPROVED"/>
    <x:cfRule type="containsText" dxfId="51" priority="2" operator="containsText" text="REVISION"/>
    <x:cfRule type="containsText" dxfId="52" priority="3" operator="containsText" text="INCOMPLETE"/>
  </x:conditionalFormatting>
  <x:dataValidations count="3">
    <x:dataValidation type="list" sqref="G10:G15">
      <x:formula1>"Not reviewed,Reviewed,Needs follow-up"</x:formula1>
    </x:dataValidation>
    <x:dataValidation type="list" sqref="C25:C29">
      <x:formula1>"Approve,Revise,Reject"</x:formula1>
    </x:dataValidation>
    <x:dataValidation type="list" sqref="E38:E42">
      <x:formula1>"Open,Complete"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24" hidden="0" customWidth="1"/>
    <x:col min="5" max="5" width="20" hidden="0" customWidth="1"/>
    <x:col min="6" max="6" width="18" hidden="0" customWidth="1"/>
    <x:col min="7" max="7" width="18" hidden="0" customWidth="1"/>
    <x:col min="8" max="8" width="4" hidden="0" customWidth="1"/>
  </x:cols>
  <x:sheetData>
    <x:row r="1" ht="34" customHeight="1">
      <x:c r="A1" s="3" t="str">
        <x:v>BUS331 Investment Committee — Phase 3 Decision Record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Defend the Recommendation | All four or five members review and cast one vote each.</x:v>
      </x:c>
      <x:c r="B2" s="6"/>
      <x:c r="C2" s="6"/>
      <x:c r="D2" s="6"/>
      <x:c r="E2" s="6"/>
      <x:c r="F2" s="6"/>
      <x:c r="G2" s="6"/>
      <x:c r="H2" s="6"/>
    </x:row>
    <x:row r="4">
      <x:c r="A4" s="25" t="str">
        <x:v>Team / Committee Name</x:v>
      </x:c>
      <x:c r="B4" s="85"/>
      <x:c r="C4" s="87"/>
      <x:c r="D4" s="25" t="str">
        <x:v>Recorder</x:v>
      </x:c>
      <x:c r="E4" s="66"/>
      <x:c r="F4" s="113"/>
      <x:c r="G4" s="67"/>
    </x:row>
    <x:row r="5">
      <x:c r="A5" s="25" t="str">
        <x:v>Scope: integrated recommendation</x:v>
      </x:c>
      <x:c r="B5" s="88"/>
      <x:c r="C5" s="90"/>
      <x:c r="D5" s="25" t="str">
        <x:v>Gate</x:v>
      </x:c>
      <x:c r="E5" s="14" t="str">
        <x:v>Issue final recommendation and implementation plan</x:v>
      </x:c>
      <x:c r="F5" s="14"/>
      <x:c r="G5" s="14"/>
    </x:row>
    <x:row r="6">
      <x:c r="A6" s="25" t="str">
        <x:v>Meeting Date</x:v>
      </x:c>
      <x:c r="B6" s="114"/>
      <x:c r="C6" s="115"/>
      <x:c r="D6" s="25" t="str">
        <x:v>Meeting Chair</x:v>
      </x:c>
      <x:c r="E6" s="66"/>
      <x:c r="F6" s="113"/>
      <x:c r="G6" s="67"/>
    </x:row>
    <x:row r="8" ht="23" customHeight="1">
      <x:c r="A8" s="11" t="str">
        <x:v>EVIDENCE REVIEWED</x:v>
      </x:c>
      <x:c r="B8" s="11"/>
      <x:c r="C8" s="11"/>
      <x:c r="D8" s="11"/>
      <x:c r="E8" s="11"/>
      <x:c r="F8" s="11"/>
      <x:c r="G8" s="11"/>
      <x:c r="H8" s="11"/>
    </x:row>
    <x:row r="9">
      <x:c r="A9" s="21" t="str">
        <x:v>Evidence item</x:v>
      </x:c>
      <x:c r="B9" s="21" t="str">
        <x:v>Location / file</x:v>
      </x:c>
      <x:c r="C9" s="21" t="str">
        <x:v>Source date</x:v>
      </x:c>
      <x:c r="D9" s="21" t="str">
        <x:v>Prepared by</x:v>
      </x:c>
      <x:c r="E9" s="21" t="str">
        <x:v>Reviewed by</x:v>
      </x:c>
      <x:c r="F9" s="21" t="str">
        <x:v>Key issue</x:v>
      </x:c>
      <x:c r="G9" s="21" t="str">
        <x:v>Review status</x:v>
      </x:c>
    </x:row>
    <x:row r="10">
      <x:c r="A10" s="85" t="str"/>
      <x:c r="B10" s="86" t="str"/>
      <x:c r="C10" s="94" t="str"/>
      <x:c r="D10" s="86" t="str"/>
      <x:c r="E10" s="86" t="str"/>
      <x:c r="F10" s="86" t="str"/>
      <x:c r="G10" s="87" t="str">
        <x:v>Not reviewed</x:v>
      </x:c>
    </x:row>
    <x:row r="11">
      <x:c r="A11" s="88" t="str"/>
      <x:c r="B11" s="89" t="str"/>
      <x:c r="C11" s="95" t="str"/>
      <x:c r="D11" s="89" t="str"/>
      <x:c r="E11" s="89" t="str"/>
      <x:c r="F11" s="89" t="str"/>
      <x:c r="G11" s="90" t="str">
        <x:v>Not reviewed</x:v>
      </x:c>
    </x:row>
    <x:row r="12">
      <x:c r="A12" s="88" t="str"/>
      <x:c r="B12" s="89" t="str"/>
      <x:c r="C12" s="95" t="str"/>
      <x:c r="D12" s="89" t="str"/>
      <x:c r="E12" s="89" t="str"/>
      <x:c r="F12" s="89" t="str"/>
      <x:c r="G12" s="90" t="str">
        <x:v>Not reviewed</x:v>
      </x:c>
    </x:row>
    <x:row r="13">
      <x:c r="A13" s="88" t="str"/>
      <x:c r="B13" s="89" t="str"/>
      <x:c r="C13" s="95" t="str"/>
      <x:c r="D13" s="89" t="str"/>
      <x:c r="E13" s="89" t="str"/>
      <x:c r="F13" s="89" t="str"/>
      <x:c r="G13" s="90" t="str">
        <x:v>Not reviewed</x:v>
      </x:c>
    </x:row>
    <x:row r="14">
      <x:c r="A14" s="88" t="str"/>
      <x:c r="B14" s="89" t="str"/>
      <x:c r="C14" s="95" t="str"/>
      <x:c r="D14" s="89" t="str"/>
      <x:c r="E14" s="89" t="str"/>
      <x:c r="F14" s="89" t="str"/>
      <x:c r="G14" s="90" t="str">
        <x:v>Not reviewed</x:v>
      </x:c>
    </x:row>
    <x:row r="15">
      <x:c r="A15" s="91" t="str"/>
      <x:c r="B15" s="92" t="str"/>
      <x:c r="C15" s="96" t="str"/>
      <x:c r="D15" s="92" t="str"/>
      <x:c r="E15" s="92" t="str"/>
      <x:c r="F15" s="92" t="str"/>
      <x:c r="G15" s="93" t="str">
        <x:v>Not reviewed</x:v>
      </x:c>
    </x:row>
    <x:row r="17">
      <x:c r="A17" s="25" t="str">
        <x:v>Evidence status</x:v>
      </x:c>
      <x:c r="B17" s="30" t="str">
        <x:f>IF(COUNTIF(G10:G15,"Reviewed")=6,"EVIDENCE COMPLETE","EVIDENCE INCOMPLETE")</x:f>
        <x:v>EVIDENCE INCOMPLETE</x:v>
      </x:c>
      <x:c r="C17" s="30"/>
    </x:row>
    <x:row r="19" ht="23" customHeight="1">
      <x:c r="A19" s="11" t="str">
        <x:v>MOTION</x:v>
      </x:c>
      <x:c r="B19" s="11"/>
      <x:c r="C19" s="11"/>
      <x:c r="D19" s="11"/>
      <x:c r="E19" s="11"/>
      <x:c r="F19" s="11"/>
      <x:c r="G19" s="11"/>
      <x:c r="H19" s="11"/>
    </x:row>
    <x:row r="20" ht="30" customHeight="1">
      <x:c r="A20" s="37" t="str">
        <x:v>Write the exact motion presented to the committee. It must name the recommendation, scope, and any conditions.</x:v>
      </x:c>
      <x:c r="B20" s="37"/>
      <x:c r="C20" s="37"/>
      <x:c r="D20" s="37"/>
      <x:c r="E20" s="37"/>
      <x:c r="F20" s="37"/>
      <x:c r="G20" s="37"/>
    </x:row>
    <x:row r="21" ht="42" customHeight="1">
      <x:c r="A21" s="66"/>
      <x:c r="B21" s="113"/>
      <x:c r="C21" s="113"/>
      <x:c r="D21" s="113"/>
      <x:c r="E21" s="113"/>
      <x:c r="F21" s="113"/>
      <x:c r="G21" s="67"/>
    </x:row>
    <x:row r="23" ht="23" customHeight="1">
      <x:c r="A23" s="11" t="str">
        <x:v>COMMITTEE VOTE</x:v>
      </x:c>
      <x:c r="B23" s="11"/>
      <x:c r="C23" s="11"/>
      <x:c r="D23" s="11"/>
      <x:c r="E23" s="11"/>
      <x:c r="F23" s="11"/>
      <x:c r="G23" s="11"/>
      <x:c r="H23" s="11"/>
    </x:row>
    <x:row r="24">
      <x:c r="A24" s="21" t="str">
        <x:v>Member slot</x:v>
      </x:c>
      <x:c r="B24" s="21" t="str">
        <x:v>Member name</x:v>
      </x:c>
      <x:c r="C24" s="21" t="str">
        <x:v>Vote</x:v>
      </x:c>
      <x:c r="D24" s="21" t="str">
        <x:v>Reservation / condition</x:v>
      </x:c>
      <x:c r="E24" s="21" t="str">
        <x:v>Evidence cited</x:v>
      </x:c>
      <x:c r="F24" s="21" t="str">
        <x:v>Initials</x:v>
      </x:c>
      <x:c r="G24" s="21" t="str">
        <x:v>Follow-up owner</x:v>
      </x:c>
    </x:row>
    <x:row r="25">
      <x:c r="A25" s="117" t="str">
        <x:v>Member 1</x:v>
      </x:c>
      <x:c r="B25" s="121" t="str">
        <x:f>IF('COMMITTEE ROSTER'!B18="","",'COMMITTEE ROSTER'!B18)</x:f>
      </x:c>
      <x:c r="C25" s="86" t="str"/>
      <x:c r="D25" s="86" t="str"/>
      <x:c r="E25" s="86" t="str"/>
      <x:c r="F25" s="86" t="str"/>
      <x:c r="G25" s="87" t="str"/>
    </x:row>
    <x:row r="26">
      <x:c r="A26" s="117" t="str">
        <x:v>Member 2</x:v>
      </x:c>
      <x:c r="B26" s="122" t="str">
        <x:f>IF('COMMITTEE ROSTER'!B19="","",'COMMITTEE ROSTER'!B19)</x:f>
      </x:c>
      <x:c r="C26" s="89" t="str"/>
      <x:c r="D26" s="89" t="str"/>
      <x:c r="E26" s="89" t="str"/>
      <x:c r="F26" s="89" t="str"/>
      <x:c r="G26" s="90" t="str"/>
    </x:row>
    <x:row r="27">
      <x:c r="A27" s="117" t="str">
        <x:v>Member 3</x:v>
      </x:c>
      <x:c r="B27" s="122" t="str">
        <x:f>IF('COMMITTEE ROSTER'!B20="","",'COMMITTEE ROSTER'!B20)</x:f>
      </x:c>
      <x:c r="C27" s="89" t="str"/>
      <x:c r="D27" s="89" t="str"/>
      <x:c r="E27" s="89" t="str"/>
      <x:c r="F27" s="89" t="str"/>
      <x:c r="G27" s="90" t="str"/>
    </x:row>
    <x:row r="28">
      <x:c r="A28" s="117" t="str">
        <x:v>Member 4</x:v>
      </x:c>
      <x:c r="B28" s="122" t="str">
        <x:f>IF('COMMITTEE ROSTER'!B21="","",'COMMITTEE ROSTER'!B21)</x:f>
      </x:c>
      <x:c r="C28" s="89" t="str"/>
      <x:c r="D28" s="89" t="str"/>
      <x:c r="E28" s="89" t="str"/>
      <x:c r="F28" s="89" t="str"/>
      <x:c r="G28" s="90" t="str"/>
    </x:row>
    <x:row r="29">
      <x:c r="A29" s="117" t="str">
        <x:v>Member 5</x:v>
      </x:c>
      <x:c r="B29" s="123" t="str">
        <x:f>IF('COMMITTEE ROSTER'!B22="","",'COMMITTEE ROSTER'!B22)</x:f>
      </x:c>
      <x:c r="C29" s="92" t="str"/>
      <x:c r="D29" s="92" t="str"/>
      <x:c r="E29" s="92" t="str"/>
      <x:c r="F29" s="92" t="str"/>
      <x:c r="G29" s="93" t="str"/>
    </x:row>
    <x:row r="30">
      <x:c r="A30" s="25" t="str">
        <x:v>Decision status</x:v>
      </x:c>
      <x:c r="B30" s="28" t="str">
        <x:f>IF('COMMITTEE ROSTER'!B23&lt;&gt;"READY","INCOMPLETE",IF(COUNTIF(C25:C29,"Revise")+COUNTIF(C25:C29,"Reject")&gt;0,"REVISION REQUIRED",IF(COUNTIF(C25:C29,"Approve")='COMMITTEE ROSTER'!E19,"APPROVED","INCOMPLETE")))</x:f>
        <x:v>INCOMPLETE</x:v>
      </x:c>
      <x:c r="C30" s="29"/>
    </x:row>
    <x:row r="32" ht="23" customHeight="1">
      <x:c r="A32" s="11" t="str">
        <x:v>DISSENT, RESERVATIONS &amp; CONDITIONS</x:v>
      </x:c>
      <x:c r="B32" s="11"/>
      <x:c r="C32" s="11"/>
      <x:c r="D32" s="11"/>
      <x:c r="E32" s="11"/>
      <x:c r="F32" s="11"/>
      <x:c r="G32" s="11"/>
      <x:c r="H32" s="11"/>
    </x:row>
    <x:row r="33" ht="34" customHeight="1">
      <x:c r="A33" s="85"/>
      <x:c r="B33" s="86"/>
      <x:c r="C33" s="86"/>
      <x:c r="D33" s="86"/>
      <x:c r="E33" s="86"/>
      <x:c r="F33" s="86"/>
      <x:c r="G33" s="87"/>
    </x:row>
    <x:row r="34" ht="34" customHeight="1">
      <x:c r="A34" s="91"/>
      <x:c r="B34" s="92"/>
      <x:c r="C34" s="92"/>
      <x:c r="D34" s="92"/>
      <x:c r="E34" s="92"/>
      <x:c r="F34" s="92"/>
      <x:c r="G34" s="93"/>
    </x:row>
    <x:row r="36" ht="23" customHeight="1">
      <x:c r="A36" s="11" t="str">
        <x:v>ACTION ITEMS</x:v>
      </x:c>
      <x:c r="B36" s="11"/>
      <x:c r="C36" s="11"/>
      <x:c r="D36" s="11"/>
      <x:c r="E36" s="11"/>
      <x:c r="F36" s="11"/>
      <x:c r="G36" s="11"/>
      <x:c r="H36" s="11"/>
    </x:row>
    <x:row r="37">
      <x:c r="A37" s="21" t="str">
        <x:v>Action required</x:v>
      </x:c>
      <x:c r="B37" s="21" t="str">
        <x:v>Owner</x:v>
      </x:c>
      <x:c r="C37" s="21" t="str">
        <x:v>Due date</x:v>
      </x:c>
      <x:c r="D37" s="21" t="str">
        <x:v>Evidence of completion</x:v>
      </x:c>
      <x:c r="E37" s="21" t="str">
        <x:v>Status</x:v>
      </x:c>
      <x:c r="F37" s="21" t="str">
        <x:v>Committee check</x:v>
      </x:c>
      <x:c r="G37" s="21" t="str">
        <x:v>Notes</x:v>
      </x:c>
    </x:row>
    <x:row r="38">
      <x:c r="A38" s="85" t="str"/>
      <x:c r="B38" s="86" t="str"/>
      <x:c r="C38" s="94" t="str"/>
      <x:c r="D38" s="86" t="str"/>
      <x:c r="E38" s="86" t="str">
        <x:v>Open</x:v>
      </x:c>
      <x:c r="F38" s="86" t="str"/>
      <x:c r="G38" s="87" t="str"/>
    </x:row>
    <x:row r="39">
      <x:c r="A39" s="88" t="str"/>
      <x:c r="B39" s="89" t="str"/>
      <x:c r="C39" s="95" t="str"/>
      <x:c r="D39" s="89" t="str"/>
      <x:c r="E39" s="89" t="str">
        <x:v>Open</x:v>
      </x:c>
      <x:c r="F39" s="89" t="str"/>
      <x:c r="G39" s="90" t="str"/>
    </x:row>
    <x:row r="40">
      <x:c r="A40" s="88" t="str"/>
      <x:c r="B40" s="89" t="str"/>
      <x:c r="C40" s="95" t="str"/>
      <x:c r="D40" s="89" t="str"/>
      <x:c r="E40" s="89" t="str">
        <x:v>Open</x:v>
      </x:c>
      <x:c r="F40" s="89" t="str"/>
      <x:c r="G40" s="90" t="str"/>
    </x:row>
    <x:row r="41">
      <x:c r="A41" s="88" t="str"/>
      <x:c r="B41" s="89" t="str"/>
      <x:c r="C41" s="95" t="str"/>
      <x:c r="D41" s="89" t="str"/>
      <x:c r="E41" s="89" t="str">
        <x:v>Open</x:v>
      </x:c>
      <x:c r="F41" s="89" t="str"/>
      <x:c r="G41" s="90" t="str"/>
    </x:row>
    <x:row r="42">
      <x:c r="A42" s="91" t="str"/>
      <x:c r="B42" s="92" t="str"/>
      <x:c r="C42" s="96" t="str"/>
      <x:c r="D42" s="92" t="str"/>
      <x:c r="E42" s="92" t="str">
        <x:v>Open</x:v>
      </x:c>
      <x:c r="F42" s="92" t="str"/>
      <x:c r="G42" s="93" t="str"/>
    </x:row>
    <x:row r="44" ht="32" customHeight="1">
      <x:c r="A44" s="107" t="str">
        <x:v>Approval requires one Approve vote from each of the four or five distinct members listed on the roster. A dual-role member votes once. Any Revise or Reject vote requires revision and a new meeting.</x:v>
      </x:c>
      <x:c r="B44" s="107"/>
      <x:c r="C44" s="107"/>
      <x:c r="D44" s="107"/>
      <x:c r="E44" s="107"/>
      <x:c r="F44" s="107"/>
      <x:c r="G44" s="107"/>
    </x:row>
  </x:sheetData>
  <x:mergeCells>
    <x:mergeCell ref="A1:H1"/>
    <x:mergeCell ref="A2:H2"/>
    <x:mergeCell ref="B4:C4"/>
    <x:mergeCell ref="B5:C5"/>
    <x:mergeCell ref="B6:C6"/>
    <x:mergeCell ref="E4:G4"/>
    <x:mergeCell ref="E5:G5"/>
    <x:mergeCell ref="E6:G6"/>
    <x:mergeCell ref="A8:H8"/>
    <x:mergeCell ref="B17:C17"/>
    <x:mergeCell ref="A19:H19"/>
    <x:mergeCell ref="A20:G20"/>
    <x:mergeCell ref="A21:G21"/>
    <x:mergeCell ref="A23:H23"/>
    <x:mergeCell ref="B30:C30"/>
    <x:mergeCell ref="A32:H32"/>
    <x:mergeCell ref="A33:G34"/>
    <x:mergeCell ref="A36:H36"/>
    <x:mergeCell ref="A44:G44"/>
  </x:mergeCells>
  <x:conditionalFormatting sqref="B30:C30">
    <x:cfRule type="containsText" dxfId="53" priority="1" operator="containsText" text="APPROVED"/>
    <x:cfRule type="containsText" dxfId="54" priority="2" operator="containsText" text="REVISION"/>
    <x:cfRule type="containsText" dxfId="55" priority="3" operator="containsText" text="INCOMPLETE"/>
  </x:conditionalFormatting>
  <x:dataValidations count="3">
    <x:dataValidation type="list" sqref="G10:G15">
      <x:formula1>"Not reviewed,Reviewed,Needs follow-up"</x:formula1>
    </x:dataValidation>
    <x:dataValidation type="list" sqref="C25:C29">
      <x:formula1>"Approve,Revise,Reject"</x:formula1>
    </x:dataValidation>
    <x:dataValidation type="list" sqref="E38:E42">
      <x:formula1>"Open,Complete"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2" hidden="0" customWidth="1"/>
    <x:col min="4" max="4" width="18" hidden="0" customWidth="1"/>
    <x:col min="5" max="5" width="34" hidden="0" customWidth="1"/>
    <x:col min="6" max="6" width="24" hidden="0" customWidth="1"/>
    <x:col min="7" max="7" width="34" hidden="0" customWidth="1"/>
    <x:col min="8" max="8" width="34" hidden="0" customWidth="1"/>
    <x:col min="9" max="9" width="20" hidden="0" customWidth="1"/>
  </x:cols>
  <x:sheetData>
    <x:row r="1" ht="34" customHeight="1">
      <x:c r="A1" s="3" t="str">
        <x:v>AI Audit Log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Document material AI use, the human verification step, and the final committee decision.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21" t="str">
        <x:v>Date</x:v>
      </x:c>
      <x:c r="B4" s="21" t="str">
        <x:v>Phase</x:v>
      </x:c>
      <x:c r="C4" s="21" t="str">
        <x:v>Workstream</x:v>
      </x:c>
      <x:c r="D4" s="21" t="str">
        <x:v>Tool / model</x:v>
      </x:c>
      <x:c r="E4" s="21" t="str">
        <x:v>Prompt purpose</x:v>
      </x:c>
      <x:c r="F4" s="21" t="str">
        <x:v>Output summary</x:v>
      </x:c>
      <x:c r="G4" s="21" t="str">
        <x:v>Human verification source</x:v>
      </x:c>
      <x:c r="H4" s="21" t="str">
        <x:v>Human decision / revision</x:v>
      </x:c>
      <x:c r="I4" s="21" t="str">
        <x:v>Owner</x:v>
      </x:c>
    </x:row>
    <x:row r="5">
      <x:c r="A5" s="124" t="str"/>
      <x:c r="B5" s="86" t="str"/>
      <x:c r="C5" s="86" t="str"/>
      <x:c r="D5" s="86" t="str"/>
      <x:c r="E5" s="86" t="str"/>
      <x:c r="F5" s="86" t="str"/>
      <x:c r="G5" s="86" t="str"/>
      <x:c r="H5" s="86" t="str"/>
      <x:c r="I5" s="87" t="str"/>
    </x:row>
    <x:row r="6">
      <x:c r="A6" s="125" t="str"/>
      <x:c r="B6" s="89" t="str"/>
      <x:c r="C6" s="89" t="str"/>
      <x:c r="D6" s="89" t="str"/>
      <x:c r="E6" s="89" t="str"/>
      <x:c r="F6" s="89" t="str"/>
      <x:c r="G6" s="89" t="str"/>
      <x:c r="H6" s="89" t="str"/>
      <x:c r="I6" s="90" t="str"/>
    </x:row>
    <x:row r="7">
      <x:c r="A7" s="125" t="str"/>
      <x:c r="B7" s="89" t="str"/>
      <x:c r="C7" s="89" t="str"/>
      <x:c r="D7" s="89" t="str"/>
      <x:c r="E7" s="89" t="str"/>
      <x:c r="F7" s="89" t="str"/>
      <x:c r="G7" s="89" t="str"/>
      <x:c r="H7" s="89" t="str"/>
      <x:c r="I7" s="90" t="str"/>
    </x:row>
    <x:row r="8">
      <x:c r="A8" s="125" t="str"/>
      <x:c r="B8" s="89" t="str"/>
      <x:c r="C8" s="89" t="str"/>
      <x:c r="D8" s="89" t="str"/>
      <x:c r="E8" s="89" t="str"/>
      <x:c r="F8" s="89" t="str"/>
      <x:c r="G8" s="89" t="str"/>
      <x:c r="H8" s="89" t="str"/>
      <x:c r="I8" s="90" t="str"/>
    </x:row>
    <x:row r="9">
      <x:c r="A9" s="125" t="str"/>
      <x:c r="B9" s="89" t="str"/>
      <x:c r="C9" s="89" t="str"/>
      <x:c r="D9" s="89" t="str"/>
      <x:c r="E9" s="89" t="str"/>
      <x:c r="F9" s="89" t="str"/>
      <x:c r="G9" s="89" t="str"/>
      <x:c r="H9" s="89" t="str"/>
      <x:c r="I9" s="90" t="str"/>
    </x:row>
    <x:row r="10">
      <x:c r="A10" s="125" t="str"/>
      <x:c r="B10" s="89" t="str"/>
      <x:c r="C10" s="89" t="str"/>
      <x:c r="D10" s="89" t="str"/>
      <x:c r="E10" s="89" t="str"/>
      <x:c r="F10" s="89" t="str"/>
      <x:c r="G10" s="89" t="str"/>
      <x:c r="H10" s="89" t="str"/>
      <x:c r="I10" s="90" t="str"/>
    </x:row>
    <x:row r="11">
      <x:c r="A11" s="125" t="str"/>
      <x:c r="B11" s="89" t="str"/>
      <x:c r="C11" s="89" t="str"/>
      <x:c r="D11" s="89" t="str"/>
      <x:c r="E11" s="89" t="str"/>
      <x:c r="F11" s="89" t="str"/>
      <x:c r="G11" s="89" t="str"/>
      <x:c r="H11" s="89" t="str"/>
      <x:c r="I11" s="90" t="str"/>
    </x:row>
    <x:row r="12">
      <x:c r="A12" s="125" t="str"/>
      <x:c r="B12" s="89" t="str"/>
      <x:c r="C12" s="89" t="str"/>
      <x:c r="D12" s="89" t="str"/>
      <x:c r="E12" s="89" t="str"/>
      <x:c r="F12" s="89" t="str"/>
      <x:c r="G12" s="89" t="str"/>
      <x:c r="H12" s="89" t="str"/>
      <x:c r="I12" s="90" t="str"/>
    </x:row>
    <x:row r="13">
      <x:c r="A13" s="125" t="str"/>
      <x:c r="B13" s="89" t="str"/>
      <x:c r="C13" s="89" t="str"/>
      <x:c r="D13" s="89" t="str"/>
      <x:c r="E13" s="89" t="str"/>
      <x:c r="F13" s="89" t="str"/>
      <x:c r="G13" s="89" t="str"/>
      <x:c r="H13" s="89" t="str"/>
      <x:c r="I13" s="90" t="str"/>
    </x:row>
    <x:row r="14">
      <x:c r="A14" s="125" t="str"/>
      <x:c r="B14" s="89" t="str"/>
      <x:c r="C14" s="89" t="str"/>
      <x:c r="D14" s="89" t="str"/>
      <x:c r="E14" s="89" t="str"/>
      <x:c r="F14" s="89" t="str"/>
      <x:c r="G14" s="89" t="str"/>
      <x:c r="H14" s="89" t="str"/>
      <x:c r="I14" s="90" t="str"/>
    </x:row>
    <x:row r="15">
      <x:c r="A15" s="125" t="str"/>
      <x:c r="B15" s="89" t="str"/>
      <x:c r="C15" s="89" t="str"/>
      <x:c r="D15" s="89" t="str"/>
      <x:c r="E15" s="89" t="str"/>
      <x:c r="F15" s="89" t="str"/>
      <x:c r="G15" s="89" t="str"/>
      <x:c r="H15" s="89" t="str"/>
      <x:c r="I15" s="90" t="str"/>
    </x:row>
    <x:row r="16">
      <x:c r="A16" s="125" t="str"/>
      <x:c r="B16" s="89" t="str"/>
      <x:c r="C16" s="89" t="str"/>
      <x:c r="D16" s="89" t="str"/>
      <x:c r="E16" s="89" t="str"/>
      <x:c r="F16" s="89" t="str"/>
      <x:c r="G16" s="89" t="str"/>
      <x:c r="H16" s="89" t="str"/>
      <x:c r="I16" s="90" t="str"/>
    </x:row>
    <x:row r="17">
      <x:c r="A17" s="125" t="str"/>
      <x:c r="B17" s="89" t="str"/>
      <x:c r="C17" s="89" t="str"/>
      <x:c r="D17" s="89" t="str"/>
      <x:c r="E17" s="89" t="str"/>
      <x:c r="F17" s="89" t="str"/>
      <x:c r="G17" s="89" t="str"/>
      <x:c r="H17" s="89" t="str"/>
      <x:c r="I17" s="90" t="str"/>
    </x:row>
    <x:row r="18">
      <x:c r="A18" s="125" t="str"/>
      <x:c r="B18" s="89" t="str"/>
      <x:c r="C18" s="89" t="str"/>
      <x:c r="D18" s="89" t="str"/>
      <x:c r="E18" s="89" t="str"/>
      <x:c r="F18" s="89" t="str"/>
      <x:c r="G18" s="89" t="str"/>
      <x:c r="H18" s="89" t="str"/>
      <x:c r="I18" s="90" t="str"/>
    </x:row>
    <x:row r="19">
      <x:c r="A19" s="125" t="str"/>
      <x:c r="B19" s="89" t="str"/>
      <x:c r="C19" s="89" t="str"/>
      <x:c r="D19" s="89" t="str"/>
      <x:c r="E19" s="89" t="str"/>
      <x:c r="F19" s="89" t="str"/>
      <x:c r="G19" s="89" t="str"/>
      <x:c r="H19" s="89" t="str"/>
      <x:c r="I19" s="90" t="str"/>
    </x:row>
    <x:row r="20">
      <x:c r="A20" s="125" t="str"/>
      <x:c r="B20" s="89" t="str"/>
      <x:c r="C20" s="89" t="str"/>
      <x:c r="D20" s="89" t="str"/>
      <x:c r="E20" s="89" t="str"/>
      <x:c r="F20" s="89" t="str"/>
      <x:c r="G20" s="89" t="str"/>
      <x:c r="H20" s="89" t="str"/>
      <x:c r="I20" s="90" t="str"/>
    </x:row>
    <x:row r="21">
      <x:c r="A21" s="125" t="str"/>
      <x:c r="B21" s="89" t="str"/>
      <x:c r="C21" s="89" t="str"/>
      <x:c r="D21" s="89" t="str"/>
      <x:c r="E21" s="89" t="str"/>
      <x:c r="F21" s="89" t="str"/>
      <x:c r="G21" s="89" t="str"/>
      <x:c r="H21" s="89" t="str"/>
      <x:c r="I21" s="90" t="str"/>
    </x:row>
    <x:row r="22">
      <x:c r="A22" s="125" t="str"/>
      <x:c r="B22" s="89" t="str"/>
      <x:c r="C22" s="89" t="str"/>
      <x:c r="D22" s="89" t="str"/>
      <x:c r="E22" s="89" t="str"/>
      <x:c r="F22" s="89" t="str"/>
      <x:c r="G22" s="89" t="str"/>
      <x:c r="H22" s="89" t="str"/>
      <x:c r="I22" s="90" t="str"/>
    </x:row>
    <x:row r="23">
      <x:c r="A23" s="125" t="str"/>
      <x:c r="B23" s="89" t="str"/>
      <x:c r="C23" s="89" t="str"/>
      <x:c r="D23" s="89" t="str"/>
      <x:c r="E23" s="89" t="str"/>
      <x:c r="F23" s="89" t="str"/>
      <x:c r="G23" s="89" t="str"/>
      <x:c r="H23" s="89" t="str"/>
      <x:c r="I23" s="90" t="str"/>
    </x:row>
    <x:row r="24">
      <x:c r="A24" s="125" t="str"/>
      <x:c r="B24" s="89" t="str"/>
      <x:c r="C24" s="89" t="str"/>
      <x:c r="D24" s="89" t="str"/>
      <x:c r="E24" s="89" t="str"/>
      <x:c r="F24" s="89" t="str"/>
      <x:c r="G24" s="89" t="str"/>
      <x:c r="H24" s="89" t="str"/>
      <x:c r="I24" s="90" t="str"/>
    </x:row>
    <x:row r="25">
      <x:c r="A25" s="125" t="str"/>
      <x:c r="B25" s="89" t="str"/>
      <x:c r="C25" s="89" t="str"/>
      <x:c r="D25" s="89" t="str"/>
      <x:c r="E25" s="89" t="str"/>
      <x:c r="F25" s="89" t="str"/>
      <x:c r="G25" s="89" t="str"/>
      <x:c r="H25" s="89" t="str"/>
      <x:c r="I25" s="90" t="str"/>
    </x:row>
    <x:row r="26">
      <x:c r="A26" s="125" t="str"/>
      <x:c r="B26" s="89" t="str"/>
      <x:c r="C26" s="89" t="str"/>
      <x:c r="D26" s="89" t="str"/>
      <x:c r="E26" s="89" t="str"/>
      <x:c r="F26" s="89" t="str"/>
      <x:c r="G26" s="89" t="str"/>
      <x:c r="H26" s="89" t="str"/>
      <x:c r="I26" s="90" t="str"/>
    </x:row>
    <x:row r="27">
      <x:c r="A27" s="125" t="str"/>
      <x:c r="B27" s="89" t="str"/>
      <x:c r="C27" s="89" t="str"/>
      <x:c r="D27" s="89" t="str"/>
      <x:c r="E27" s="89" t="str"/>
      <x:c r="F27" s="89" t="str"/>
      <x:c r="G27" s="89" t="str"/>
      <x:c r="H27" s="89" t="str"/>
      <x:c r="I27" s="90" t="str"/>
    </x:row>
    <x:row r="28">
      <x:c r="A28" s="125" t="str"/>
      <x:c r="B28" s="89" t="str"/>
      <x:c r="C28" s="89" t="str"/>
      <x:c r="D28" s="89" t="str"/>
      <x:c r="E28" s="89" t="str"/>
      <x:c r="F28" s="89" t="str"/>
      <x:c r="G28" s="89" t="str"/>
      <x:c r="H28" s="89" t="str"/>
      <x:c r="I28" s="90" t="str"/>
    </x:row>
    <x:row r="29">
      <x:c r="A29" s="114" t="str"/>
      <x:c r="B29" s="92" t="str"/>
      <x:c r="C29" s="92" t="str"/>
      <x:c r="D29" s="92" t="str"/>
      <x:c r="E29" s="92" t="str"/>
      <x:c r="F29" s="92" t="str"/>
      <x:c r="G29" s="92" t="str"/>
      <x:c r="H29" s="92" t="str"/>
      <x:c r="I29" s="93" t="str"/>
    </x:row>
    <x:row r="31" ht="32" customHeight="1">
      <x:c r="A31" s="107" t="str">
        <x:v>Do not paste confidential client information or proprietary FactSet data into an AI tool. Every AI-assisted factual claim or number must be traceable to a human-verified source.</x:v>
      </x:c>
      <x:c r="B31" s="107"/>
      <x:c r="C31" s="107"/>
      <x:c r="D31" s="107"/>
      <x:c r="E31" s="107"/>
      <x:c r="F31" s="107"/>
      <x:c r="G31" s="107"/>
      <x:c r="H31" s="107"/>
      <x:c r="I31" s="107"/>
    </x:row>
  </x:sheetData>
  <x:mergeCells>
    <x:mergeCell ref="A1:I1"/>
    <x:mergeCell ref="A2:I2"/>
    <x:mergeCell ref="A31:I31"/>
  </x:mergeCells>
  <x:dataValidations count="1">
    <x:dataValidation type="list" sqref="B5:B29">
      <x:formula1>"Phase 1,Phase 2,Phase 3"</x:formula1>
    </x:dataValidation>
  </x:dataValidations>
  <x:pageMargins left="0.7" right="0.7" top="0.75" bottom="0.75" header="0.3" footer="0.3"/>
</x:worksheet>
</file>