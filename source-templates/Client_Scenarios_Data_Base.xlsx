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31-Investments/BME- Spring 2026 T-TH BUS331-02 Investments/Investment Project and Presentation Information/"/>
    </mc:Choice>
  </mc:AlternateContent>
  <xr:revisionPtr revIDLastSave="0" documentId="8_{3306DF4C-6DC8-40B0-9863-9E30182E946B}" xr6:coauthVersionLast="47" xr6:coauthVersionMax="47" xr10:uidLastSave="{00000000-0000-0000-0000-000000000000}"/>
  <bookViews>
    <workbookView xWindow="-120" yWindow="-120" windowWidth="29040" windowHeight="15720" xr2:uid="{3DA9198E-1F0B-45C1-B3EB-65E45FAF746F}"/>
  </bookViews>
  <sheets>
    <sheet name="Sheet1" sheetId="1" r:id="rId1"/>
  </sheets>
  <definedNames>
    <definedName name="_xlnm._FilterDatabase" localSheetId="0" hidden="1">Sheet1!$A$1:$M$16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</calcChain>
</file>

<file path=xl/sharedStrings.xml><?xml version="1.0" encoding="utf-8"?>
<sst xmlns="http://schemas.openxmlformats.org/spreadsheetml/2006/main" count="82" uniqueCount="82">
  <si>
    <t>Case #</t>
  </si>
  <si>
    <t>Client Name(s)</t>
  </si>
  <si>
    <t>Age</t>
  </si>
  <si>
    <t>Occupation</t>
  </si>
  <si>
    <t>Annual Income</t>
  </si>
  <si>
    <t>Net Worth</t>
  </si>
  <si>
    <t>Primary Investment Goal</t>
  </si>
  <si>
    <t>Key Constraints</t>
  </si>
  <si>
    <t>Target E(R)</t>
  </si>
  <si>
    <t>Std Dev (σ)</t>
  </si>
  <si>
    <t>Risk Aversion (A)</t>
  </si>
  <si>
    <t>Eleanor Vance</t>
  </si>
  <si>
    <t>Retired Librarian</t>
  </si>
  <si>
    <t>$30,000 (Pension)</t>
  </si>
  <si>
    <t>$1.2M</t>
  </si>
  <si>
    <t>Capital Preservation / Income</t>
  </si>
  <si>
    <t>High liquidity needs for medical; 2-5yr horizon</t>
  </si>
  <si>
    <t>Marcus Chen</t>
  </si>
  <si>
    <t>Software Engineer</t>
  </si>
  <si>
    <t>Aggressive Growth / Early Retirement</t>
  </si>
  <si>
    <t>Tech stock concentration; High volatility</t>
  </si>
  <si>
    <t>David &amp; Sarah Miller</t>
  </si>
  <si>
    <t>48/46</t>
  </si>
  <si>
    <t>Middle Management</t>
  </si>
  <si>
    <t>College Funding / Retirement</t>
  </si>
  <si>
    <t>Tuition payments starting in 3 years</t>
  </si>
  <si>
    <t>Chloe Dubois</t>
  </si>
  <si>
    <t>Graduate Student</t>
  </si>
  <si>
    <t>$2.5M</t>
  </si>
  <si>
    <t>Long-term Wealth Building</t>
  </si>
  <si>
    <t>Novice experience; 30+ year horizon</t>
  </si>
  <si>
    <t>Javier Rodriguez</t>
  </si>
  <si>
    <t>Business Owner</t>
  </si>
  <si>
    <t>$3.0M</t>
  </si>
  <si>
    <t>Diversification / Business Exit</t>
  </si>
  <si>
    <t>Illiquid business assets; Tax-sensitive</t>
  </si>
  <si>
    <t>Dr. Amara Okafor</t>
  </si>
  <si>
    <t>Pediatrician</t>
  </si>
  <si>
    <t>Ethical Growth</t>
  </si>
  <si>
    <t>Strict ESG filters (No tobacco/oil/arms)</t>
  </si>
  <si>
    <t>Linda Sterling</t>
  </si>
  <si>
    <t>Marketing Director</t>
  </si>
  <si>
    <t>Stability / Home Purchase</t>
  </si>
  <si>
    <t>Needs $150k cash for home in 12 months</t>
  </si>
  <si>
    <t>Robert Halloway</t>
  </si>
  <si>
    <t>Retail Manager</t>
  </si>
  <si>
    <t>Catch-up Growth</t>
  </si>
  <si>
    <t>Under-funded for retirement; short horizon</t>
  </si>
  <si>
    <t>Arthur Sterling</t>
  </si>
  <si>
    <t>Retired Executive</t>
  </si>
  <si>
    <t>N/A</t>
  </si>
  <si>
    <t>$50M+</t>
  </si>
  <si>
    <t>Philanthropy / Multi-gen Wealth</t>
  </si>
  <si>
    <t>Multi-gen taxes; inflation protection</t>
  </si>
  <si>
    <t>Zoe Jenkins</t>
  </si>
  <si>
    <t>Graphic Designer</t>
  </si>
  <si>
    <t>Emergency Fund / Growth</t>
  </si>
  <si>
    <t>Variable income; needs 12-mo cash reserve</t>
  </si>
  <si>
    <t>Thomas Murphy</t>
  </si>
  <si>
    <t>Police Officer</t>
  </si>
  <si>
    <t>Supplemental Retirement</t>
  </si>
  <si>
    <t>Psychological aversion to losses; Pension-backed</t>
  </si>
  <si>
    <t>Yuki Tanaka</t>
  </si>
  <si>
    <t>Tech Consultant</t>
  </si>
  <si>
    <t>Growth / Global Diversification</t>
  </si>
  <si>
    <t>Currency risk (USD/JPY); Moving in 10 yrs</t>
  </si>
  <si>
    <t>The Petersons</t>
  </si>
  <si>
    <t>31/30</t>
  </si>
  <si>
    <t>Teacher/Nurse</t>
  </si>
  <si>
    <t>Debt Paydown / Child Education</t>
  </si>
  <si>
    <t>$180k Student Debt; Low cash flow</t>
  </si>
  <si>
    <t>Elena Rossi</t>
  </si>
  <si>
    <t>Corporate VP</t>
  </si>
  <si>
    <t>$4.0M</t>
  </si>
  <si>
    <t>Tax Efficiency / Sophisticated Growth</t>
  </si>
  <si>
    <t>SEC Rule 144 restrictions; High tax bracket</t>
  </si>
  <si>
    <t>Tyler Reed</t>
  </si>
  <si>
    <t>Gig Economy</t>
  </si>
  <si>
    <t>Capital Accumulation</t>
  </si>
  <si>
    <t>Minimal starting capital; Very long horizon</t>
  </si>
  <si>
    <t>Team</t>
  </si>
  <si>
    <t>Risk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</si>
</sst>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Georgia Pro"/>
      <family val="2"/>
    </font>
    <font>
      <b/>
      <sz val="12"/>
      <color rgb="FF1F1F1F"/>
      <name val="Georgia Pro"/>
      <family val="1"/>
    </font>
    <font>
      <sz val="12"/>
      <color rgb="FF1F1F1F"/>
      <name val="Georgia Pro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right" vertical="center" readingOrder="1"/>
    </xf>
    <xf numFmtId="10" fontId="2" fillId="0" borderId="1" xfId="0" applyNumberFormat="1" applyFont="1" applyBorder="1" applyAlignment="1">
      <alignment horizontal="right" vertical="center" readingOrder="1"/>
    </xf>
    <xf numFmtId="0" fontId="2" fillId="0" borderId="1" xfId="0" applyFont="1" applyBorder="1" applyAlignment="1">
      <alignment vertical="center" readingOrder="1"/>
    </xf>
    <xf numFmtId="6" fontId="2" fillId="0" borderId="1" xfId="0" applyNumberFormat="1" applyFont="1" applyBorder="1" applyAlignment="1">
      <alignment horizontal="right" vertical="center" readingOrder="1"/>
    </xf>
    <xf numFmtId="0" fontId="1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DA020F-BEEF-45B2-9D60-AEAF799DC249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CFF8-450C-4967-A153-7C927162598A}">
  <dimension ref="A1:M46"/>
  <sheetViews>
    <sheetView tabSelected="1" workbookViewId="0">
      <selection activeCell="E22" sqref="E22"/>
    </sheetView>
  </sheetViews>
  <sheetFormatPr defaultRowHeight="15" x14ac:dyDescent="0.2"/>
  <cols>
    <col min="1" max="1" width="9.6640625" style="8" bestFit="1" customWidth="1"/>
    <col min="2" max="2" width="7.88671875" style="8" customWidth="1"/>
    <col min="3" max="3" width="16.5546875" customWidth="1"/>
    <col min="4" max="4" width="7.88671875" style="8" bestFit="1" customWidth="1"/>
    <col min="5" max="5" width="17.6640625" bestFit="1" customWidth="1"/>
    <col min="6" max="6" width="15.77734375" bestFit="1" customWidth="1"/>
    <col min="7" max="7" width="12.109375" bestFit="1" customWidth="1"/>
    <col min="8" max="8" width="32.21875" bestFit="1" customWidth="1"/>
    <col min="9" max="9" width="36.5546875" customWidth="1"/>
    <col min="10" max="10" width="11.6640625" bestFit="1" customWidth="1"/>
    <col min="11" max="11" width="11.109375" bestFit="1" customWidth="1"/>
    <col min="12" max="12" width="6.77734375" customWidth="1"/>
    <col min="13" max="13" width="13.88671875" customWidth="1"/>
    <col min="14" max="14" width="12.109375" bestFit="1" customWidth="1"/>
  </cols>
  <sheetData>
    <row r="1" spans="1:13" ht="15.75" thickBot="1" x14ac:dyDescent="0.25">
      <c r="A1" s="7" t="s">
        <v>80</v>
      </c>
      <c r="B1" s="7" t="s">
        <v>0</v>
      </c>
      <c r="C1" s="1" t="s">
        <v>1</v>
      </c>
      <c r="D1" s="7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81</v>
      </c>
    </row>
    <row r="2" spans="1:13" ht="15.75" thickBot="1" x14ac:dyDescent="0.25">
      <c r="A2" s="7">
        <v>1</v>
      </c>
      <c r="B2" s="7">
        <v>1</v>
      </c>
      <c r="C2" s="9" t="s">
        <v>11</v>
      </c>
      <c r="D2" s="9">
        <v>72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4.4999999999999998E-2</v>
      </c>
      <c r="K2" s="4">
        <v>0.06</v>
      </c>
      <c r="L2" s="5">
        <v>8</v>
      </c>
      <c r="M2" s="5" t="str">
        <f>IF(L2&gt;4.5,"Risk Averse",IF(L2&lt;=2.5,"Risk Seeking","Risk Neutral"))</f>
        <v>Risk Averse</v>
      </c>
    </row>
    <row r="3" spans="1:13" ht="15.75" thickBot="1" x14ac:dyDescent="0.25">
      <c r="A3" s="7">
        <v>1</v>
      </c>
      <c r="B3" s="7">
        <v>2</v>
      </c>
      <c r="C3" s="9" t="s">
        <v>17</v>
      </c>
      <c r="D3" s="9">
        <v>29</v>
      </c>
      <c r="E3" s="3" t="s">
        <v>18</v>
      </c>
      <c r="F3" s="6">
        <v>210000</v>
      </c>
      <c r="G3" s="6">
        <v>150000</v>
      </c>
      <c r="H3" s="3" t="s">
        <v>19</v>
      </c>
      <c r="I3" s="3" t="s">
        <v>20</v>
      </c>
      <c r="J3" s="4">
        <v>0.11</v>
      </c>
      <c r="K3" s="4">
        <v>0.22</v>
      </c>
      <c r="L3" s="5">
        <v>1.5</v>
      </c>
      <c r="M3" s="5" t="str">
        <f t="shared" ref="M3:M16" si="0">IF(L3&gt;4.5,"Risk Averse",IF(L3&lt;=2.5,"Risk Seeking","Risk Neutral"))</f>
        <v>Risk Seeking</v>
      </c>
    </row>
    <row r="4" spans="1:13" ht="15.75" thickBot="1" x14ac:dyDescent="0.25">
      <c r="A4" s="7">
        <v>1</v>
      </c>
      <c r="B4" s="7">
        <v>3</v>
      </c>
      <c r="C4" s="9" t="s">
        <v>21</v>
      </c>
      <c r="D4" s="9" t="s">
        <v>22</v>
      </c>
      <c r="E4" s="3" t="s">
        <v>23</v>
      </c>
      <c r="F4" s="6">
        <v>165000</v>
      </c>
      <c r="G4" s="6">
        <v>450000</v>
      </c>
      <c r="H4" s="3" t="s">
        <v>24</v>
      </c>
      <c r="I4" s="3" t="s">
        <v>25</v>
      </c>
      <c r="J4" s="4">
        <v>7.0000000000000007E-2</v>
      </c>
      <c r="K4" s="4">
        <v>0.12</v>
      </c>
      <c r="L4" s="5">
        <v>4</v>
      </c>
      <c r="M4" s="5" t="str">
        <f t="shared" si="0"/>
        <v>Risk Neutral</v>
      </c>
    </row>
    <row r="5" spans="1:13" ht="15.75" thickBot="1" x14ac:dyDescent="0.25">
      <c r="A5" s="7">
        <v>3</v>
      </c>
      <c r="B5" s="7">
        <v>4</v>
      </c>
      <c r="C5" s="9" t="s">
        <v>26</v>
      </c>
      <c r="D5" s="9">
        <v>24</v>
      </c>
      <c r="E5" s="3" t="s">
        <v>27</v>
      </c>
      <c r="F5" s="6">
        <v>0</v>
      </c>
      <c r="G5" s="3" t="s">
        <v>28</v>
      </c>
      <c r="H5" s="3" t="s">
        <v>29</v>
      </c>
      <c r="I5" s="3" t="s">
        <v>30</v>
      </c>
      <c r="J5" s="4">
        <v>9.5000000000000001E-2</v>
      </c>
      <c r="K5" s="4">
        <v>0.18</v>
      </c>
      <c r="L5" s="5">
        <v>2.5</v>
      </c>
      <c r="M5" s="5" t="str">
        <f t="shared" si="0"/>
        <v>Risk Seeking</v>
      </c>
    </row>
    <row r="6" spans="1:13" ht="15.75" thickBot="1" x14ac:dyDescent="0.25">
      <c r="A6" s="7">
        <v>2</v>
      </c>
      <c r="B6" s="7">
        <v>5</v>
      </c>
      <c r="C6" s="9" t="s">
        <v>31</v>
      </c>
      <c r="D6" s="9">
        <v>55</v>
      </c>
      <c r="E6" s="3" t="s">
        <v>32</v>
      </c>
      <c r="F6" s="6">
        <v>200000</v>
      </c>
      <c r="G6" s="3" t="s">
        <v>33</v>
      </c>
      <c r="H6" s="3" t="s">
        <v>34</v>
      </c>
      <c r="I6" s="3" t="s">
        <v>35</v>
      </c>
      <c r="J6" s="4">
        <v>7.4999999999999997E-2</v>
      </c>
      <c r="K6" s="4">
        <v>0.14000000000000001</v>
      </c>
      <c r="L6" s="5">
        <v>4.5</v>
      </c>
      <c r="M6" s="5" t="str">
        <f t="shared" si="0"/>
        <v>Risk Neutral</v>
      </c>
    </row>
    <row r="7" spans="1:13" ht="15.75" thickBot="1" x14ac:dyDescent="0.25">
      <c r="A7" s="7">
        <v>3</v>
      </c>
      <c r="B7" s="7">
        <v>6</v>
      </c>
      <c r="C7" s="9" t="s">
        <v>36</v>
      </c>
      <c r="D7" s="9">
        <v>42</v>
      </c>
      <c r="E7" s="3" t="s">
        <v>37</v>
      </c>
      <c r="F7" s="6">
        <v>280000</v>
      </c>
      <c r="G7" s="6">
        <v>850000</v>
      </c>
      <c r="H7" s="3" t="s">
        <v>38</v>
      </c>
      <c r="I7" s="3" t="s">
        <v>39</v>
      </c>
      <c r="J7" s="4">
        <v>0.08</v>
      </c>
      <c r="K7" s="4">
        <v>0.15</v>
      </c>
      <c r="L7" s="5">
        <v>3.5</v>
      </c>
      <c r="M7" s="5" t="str">
        <f t="shared" si="0"/>
        <v>Risk Neutral</v>
      </c>
    </row>
    <row r="8" spans="1:13" ht="15.75" thickBot="1" x14ac:dyDescent="0.25">
      <c r="A8" s="7">
        <v>2</v>
      </c>
      <c r="B8" s="7">
        <v>7</v>
      </c>
      <c r="C8" s="9" t="s">
        <v>40</v>
      </c>
      <c r="D8" s="9">
        <v>51</v>
      </c>
      <c r="E8" s="3" t="s">
        <v>41</v>
      </c>
      <c r="F8" s="6">
        <v>95000</v>
      </c>
      <c r="G8" s="6">
        <v>600000</v>
      </c>
      <c r="H8" s="3" t="s">
        <v>42</v>
      </c>
      <c r="I8" s="3" t="s">
        <v>43</v>
      </c>
      <c r="J8" s="4">
        <v>5.5E-2</v>
      </c>
      <c r="K8" s="4">
        <v>0.09</v>
      </c>
      <c r="L8" s="5">
        <v>6</v>
      </c>
      <c r="M8" s="5" t="str">
        <f t="shared" si="0"/>
        <v>Risk Averse</v>
      </c>
    </row>
    <row r="9" spans="1:13" ht="15.75" thickBot="1" x14ac:dyDescent="0.25">
      <c r="A9" s="7">
        <v>2</v>
      </c>
      <c r="B9" s="7">
        <v>8</v>
      </c>
      <c r="C9" s="9" t="s">
        <v>44</v>
      </c>
      <c r="D9" s="9">
        <v>58</v>
      </c>
      <c r="E9" s="3" t="s">
        <v>45</v>
      </c>
      <c r="F9" s="6">
        <v>70000</v>
      </c>
      <c r="G9" s="6">
        <v>120000</v>
      </c>
      <c r="H9" s="3" t="s">
        <v>46</v>
      </c>
      <c r="I9" s="3" t="s">
        <v>47</v>
      </c>
      <c r="J9" s="4">
        <v>0.1</v>
      </c>
      <c r="K9" s="4">
        <v>0.2</v>
      </c>
      <c r="L9" s="5">
        <v>2</v>
      </c>
      <c r="M9" s="5" t="str">
        <f t="shared" si="0"/>
        <v>Risk Seeking</v>
      </c>
    </row>
    <row r="10" spans="1:13" ht="15.75" thickBot="1" x14ac:dyDescent="0.25">
      <c r="A10" s="7">
        <v>5</v>
      </c>
      <c r="B10" s="7">
        <v>9</v>
      </c>
      <c r="C10" s="9" t="s">
        <v>48</v>
      </c>
      <c r="D10" s="9">
        <v>80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53</v>
      </c>
      <c r="J10" s="4">
        <v>0.05</v>
      </c>
      <c r="K10" s="4">
        <v>7.0000000000000007E-2</v>
      </c>
      <c r="L10" s="5">
        <v>3</v>
      </c>
      <c r="M10" s="5" t="str">
        <f t="shared" si="0"/>
        <v>Risk Neutral</v>
      </c>
    </row>
    <row r="11" spans="1:13" ht="15.75" thickBot="1" x14ac:dyDescent="0.25">
      <c r="A11" s="7">
        <v>3</v>
      </c>
      <c r="B11" s="7">
        <v>10</v>
      </c>
      <c r="C11" s="9" t="s">
        <v>54</v>
      </c>
      <c r="D11" s="9">
        <v>32</v>
      </c>
      <c r="E11" s="3" t="s">
        <v>55</v>
      </c>
      <c r="F11" s="6">
        <v>65000</v>
      </c>
      <c r="G11" s="6">
        <v>40000</v>
      </c>
      <c r="H11" s="3" t="s">
        <v>56</v>
      </c>
      <c r="I11" s="3" t="s">
        <v>57</v>
      </c>
      <c r="J11" s="4">
        <v>6.5000000000000002E-2</v>
      </c>
      <c r="K11" s="4">
        <v>0.13</v>
      </c>
      <c r="L11" s="5">
        <v>5</v>
      </c>
      <c r="M11" s="5" t="str">
        <f t="shared" si="0"/>
        <v>Risk Averse</v>
      </c>
    </row>
    <row r="12" spans="1:13" ht="15.75" thickBot="1" x14ac:dyDescent="0.25">
      <c r="A12" s="7">
        <v>4</v>
      </c>
      <c r="B12" s="7">
        <v>11</v>
      </c>
      <c r="C12" s="9" t="s">
        <v>58</v>
      </c>
      <c r="D12" s="9">
        <v>45</v>
      </c>
      <c r="E12" s="3" t="s">
        <v>59</v>
      </c>
      <c r="F12" s="6">
        <v>85000</v>
      </c>
      <c r="G12" s="6">
        <v>200000</v>
      </c>
      <c r="H12" s="3" t="s">
        <v>60</v>
      </c>
      <c r="I12" s="3" t="s">
        <v>61</v>
      </c>
      <c r="J12" s="4">
        <v>0.04</v>
      </c>
      <c r="K12" s="4">
        <v>0.05</v>
      </c>
      <c r="L12" s="5">
        <v>9</v>
      </c>
      <c r="M12" s="5" t="str">
        <f t="shared" si="0"/>
        <v>Risk Averse</v>
      </c>
    </row>
    <row r="13" spans="1:13" ht="15.75" thickBot="1" x14ac:dyDescent="0.25">
      <c r="A13" s="7">
        <v>4</v>
      </c>
      <c r="B13" s="7">
        <v>12</v>
      </c>
      <c r="C13" s="9" t="s">
        <v>62</v>
      </c>
      <c r="D13" s="9">
        <v>38</v>
      </c>
      <c r="E13" s="3" t="s">
        <v>63</v>
      </c>
      <c r="F13" s="6">
        <v>150000</v>
      </c>
      <c r="G13" s="6">
        <v>300000</v>
      </c>
      <c r="H13" s="3" t="s">
        <v>64</v>
      </c>
      <c r="I13" s="3" t="s">
        <v>65</v>
      </c>
      <c r="J13" s="4">
        <v>8.5000000000000006E-2</v>
      </c>
      <c r="K13" s="4">
        <v>0.16</v>
      </c>
      <c r="L13" s="5">
        <v>3.5</v>
      </c>
      <c r="M13" s="5" t="str">
        <f t="shared" si="0"/>
        <v>Risk Neutral</v>
      </c>
    </row>
    <row r="14" spans="1:13" ht="15.75" thickBot="1" x14ac:dyDescent="0.25">
      <c r="A14" s="7">
        <v>5</v>
      </c>
      <c r="B14" s="7">
        <v>13</v>
      </c>
      <c r="C14" s="9" t="s">
        <v>66</v>
      </c>
      <c r="D14" s="9" t="s">
        <v>67</v>
      </c>
      <c r="E14" s="3" t="s">
        <v>68</v>
      </c>
      <c r="F14" s="6">
        <v>110000</v>
      </c>
      <c r="G14" s="6">
        <v>20000</v>
      </c>
      <c r="H14" s="3" t="s">
        <v>69</v>
      </c>
      <c r="I14" s="3" t="s">
        <v>70</v>
      </c>
      <c r="J14" s="4">
        <v>0.06</v>
      </c>
      <c r="K14" s="4">
        <v>0.1</v>
      </c>
      <c r="L14" s="5">
        <v>7</v>
      </c>
      <c r="M14" s="5" t="str">
        <f t="shared" si="0"/>
        <v>Risk Averse</v>
      </c>
    </row>
    <row r="15" spans="1:13" ht="15.75" thickBot="1" x14ac:dyDescent="0.25">
      <c r="A15" s="7">
        <v>4</v>
      </c>
      <c r="B15" s="7">
        <v>14</v>
      </c>
      <c r="C15" s="9" t="s">
        <v>71</v>
      </c>
      <c r="D15" s="9">
        <v>52</v>
      </c>
      <c r="E15" s="3" t="s">
        <v>72</v>
      </c>
      <c r="F15" s="6">
        <v>450000</v>
      </c>
      <c r="G15" s="3" t="s">
        <v>73</v>
      </c>
      <c r="H15" s="3" t="s">
        <v>74</v>
      </c>
      <c r="I15" s="3" t="s">
        <v>75</v>
      </c>
      <c r="J15" s="4">
        <v>0.105</v>
      </c>
      <c r="K15" s="4">
        <v>0.21</v>
      </c>
      <c r="L15" s="5">
        <v>2</v>
      </c>
      <c r="M15" s="5" t="str">
        <f t="shared" si="0"/>
        <v>Risk Seeking</v>
      </c>
    </row>
    <row r="16" spans="1:13" ht="15.75" thickBot="1" x14ac:dyDescent="0.25">
      <c r="A16" s="7">
        <v>5</v>
      </c>
      <c r="B16" s="7">
        <v>15</v>
      </c>
      <c r="C16" s="9" t="s">
        <v>76</v>
      </c>
      <c r="D16" s="9">
        <v>27</v>
      </c>
      <c r="E16" s="3" t="s">
        <v>77</v>
      </c>
      <c r="F16" s="6">
        <v>55000</v>
      </c>
      <c r="G16" s="6">
        <v>5000</v>
      </c>
      <c r="H16" s="3" t="s">
        <v>78</v>
      </c>
      <c r="I16" s="3" t="s">
        <v>79</v>
      </c>
      <c r="J16" s="4">
        <v>0.09</v>
      </c>
      <c r="K16" s="4">
        <v>0.19</v>
      </c>
      <c r="L16" s="5">
        <v>2.5</v>
      </c>
      <c r="M16" s="5" t="str">
        <f t="shared" si="0"/>
        <v>Risk Seeking</v>
      </c>
    </row>
    <row r="20" spans="1:4" x14ac:dyDescent="0.2">
      <c r="A20"/>
      <c r="B20"/>
      <c r="D20"/>
    </row>
    <row r="21" spans="1:4" x14ac:dyDescent="0.2">
      <c r="A21"/>
      <c r="B21"/>
      <c r="D21"/>
    </row>
    <row r="22" spans="1:4" x14ac:dyDescent="0.2">
      <c r="A22"/>
      <c r="B22"/>
      <c r="D22"/>
    </row>
    <row r="23" spans="1:4" x14ac:dyDescent="0.2">
      <c r="A23"/>
      <c r="B23"/>
      <c r="D23"/>
    </row>
    <row r="24" spans="1:4" x14ac:dyDescent="0.2">
      <c r="A24"/>
      <c r="B24"/>
      <c r="D24"/>
    </row>
    <row r="25" spans="1:4" x14ac:dyDescent="0.2">
      <c r="A25"/>
      <c r="B25"/>
      <c r="D25"/>
    </row>
    <row r="26" spans="1:4" x14ac:dyDescent="0.2">
      <c r="A26"/>
      <c r="B26"/>
      <c r="D26"/>
    </row>
    <row r="27" spans="1:4" x14ac:dyDescent="0.2">
      <c r="A27"/>
      <c r="B27"/>
      <c r="D27"/>
    </row>
    <row r="28" spans="1:4" x14ac:dyDescent="0.2">
      <c r="A28"/>
      <c r="B28"/>
      <c r="D28"/>
    </row>
    <row r="29" spans="1:4" x14ac:dyDescent="0.2">
      <c r="A29"/>
      <c r="B29"/>
      <c r="D29"/>
    </row>
    <row r="30" spans="1:4" x14ac:dyDescent="0.2">
      <c r="A30"/>
      <c r="B30"/>
      <c r="D30"/>
    </row>
    <row r="31" spans="1:4" x14ac:dyDescent="0.2">
      <c r="A31"/>
      <c r="B31"/>
      <c r="D31"/>
    </row>
    <row r="32" spans="1:4" x14ac:dyDescent="0.2">
      <c r="A32"/>
      <c r="B32"/>
      <c r="D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</sheetData>
  <autoFilter ref="A1:M16" xr:uid="{99D5CFF8-450C-4967-A153-7C92716259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2026-03-08T17:21:51Z</dcterms:created>
  <dcterms:modified xsi:type="dcterms:W3CDTF">2026-03-08T17:39:11Z</dcterms:modified>
</cp:coreProperties>
</file>