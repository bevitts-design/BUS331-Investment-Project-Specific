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db60ec46a654e8b" /></Relationships>
</file>

<file path=xl/workbook.xml><?xml version="1.0" encoding="utf-8"?>
<x:workbook xmlns:x="http://schemas.openxmlformats.org/spreadsheetml/2006/main">
  <x:sheets>
    <x:sheet xmlns:r="http://schemas.openxmlformats.org/officeDocument/2006/relationships" name="START HERE" sheetId="1" r:id="R86c26a47aaf64cbb"/>
    <x:sheet xmlns:r="http://schemas.openxmlformats.org/officeDocument/2006/relationships" name="SUMMARY" sheetId="2" r:id="R4133d0e5f37f45d8"/>
    <x:sheet xmlns:r="http://schemas.openxmlformats.org/officeDocument/2006/relationships" name="Client 1" sheetId="3" r:id="R3843816438664f16"/>
    <x:sheet xmlns:r="http://schemas.openxmlformats.org/officeDocument/2006/relationships" name="Client 2" sheetId="4" r:id="R15ae31f71bf64b2f"/>
    <x:sheet xmlns:r="http://schemas.openxmlformats.org/officeDocument/2006/relationships" name="Client 3" sheetId="5" r:id="R5fb1bbd37c9e4ee0"/>
    <x:sheet xmlns:r="http://schemas.openxmlformats.org/officeDocument/2006/relationships" name="ISSUER CHECK" sheetId="6" r:id="R0d983ea7cd204f5b"/>
    <x:sheet xmlns:r="http://schemas.openxmlformats.org/officeDocument/2006/relationships" name="EVIDENCE LOG" sheetId="7" r:id="R3f3dea96c4484a50"/>
    <x:sheet xmlns:r="http://schemas.openxmlformats.org/officeDocument/2006/relationships" name="RESEARCH GUIDE" sheetId="8" r:id="R66da0ddfc1884919"/>
    <x:sheet xmlns:r="http://schemas.openxmlformats.org/officeDocument/2006/relationships" name="FINAL SCORECARDS" sheetId="9" r:id="R2c003040c1aa4106"/>
    <x:sheet xmlns:r="http://schemas.openxmlformats.org/officeDocument/2006/relationships" name="RISK &amp; HEDGE" sheetId="10" r:id="R96a562bea56c4b0a"/>
  </x:sheets>
</x:workbook>
</file>

<file path=xl/comments1.xml><?xml version="1.0" encoding="utf-8"?>
<x:comments xmlns:x="http://schemas.openxmlformats.org/spreadsheetml/2006/main">
  <x:authors>
    <x:author>Unknown Author</x:author>
  </x:authors>
  <x:commentList>
    <x:comment ref="C5" authorId="0">
      <x:text>
        <x:r>
          <x:t>Enter client name or ID (e.g. Eleanor Vance — Client 1)</x:t>
        </x:r>
      </x:text>
    </x:comment>
    <x:comment ref="G5" authorId="0">
      <x:text>
        <x:r>
          <x:t>From Phase 2 IPS — client's required annual return</x:t>
        </x:r>
      </x:text>
    </x:comment>
    <x:comment ref="I5" authorId="0">
      <x:text>
        <x:r>
          <x:t>From Phase 2 IPS — maximum portfolio standard deviation allowed</x:t>
        </x:r>
      </x:text>
    </x:comment>
    <x:comment ref="K5" authorId="0">
      <x:text>
        <x:r>
          <x:t>From Phase 1 — e.g. 'Late-Cycle / Base Case: Soft Landing'</x:t>
        </x:r>
      </x:text>
    </x:comment>
    <x:comment ref="C12" authorId="0">
      <x:text>
        <x:r>
          <x:t>Enter ticker symbol (e.g. AAPL, SPY, TLT)</x:t>
        </x:r>
      </x:text>
    </x:comment>
    <x:comment ref="D12" authorId="0">
      <x:text>
        <x:r>
          <x:t>Full security or ETF name</x:t>
        </x:r>
      </x:text>
    </x:comment>
    <x:comment ref="E12" authorId="0">
      <x:text>
        <x:r>
          <x:t>Select asset class from dropdown</x:t>
        </x:r>
      </x:text>
    </x:comment>
    <x:comment ref="F12" authorId="0">
      <x:text>
        <x:r>
          <x:t>Select sector from dropdown</x:t>
        </x:r>
      </x:text>
    </x:comment>
    <x:comment ref="G12" authorId="0">
      <x:text>
        <x:r>
          <x:t>Portfolio weight for this security. All weights must sum to 100%.</x:t>
        </x:r>
      </x:text>
    </x:comment>
    <x:comment ref="I12" authorId="0">
      <x:text>
        <x:r>
          <x:t>Estimated beta (vs. S&amp;P 500). Source from FactSet or Yahoo Finance.</x:t>
        </x:r>
      </x:text>
    </x:comment>
    <x:comment ref="J12" authorId="0">
      <x:text>
        <x:r>
          <x:t>Does this security PASS your Phase 1 macro filter? Must be YES.</x:t>
        </x:r>
      </x:text>
    </x:comment>
    <x:comment ref="K12" authorId="0">
      <x:text>
        <x:r>
          <x:t>Reference number linking to your Investment Thesis Log (Section 3 of this tab). e.g. 1, 2, 3...</x:t>
        </x:r>
      </x:text>
    </x:comment>
    <x:comment ref="L12" authorId="0">
      <x:text>
        <x:r>
          <x:t>Cite your source. E.g. "FactSet @ECO, 4/15/2025" or "SEC 10-K FY2024"</x:t>
        </x:r>
      </x:text>
    </x:comment>
    <x:comment ref="C13" authorId="0">
      <x:text>
        <x:r>
          <x:t>Enter ticker symbol (e.g. AAPL, SPY, TLT)</x:t>
        </x:r>
      </x:text>
    </x:comment>
    <x:comment ref="D13" authorId="0">
      <x:text>
        <x:r>
          <x:t>Full security or ETF name</x:t>
        </x:r>
      </x:text>
    </x:comment>
    <x:comment ref="E13" authorId="0">
      <x:text>
        <x:r>
          <x:t>Select asset class from dropdown</x:t>
        </x:r>
      </x:text>
    </x:comment>
    <x:comment ref="F13" authorId="0">
      <x:text>
        <x:r>
          <x:t>Select sector from dropdown</x:t>
        </x:r>
      </x:text>
    </x:comment>
    <x:comment ref="G13" authorId="0">
      <x:text>
        <x:r>
          <x:t>Portfolio weight for this security. All weights must sum to 100%.</x:t>
        </x:r>
      </x:text>
    </x:comment>
    <x:comment ref="I13" authorId="0">
      <x:text>
        <x:r>
          <x:t>Estimated beta (vs. S&amp;P 500). Source from FactSet or Yahoo Finance.</x:t>
        </x:r>
      </x:text>
    </x:comment>
    <x:comment ref="J13" authorId="0">
      <x:text>
        <x:r>
          <x:t>Does this security PASS your Phase 1 macro filter? Must be YES.</x:t>
        </x:r>
      </x:text>
    </x:comment>
    <x:comment ref="K13" authorId="0">
      <x:text>
        <x:r>
          <x:t>Reference number linking to your Investment Thesis Log (Section 3 of this tab). e.g. 1, 2, 3...</x:t>
        </x:r>
      </x:text>
    </x:comment>
    <x:comment ref="L13" authorId="0">
      <x:text>
        <x:r>
          <x:t>Cite your source. E.g. "FactSet @ECO, 4/15/2025" or "SEC 10-K FY2024"</x:t>
        </x:r>
      </x:text>
    </x:comment>
    <x:comment ref="C14" authorId="0">
      <x:text>
        <x:r>
          <x:t>Enter ticker symbol (e.g. AAPL, SPY, TLT)</x:t>
        </x:r>
      </x:text>
    </x:comment>
    <x:comment ref="D14" authorId="0">
      <x:text>
        <x:r>
          <x:t>Full security or ETF name</x:t>
        </x:r>
      </x:text>
    </x:comment>
    <x:comment ref="E14" authorId="0">
      <x:text>
        <x:r>
          <x:t>Select asset class from dropdown</x:t>
        </x:r>
      </x:text>
    </x:comment>
    <x:comment ref="F14" authorId="0">
      <x:text>
        <x:r>
          <x:t>Select sector from dropdown</x:t>
        </x:r>
      </x:text>
    </x:comment>
    <x:comment ref="G14" authorId="0">
      <x:text>
        <x:r>
          <x:t>Portfolio weight for this security. All weights must sum to 100%.</x:t>
        </x:r>
      </x:text>
    </x:comment>
    <x:comment ref="I14" authorId="0">
      <x:text>
        <x:r>
          <x:t>Estimated beta (vs. S&amp;P 500). Source from FactSet or Yahoo Finance.</x:t>
        </x:r>
      </x:text>
    </x:comment>
    <x:comment ref="J14" authorId="0">
      <x:text>
        <x:r>
          <x:t>Does this security PASS your Phase 1 macro filter? Must be YES.</x:t>
        </x:r>
      </x:text>
    </x:comment>
    <x:comment ref="K14" authorId="0">
      <x:text>
        <x:r>
          <x:t>Reference number linking to your Investment Thesis Log (Section 3 of this tab). e.g. 1, 2, 3...</x:t>
        </x:r>
      </x:text>
    </x:comment>
    <x:comment ref="L14" authorId="0">
      <x:text>
        <x:r>
          <x:t>Cite your source. E.g. "FactSet @ECO, 4/15/2025" or "SEC 10-K FY2024"</x:t>
        </x:r>
      </x:text>
    </x:comment>
    <x:comment ref="C15" authorId="0">
      <x:text>
        <x:r>
          <x:t>Enter ticker symbol (e.g. AAPL, SPY, TLT)</x:t>
        </x:r>
      </x:text>
    </x:comment>
    <x:comment ref="D15" authorId="0">
      <x:text>
        <x:r>
          <x:t>Full security or ETF name</x:t>
        </x:r>
      </x:text>
    </x:comment>
    <x:comment ref="E15" authorId="0">
      <x:text>
        <x:r>
          <x:t>Select asset class from dropdown</x:t>
        </x:r>
      </x:text>
    </x:comment>
    <x:comment ref="F15" authorId="0">
      <x:text>
        <x:r>
          <x:t>Select sector from dropdown</x:t>
        </x:r>
      </x:text>
    </x:comment>
    <x:comment ref="G15" authorId="0">
      <x:text>
        <x:r>
          <x:t>Portfolio weight for this security. All weights must sum to 100%.</x:t>
        </x:r>
      </x:text>
    </x:comment>
    <x:comment ref="I15" authorId="0">
      <x:text>
        <x:r>
          <x:t>Estimated beta (vs. S&amp;P 500). Source from FactSet or Yahoo Finance.</x:t>
        </x:r>
      </x:text>
    </x:comment>
    <x:comment ref="J15" authorId="0">
      <x:text>
        <x:r>
          <x:t>Does this security PASS your Phase 1 macro filter? Must be YES.</x:t>
        </x:r>
      </x:text>
    </x:comment>
    <x:comment ref="K15" authorId="0">
      <x:text>
        <x:r>
          <x:t>Reference number linking to your Investment Thesis Log (Section 3 of this tab). e.g. 1, 2, 3...</x:t>
        </x:r>
      </x:text>
    </x:comment>
    <x:comment ref="L15" authorId="0">
      <x:text>
        <x:r>
          <x:t>Cite your source. E.g. "FactSet @ECO, 4/15/2025" or "SEC 10-K FY2024"</x:t>
        </x:r>
      </x:text>
    </x:comment>
    <x:comment ref="C16" authorId="0">
      <x:text>
        <x:r>
          <x:t>Enter ticker symbol (e.g. AAPL, SPY, TLT)</x:t>
        </x:r>
      </x:text>
    </x:comment>
    <x:comment ref="D16" authorId="0">
      <x:text>
        <x:r>
          <x:t>Full security or ETF name</x:t>
        </x:r>
      </x:text>
    </x:comment>
    <x:comment ref="E16" authorId="0">
      <x:text>
        <x:r>
          <x:t>Select asset class from dropdown</x:t>
        </x:r>
      </x:text>
    </x:comment>
    <x:comment ref="F16" authorId="0">
      <x:text>
        <x:r>
          <x:t>Select sector from dropdown</x:t>
        </x:r>
      </x:text>
    </x:comment>
    <x:comment ref="G16" authorId="0">
      <x:text>
        <x:r>
          <x:t>Portfolio weight for this security. All weights must sum to 100%.</x:t>
        </x:r>
      </x:text>
    </x:comment>
    <x:comment ref="I16" authorId="0">
      <x:text>
        <x:r>
          <x:t>Estimated beta (vs. S&amp;P 500). Source from FactSet or Yahoo Finance.</x:t>
        </x:r>
      </x:text>
    </x:comment>
    <x:comment ref="J16" authorId="0">
      <x:text>
        <x:r>
          <x:t>Does this security PASS your Phase 1 macro filter? Must be YES.</x:t>
        </x:r>
      </x:text>
    </x:comment>
    <x:comment ref="K16" authorId="0">
      <x:text>
        <x:r>
          <x:t>Reference number linking to your Investment Thesis Log (Section 3 of this tab). e.g. 1, 2, 3...</x:t>
        </x:r>
      </x:text>
    </x:comment>
    <x:comment ref="L16" authorId="0">
      <x:text>
        <x:r>
          <x:t>Cite your source. E.g. "FactSet @ECO, 4/15/2025" or "SEC 10-K FY2024"</x:t>
        </x:r>
      </x:text>
    </x:comment>
    <x:comment ref="C17" authorId="0">
      <x:text>
        <x:r>
          <x:t>Enter ticker symbol (e.g. AAPL, SPY, TLT)</x:t>
        </x:r>
      </x:text>
    </x:comment>
    <x:comment ref="D17" authorId="0">
      <x:text>
        <x:r>
          <x:t>Full security or ETF name</x:t>
        </x:r>
      </x:text>
    </x:comment>
    <x:comment ref="E17" authorId="0">
      <x:text>
        <x:r>
          <x:t>Select asset class from dropdown</x:t>
        </x:r>
      </x:text>
    </x:comment>
    <x:comment ref="F17" authorId="0">
      <x:text>
        <x:r>
          <x:t>Select sector from dropdown</x:t>
        </x:r>
      </x:text>
    </x:comment>
    <x:comment ref="G17" authorId="0">
      <x:text>
        <x:r>
          <x:t>Portfolio weight for this security. All weights must sum to 100%.</x:t>
        </x:r>
      </x:text>
    </x:comment>
    <x:comment ref="I17" authorId="0">
      <x:text>
        <x:r>
          <x:t>Estimated beta (vs. S&amp;P 500). Source from FactSet or Yahoo Finance.</x:t>
        </x:r>
      </x:text>
    </x:comment>
    <x:comment ref="J17" authorId="0">
      <x:text>
        <x:r>
          <x:t>Does this security PASS your Phase 1 macro filter? Must be YES.</x:t>
        </x:r>
      </x:text>
    </x:comment>
    <x:comment ref="K17" authorId="0">
      <x:text>
        <x:r>
          <x:t>Reference number linking to your Investment Thesis Log (Section 3 of this tab). e.g. 1, 2, 3...</x:t>
        </x:r>
      </x:text>
    </x:comment>
    <x:comment ref="L17" authorId="0">
      <x:text>
        <x:r>
          <x:t>Cite your source. E.g. "FactSet @ECO, 4/15/2025" or "SEC 10-K FY2024"</x:t>
        </x:r>
      </x:text>
    </x:comment>
    <x:comment ref="C18" authorId="0">
      <x:text>
        <x:r>
          <x:t>Enter ticker symbol (e.g. AAPL, SPY, TLT)</x:t>
        </x:r>
      </x:text>
    </x:comment>
    <x:comment ref="D18" authorId="0">
      <x:text>
        <x:r>
          <x:t>Full security or ETF name</x:t>
        </x:r>
      </x:text>
    </x:comment>
    <x:comment ref="E18" authorId="0">
      <x:text>
        <x:r>
          <x:t>Select asset class from dropdown</x:t>
        </x:r>
      </x:text>
    </x:comment>
    <x:comment ref="F18" authorId="0">
      <x:text>
        <x:r>
          <x:t>Select sector from dropdown</x:t>
        </x:r>
      </x:text>
    </x:comment>
    <x:comment ref="G18" authorId="0">
      <x:text>
        <x:r>
          <x:t>Portfolio weight for this security. All weights must sum to 100%.</x:t>
        </x:r>
      </x:text>
    </x:comment>
    <x:comment ref="I18" authorId="0">
      <x:text>
        <x:r>
          <x:t>Estimated beta (vs. S&amp;P 500). Source from FactSet or Yahoo Finance.</x:t>
        </x:r>
      </x:text>
    </x:comment>
    <x:comment ref="J18" authorId="0">
      <x:text>
        <x:r>
          <x:t>Does this security PASS your Phase 1 macro filter? Must be YES.</x:t>
        </x:r>
      </x:text>
    </x:comment>
    <x:comment ref="K18" authorId="0">
      <x:text>
        <x:r>
          <x:t>Reference number linking to your Investment Thesis Log (Section 3 of this tab). e.g. 1, 2, 3...</x:t>
        </x:r>
      </x:text>
    </x:comment>
    <x:comment ref="L18" authorId="0">
      <x:text>
        <x:r>
          <x:t>Cite your source. E.g. "FactSet @ECO, 4/15/2025" or "SEC 10-K FY2024"</x:t>
        </x:r>
      </x:text>
    </x:comment>
    <x:comment ref="C19" authorId="0">
      <x:text>
        <x:r>
          <x:t>Enter ticker symbol (e.g. AAPL, SPY, TLT)</x:t>
        </x:r>
      </x:text>
    </x:comment>
    <x:comment ref="D19" authorId="0">
      <x:text>
        <x:r>
          <x:t>Full security or ETF name</x:t>
        </x:r>
      </x:text>
    </x:comment>
    <x:comment ref="E19" authorId="0">
      <x:text>
        <x:r>
          <x:t>Select asset class from dropdown</x:t>
        </x:r>
      </x:text>
    </x:comment>
    <x:comment ref="F19" authorId="0">
      <x:text>
        <x:r>
          <x:t>Select sector from dropdown</x:t>
        </x:r>
      </x:text>
    </x:comment>
    <x:comment ref="G19" authorId="0">
      <x:text>
        <x:r>
          <x:t>Portfolio weight for this security. All weights must sum to 100%.</x:t>
        </x:r>
      </x:text>
    </x:comment>
    <x:comment ref="I19" authorId="0">
      <x:text>
        <x:r>
          <x:t>Estimated beta (vs. S&amp;P 500). Source from FactSet or Yahoo Finance.</x:t>
        </x:r>
      </x:text>
    </x:comment>
    <x:comment ref="J19" authorId="0">
      <x:text>
        <x:r>
          <x:t>Does this security PASS your Phase 1 macro filter? Must be YES.</x:t>
        </x:r>
      </x:text>
    </x:comment>
    <x:comment ref="K19" authorId="0">
      <x:text>
        <x:r>
          <x:t>Reference number linking to your Investment Thesis Log (Section 3 of this tab). e.g. 1, 2, 3...</x:t>
        </x:r>
      </x:text>
    </x:comment>
    <x:comment ref="L19" authorId="0">
      <x:text>
        <x:r>
          <x:t>Cite your source. E.g. "FactSet @ECO, 4/15/2025" or "SEC 10-K FY2024"</x:t>
        </x:r>
      </x:text>
    </x:comment>
    <x:comment ref="C20" authorId="0">
      <x:text>
        <x:r>
          <x:t>Enter ticker symbol (e.g. AAPL, SPY, TLT)</x:t>
        </x:r>
      </x:text>
    </x:comment>
    <x:comment ref="D20" authorId="0">
      <x:text>
        <x:r>
          <x:t>Full security or ETF name</x:t>
        </x:r>
      </x:text>
    </x:comment>
    <x:comment ref="E20" authorId="0">
      <x:text>
        <x:r>
          <x:t>Select asset class from dropdown</x:t>
        </x:r>
      </x:text>
    </x:comment>
    <x:comment ref="F20" authorId="0">
      <x:text>
        <x:r>
          <x:t>Select sector from dropdown</x:t>
        </x:r>
      </x:text>
    </x:comment>
    <x:comment ref="G20" authorId="0">
      <x:text>
        <x:r>
          <x:t>Portfolio weight for this security. All weights must sum to 100%.</x:t>
        </x:r>
      </x:text>
    </x:comment>
    <x:comment ref="I20" authorId="0">
      <x:text>
        <x:r>
          <x:t>Estimated beta (vs. S&amp;P 500). Source from FactSet or Yahoo Finance.</x:t>
        </x:r>
      </x:text>
    </x:comment>
    <x:comment ref="J20" authorId="0">
      <x:text>
        <x:r>
          <x:t>Does this security PASS your Phase 1 macro filter? Must be YES.</x:t>
        </x:r>
      </x:text>
    </x:comment>
    <x:comment ref="K20" authorId="0">
      <x:text>
        <x:r>
          <x:t>Reference number linking to your Investment Thesis Log (Section 3 of this tab). e.g. 1, 2, 3...</x:t>
        </x:r>
      </x:text>
    </x:comment>
    <x:comment ref="L20" authorId="0">
      <x:text>
        <x:r>
          <x:t>Cite your source. E.g. "FactSet @ECO, 4/15/2025" or "SEC 10-K FY2024"</x:t>
        </x:r>
      </x:text>
    </x:comment>
    <x:comment ref="C21" authorId="0">
      <x:text>
        <x:r>
          <x:t>Enter ticker symbol (e.g. AAPL, SPY, TLT)</x:t>
        </x:r>
      </x:text>
    </x:comment>
    <x:comment ref="D21" authorId="0">
      <x:text>
        <x:r>
          <x:t>Full security or ETF name</x:t>
        </x:r>
      </x:text>
    </x:comment>
    <x:comment ref="E21" authorId="0">
      <x:text>
        <x:r>
          <x:t>Select asset class from dropdown</x:t>
        </x:r>
      </x:text>
    </x:comment>
    <x:comment ref="F21" authorId="0">
      <x:text>
        <x:r>
          <x:t>Select sector from dropdown</x:t>
        </x:r>
      </x:text>
    </x:comment>
    <x:comment ref="G21" authorId="0">
      <x:text>
        <x:r>
          <x:t>Portfolio weight for this security. All weights must sum to 100%.</x:t>
        </x:r>
      </x:text>
    </x:comment>
    <x:comment ref="I21" authorId="0">
      <x:text>
        <x:r>
          <x:t>Estimated beta (vs. S&amp;P 500). Source from FactSet or Yahoo Finance.</x:t>
        </x:r>
      </x:text>
    </x:comment>
    <x:comment ref="J21" authorId="0">
      <x:text>
        <x:r>
          <x:t>Does this security PASS your Phase 1 macro filter? Must be YES.</x:t>
        </x:r>
      </x:text>
    </x:comment>
    <x:comment ref="K21" authorId="0">
      <x:text>
        <x:r>
          <x:t>Reference number linking to your Investment Thesis Log (Section 3 of this tab). e.g. 1, 2, 3...</x:t>
        </x:r>
      </x:text>
    </x:comment>
    <x:comment ref="L21" authorId="0">
      <x:text>
        <x:r>
          <x:t>Cite your source. E.g. "FactSet @ECO, 4/15/2025" or "SEC 10-K FY2024"</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B39" authorId="0">
      <x:text>
        <x:r>
          <x:t>Example: Covered Call</x:t>
        </x:r>
      </x:text>
    </x:comment>
    <x:comment ref="C39" authorId="0">
      <x:text>
        <x:r>
          <x:t>Example: Net credit received</x:t>
        </x:r>
      </x:text>
    </x:comment>
    <x:comment ref="F39" authorId="0">
      <x:text>
        <x:r>
          <x:t>Example: Caps upside; no floor</x:t>
        </x:r>
      </x:text>
    </x:comment>
    <x:comment ref="H39" authorId="0">
      <x:text>
        <x:r>
          <x:t>Example: Lower cost but limits gains</x:t>
        </x:r>
      </x:text>
    </x:comment>
    <x:comment ref="K39" authorId="0">
      <x:text>
        <x:r>
          <x:t>Example: Client needs upside participation</x:t>
        </x:r>
      </x:text>
    </x:comment>
    <x:comment ref="B40" authorId="0">
      <x:text>
        <x:r>
          <x:t>Example: Increase Cash Allocation</x:t>
        </x:r>
      </x:text>
    </x:comment>
    <x:comment ref="C40" authorId="0">
      <x:text>
        <x:r>
          <x:t>Example: Opportunity cost only</x:t>
        </x:r>
      </x:text>
    </x:comment>
    <x:comment ref="F40" authorId="0">
      <x:text>
        <x:r>
          <x:t>Example: Reduces equity exposure</x:t>
        </x:r>
      </x:text>
    </x:comment>
    <x:comment ref="H40" authorId="0">
      <x:text>
        <x:r>
          <x:t>Example: Simpler but sacrifices return</x:t>
        </x:r>
      </x:text>
    </x:comment>
    <x:comment ref="K40" authorId="0">
      <x:text>
        <x:r>
          <x:t>Example: Below target E(R) with high cash</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List>
</x:comments>
</file>

<file path=xl/comments2.xml><?xml version="1.0" encoding="utf-8"?>
<x:comments xmlns:x="http://schemas.openxmlformats.org/spreadsheetml/2006/main">
  <x:authors>
    <x:author>Unknown Author</x:author>
  </x:authors>
  <x:commentList>
    <x:comment ref="C5" authorId="0">
      <x:text>
        <x:r>
          <x:t>Enter client name or ID (e.g. Eleanor Vance — Client 1)</x:t>
        </x:r>
      </x:text>
    </x:comment>
    <x:comment ref="G5" authorId="0">
      <x:text>
        <x:r>
          <x:t>From Phase 2 IPS — client's required annual return</x:t>
        </x:r>
      </x:text>
    </x:comment>
    <x:comment ref="I5" authorId="0">
      <x:text>
        <x:r>
          <x:t>From Phase 2 IPS — maximum portfolio standard deviation allowed</x:t>
        </x:r>
      </x:text>
    </x:comment>
    <x:comment ref="K5" authorId="0">
      <x:text>
        <x:r>
          <x:t>From Phase 1 — e.g. 'Late-Cycle / Base Case: Soft Landing'</x:t>
        </x:r>
      </x:text>
    </x:comment>
    <x:comment ref="C12" authorId="0">
      <x:text>
        <x:r>
          <x:t>Enter ticker symbol (e.g. AAPL, SPY, TLT)</x:t>
        </x:r>
      </x:text>
    </x:comment>
    <x:comment ref="D12" authorId="0">
      <x:text>
        <x:r>
          <x:t>Full security or ETF name</x:t>
        </x:r>
      </x:text>
    </x:comment>
    <x:comment ref="E12" authorId="0">
      <x:text>
        <x:r>
          <x:t>Select asset class from dropdown</x:t>
        </x:r>
      </x:text>
    </x:comment>
    <x:comment ref="F12" authorId="0">
      <x:text>
        <x:r>
          <x:t>Select sector from dropdown</x:t>
        </x:r>
      </x:text>
    </x:comment>
    <x:comment ref="G12" authorId="0">
      <x:text>
        <x:r>
          <x:t>Portfolio weight for this security. All weights must sum to 100%.</x:t>
        </x:r>
      </x:text>
    </x:comment>
    <x:comment ref="I12" authorId="0">
      <x:text>
        <x:r>
          <x:t>Estimated beta (vs. S&amp;P 500). Source from FactSet or Yahoo Finance.</x:t>
        </x:r>
      </x:text>
    </x:comment>
    <x:comment ref="J12" authorId="0">
      <x:text>
        <x:r>
          <x:t>Does this security PASS your Phase 1 macro filter? Must be YES.</x:t>
        </x:r>
      </x:text>
    </x:comment>
    <x:comment ref="K12" authorId="0">
      <x:text>
        <x:r>
          <x:t>Reference number linking to your Investment Thesis Log (Section 3 of this tab). e.g. 1, 2, 3...</x:t>
        </x:r>
      </x:text>
    </x:comment>
    <x:comment ref="L12" authorId="0">
      <x:text>
        <x:r>
          <x:t>Cite your source. E.g. "FactSet @ECO, 4/15/2025" or "SEC 10-K FY2024"</x:t>
        </x:r>
      </x:text>
    </x:comment>
    <x:comment ref="C13" authorId="0">
      <x:text>
        <x:r>
          <x:t>Enter ticker symbol (e.g. AAPL, SPY, TLT)</x:t>
        </x:r>
      </x:text>
    </x:comment>
    <x:comment ref="D13" authorId="0">
      <x:text>
        <x:r>
          <x:t>Full security or ETF name</x:t>
        </x:r>
      </x:text>
    </x:comment>
    <x:comment ref="E13" authorId="0">
      <x:text>
        <x:r>
          <x:t>Select asset class from dropdown</x:t>
        </x:r>
      </x:text>
    </x:comment>
    <x:comment ref="F13" authorId="0">
      <x:text>
        <x:r>
          <x:t>Select sector from dropdown</x:t>
        </x:r>
      </x:text>
    </x:comment>
    <x:comment ref="G13" authorId="0">
      <x:text>
        <x:r>
          <x:t>Portfolio weight for this security. All weights must sum to 100%.</x:t>
        </x:r>
      </x:text>
    </x:comment>
    <x:comment ref="I13" authorId="0">
      <x:text>
        <x:r>
          <x:t>Estimated beta (vs. S&amp;P 500). Source from FactSet or Yahoo Finance.</x:t>
        </x:r>
      </x:text>
    </x:comment>
    <x:comment ref="J13" authorId="0">
      <x:text>
        <x:r>
          <x:t>Does this security PASS your Phase 1 macro filter? Must be YES.</x:t>
        </x:r>
      </x:text>
    </x:comment>
    <x:comment ref="K13" authorId="0">
      <x:text>
        <x:r>
          <x:t>Reference number linking to your Investment Thesis Log (Section 3 of this tab). e.g. 1, 2, 3...</x:t>
        </x:r>
      </x:text>
    </x:comment>
    <x:comment ref="L13" authorId="0">
      <x:text>
        <x:r>
          <x:t>Cite your source. E.g. "FactSet @ECO, 4/15/2025" or "SEC 10-K FY2024"</x:t>
        </x:r>
      </x:text>
    </x:comment>
    <x:comment ref="C14" authorId="0">
      <x:text>
        <x:r>
          <x:t>Enter ticker symbol (e.g. AAPL, SPY, TLT)</x:t>
        </x:r>
      </x:text>
    </x:comment>
    <x:comment ref="D14" authorId="0">
      <x:text>
        <x:r>
          <x:t>Full security or ETF name</x:t>
        </x:r>
      </x:text>
    </x:comment>
    <x:comment ref="E14" authorId="0">
      <x:text>
        <x:r>
          <x:t>Select asset class from dropdown</x:t>
        </x:r>
      </x:text>
    </x:comment>
    <x:comment ref="F14" authorId="0">
      <x:text>
        <x:r>
          <x:t>Select sector from dropdown</x:t>
        </x:r>
      </x:text>
    </x:comment>
    <x:comment ref="G14" authorId="0">
      <x:text>
        <x:r>
          <x:t>Portfolio weight for this security. All weights must sum to 100%.</x:t>
        </x:r>
      </x:text>
    </x:comment>
    <x:comment ref="I14" authorId="0">
      <x:text>
        <x:r>
          <x:t>Estimated beta (vs. S&amp;P 500). Source from FactSet or Yahoo Finance.</x:t>
        </x:r>
      </x:text>
    </x:comment>
    <x:comment ref="J14" authorId="0">
      <x:text>
        <x:r>
          <x:t>Does this security PASS your Phase 1 macro filter? Must be YES.</x:t>
        </x:r>
      </x:text>
    </x:comment>
    <x:comment ref="K14" authorId="0">
      <x:text>
        <x:r>
          <x:t>Reference number linking to your Investment Thesis Log (Section 3 of this tab). e.g. 1, 2, 3...</x:t>
        </x:r>
      </x:text>
    </x:comment>
    <x:comment ref="L14" authorId="0">
      <x:text>
        <x:r>
          <x:t>Cite your source. E.g. "FactSet @ECO, 4/15/2025" or "SEC 10-K FY2024"</x:t>
        </x:r>
      </x:text>
    </x:comment>
    <x:comment ref="C15" authorId="0">
      <x:text>
        <x:r>
          <x:t>Enter ticker symbol (e.g. AAPL, SPY, TLT)</x:t>
        </x:r>
      </x:text>
    </x:comment>
    <x:comment ref="D15" authorId="0">
      <x:text>
        <x:r>
          <x:t>Full security or ETF name</x:t>
        </x:r>
      </x:text>
    </x:comment>
    <x:comment ref="E15" authorId="0">
      <x:text>
        <x:r>
          <x:t>Select asset class from dropdown</x:t>
        </x:r>
      </x:text>
    </x:comment>
    <x:comment ref="F15" authorId="0">
      <x:text>
        <x:r>
          <x:t>Select sector from dropdown</x:t>
        </x:r>
      </x:text>
    </x:comment>
    <x:comment ref="G15" authorId="0">
      <x:text>
        <x:r>
          <x:t>Portfolio weight for this security. All weights must sum to 100%.</x:t>
        </x:r>
      </x:text>
    </x:comment>
    <x:comment ref="I15" authorId="0">
      <x:text>
        <x:r>
          <x:t>Estimated beta (vs. S&amp;P 500). Source from FactSet or Yahoo Finance.</x:t>
        </x:r>
      </x:text>
    </x:comment>
    <x:comment ref="J15" authorId="0">
      <x:text>
        <x:r>
          <x:t>Does this security PASS your Phase 1 macro filter? Must be YES.</x:t>
        </x:r>
      </x:text>
    </x:comment>
    <x:comment ref="K15" authorId="0">
      <x:text>
        <x:r>
          <x:t>Reference number linking to your Investment Thesis Log (Section 3 of this tab). e.g. 1, 2, 3...</x:t>
        </x:r>
      </x:text>
    </x:comment>
    <x:comment ref="L15" authorId="0">
      <x:text>
        <x:r>
          <x:t>Cite your source. E.g. "FactSet @ECO, 4/15/2025" or "SEC 10-K FY2024"</x:t>
        </x:r>
      </x:text>
    </x:comment>
    <x:comment ref="C16" authorId="0">
      <x:text>
        <x:r>
          <x:t>Enter ticker symbol (e.g. AAPL, SPY, TLT)</x:t>
        </x:r>
      </x:text>
    </x:comment>
    <x:comment ref="D16" authorId="0">
      <x:text>
        <x:r>
          <x:t>Full security or ETF name</x:t>
        </x:r>
      </x:text>
    </x:comment>
    <x:comment ref="E16" authorId="0">
      <x:text>
        <x:r>
          <x:t>Select asset class from dropdown</x:t>
        </x:r>
      </x:text>
    </x:comment>
    <x:comment ref="F16" authorId="0">
      <x:text>
        <x:r>
          <x:t>Select sector from dropdown</x:t>
        </x:r>
      </x:text>
    </x:comment>
    <x:comment ref="G16" authorId="0">
      <x:text>
        <x:r>
          <x:t>Portfolio weight for this security. All weights must sum to 100%.</x:t>
        </x:r>
      </x:text>
    </x:comment>
    <x:comment ref="I16" authorId="0">
      <x:text>
        <x:r>
          <x:t>Estimated beta (vs. S&amp;P 500). Source from FactSet or Yahoo Finance.</x:t>
        </x:r>
      </x:text>
    </x:comment>
    <x:comment ref="J16" authorId="0">
      <x:text>
        <x:r>
          <x:t>Does this security PASS your Phase 1 macro filter? Must be YES.</x:t>
        </x:r>
      </x:text>
    </x:comment>
    <x:comment ref="K16" authorId="0">
      <x:text>
        <x:r>
          <x:t>Reference number linking to your Investment Thesis Log (Section 3 of this tab). e.g. 1, 2, 3...</x:t>
        </x:r>
      </x:text>
    </x:comment>
    <x:comment ref="L16" authorId="0">
      <x:text>
        <x:r>
          <x:t>Cite your source. E.g. "FactSet @ECO, 4/15/2025" or "SEC 10-K FY2024"</x:t>
        </x:r>
      </x:text>
    </x:comment>
    <x:comment ref="C17" authorId="0">
      <x:text>
        <x:r>
          <x:t>Enter ticker symbol (e.g. AAPL, SPY, TLT)</x:t>
        </x:r>
      </x:text>
    </x:comment>
    <x:comment ref="D17" authorId="0">
      <x:text>
        <x:r>
          <x:t>Full security or ETF name</x:t>
        </x:r>
      </x:text>
    </x:comment>
    <x:comment ref="E17" authorId="0">
      <x:text>
        <x:r>
          <x:t>Select asset class from dropdown</x:t>
        </x:r>
      </x:text>
    </x:comment>
    <x:comment ref="F17" authorId="0">
      <x:text>
        <x:r>
          <x:t>Select sector from dropdown</x:t>
        </x:r>
      </x:text>
    </x:comment>
    <x:comment ref="G17" authorId="0">
      <x:text>
        <x:r>
          <x:t>Portfolio weight for this security. All weights must sum to 100%.</x:t>
        </x:r>
      </x:text>
    </x:comment>
    <x:comment ref="I17" authorId="0">
      <x:text>
        <x:r>
          <x:t>Estimated beta (vs. S&amp;P 500). Source from FactSet or Yahoo Finance.</x:t>
        </x:r>
      </x:text>
    </x:comment>
    <x:comment ref="J17" authorId="0">
      <x:text>
        <x:r>
          <x:t>Does this security PASS your Phase 1 macro filter? Must be YES.</x:t>
        </x:r>
      </x:text>
    </x:comment>
    <x:comment ref="K17" authorId="0">
      <x:text>
        <x:r>
          <x:t>Reference number linking to your Investment Thesis Log (Section 3 of this tab). e.g. 1, 2, 3...</x:t>
        </x:r>
      </x:text>
    </x:comment>
    <x:comment ref="L17" authorId="0">
      <x:text>
        <x:r>
          <x:t>Cite your source. E.g. "FactSet @ECO, 4/15/2025" or "SEC 10-K FY2024"</x:t>
        </x:r>
      </x:text>
    </x:comment>
    <x:comment ref="C18" authorId="0">
      <x:text>
        <x:r>
          <x:t>Enter ticker symbol (e.g. AAPL, SPY, TLT)</x:t>
        </x:r>
      </x:text>
    </x:comment>
    <x:comment ref="D18" authorId="0">
      <x:text>
        <x:r>
          <x:t>Full security or ETF name</x:t>
        </x:r>
      </x:text>
    </x:comment>
    <x:comment ref="E18" authorId="0">
      <x:text>
        <x:r>
          <x:t>Select asset class from dropdown</x:t>
        </x:r>
      </x:text>
    </x:comment>
    <x:comment ref="F18" authorId="0">
      <x:text>
        <x:r>
          <x:t>Select sector from dropdown</x:t>
        </x:r>
      </x:text>
    </x:comment>
    <x:comment ref="G18" authorId="0">
      <x:text>
        <x:r>
          <x:t>Portfolio weight for this security. All weights must sum to 100%.</x:t>
        </x:r>
      </x:text>
    </x:comment>
    <x:comment ref="I18" authorId="0">
      <x:text>
        <x:r>
          <x:t>Estimated beta (vs. S&amp;P 500). Source from FactSet or Yahoo Finance.</x:t>
        </x:r>
      </x:text>
    </x:comment>
    <x:comment ref="J18" authorId="0">
      <x:text>
        <x:r>
          <x:t>Does this security PASS your Phase 1 macro filter? Must be YES.</x:t>
        </x:r>
      </x:text>
    </x:comment>
    <x:comment ref="K18" authorId="0">
      <x:text>
        <x:r>
          <x:t>Reference number linking to your Investment Thesis Log (Section 3 of this tab). e.g. 1, 2, 3...</x:t>
        </x:r>
      </x:text>
    </x:comment>
    <x:comment ref="L18" authorId="0">
      <x:text>
        <x:r>
          <x:t>Cite your source. E.g. "FactSet @ECO, 4/15/2025" or "SEC 10-K FY2024"</x:t>
        </x:r>
      </x:text>
    </x:comment>
    <x:comment ref="C19" authorId="0">
      <x:text>
        <x:r>
          <x:t>Enter ticker symbol (e.g. AAPL, SPY, TLT)</x:t>
        </x:r>
      </x:text>
    </x:comment>
    <x:comment ref="D19" authorId="0">
      <x:text>
        <x:r>
          <x:t>Full security or ETF name</x:t>
        </x:r>
      </x:text>
    </x:comment>
    <x:comment ref="E19" authorId="0">
      <x:text>
        <x:r>
          <x:t>Select asset class from dropdown</x:t>
        </x:r>
      </x:text>
    </x:comment>
    <x:comment ref="F19" authorId="0">
      <x:text>
        <x:r>
          <x:t>Select sector from dropdown</x:t>
        </x:r>
      </x:text>
    </x:comment>
    <x:comment ref="G19" authorId="0">
      <x:text>
        <x:r>
          <x:t>Portfolio weight for this security. All weights must sum to 100%.</x:t>
        </x:r>
      </x:text>
    </x:comment>
    <x:comment ref="I19" authorId="0">
      <x:text>
        <x:r>
          <x:t>Estimated beta (vs. S&amp;P 500). Source from FactSet or Yahoo Finance.</x:t>
        </x:r>
      </x:text>
    </x:comment>
    <x:comment ref="J19" authorId="0">
      <x:text>
        <x:r>
          <x:t>Does this security PASS your Phase 1 macro filter? Must be YES.</x:t>
        </x:r>
      </x:text>
    </x:comment>
    <x:comment ref="K19" authorId="0">
      <x:text>
        <x:r>
          <x:t>Reference number linking to your Investment Thesis Log (Section 3 of this tab). e.g. 1, 2, 3...</x:t>
        </x:r>
      </x:text>
    </x:comment>
    <x:comment ref="L19" authorId="0">
      <x:text>
        <x:r>
          <x:t>Cite your source. E.g. "FactSet @ECO, 4/15/2025" or "SEC 10-K FY2024"</x:t>
        </x:r>
      </x:text>
    </x:comment>
    <x:comment ref="C20" authorId="0">
      <x:text>
        <x:r>
          <x:t>Enter ticker symbol (e.g. AAPL, SPY, TLT)</x:t>
        </x:r>
      </x:text>
    </x:comment>
    <x:comment ref="D20" authorId="0">
      <x:text>
        <x:r>
          <x:t>Full security or ETF name</x:t>
        </x:r>
      </x:text>
    </x:comment>
    <x:comment ref="E20" authorId="0">
      <x:text>
        <x:r>
          <x:t>Select asset class from dropdown</x:t>
        </x:r>
      </x:text>
    </x:comment>
    <x:comment ref="F20" authorId="0">
      <x:text>
        <x:r>
          <x:t>Select sector from dropdown</x:t>
        </x:r>
      </x:text>
    </x:comment>
    <x:comment ref="G20" authorId="0">
      <x:text>
        <x:r>
          <x:t>Portfolio weight for this security. All weights must sum to 100%.</x:t>
        </x:r>
      </x:text>
    </x:comment>
    <x:comment ref="I20" authorId="0">
      <x:text>
        <x:r>
          <x:t>Estimated beta (vs. S&amp;P 500). Source from FactSet or Yahoo Finance.</x:t>
        </x:r>
      </x:text>
    </x:comment>
    <x:comment ref="J20" authorId="0">
      <x:text>
        <x:r>
          <x:t>Does this security PASS your Phase 1 macro filter? Must be YES.</x:t>
        </x:r>
      </x:text>
    </x:comment>
    <x:comment ref="K20" authorId="0">
      <x:text>
        <x:r>
          <x:t>Reference number linking to your Investment Thesis Log (Section 3 of this tab). e.g. 1, 2, 3...</x:t>
        </x:r>
      </x:text>
    </x:comment>
    <x:comment ref="L20" authorId="0">
      <x:text>
        <x:r>
          <x:t>Cite your source. E.g. "FactSet @ECO, 4/15/2025" or "SEC 10-K FY2024"</x:t>
        </x:r>
      </x:text>
    </x:comment>
    <x:comment ref="C21" authorId="0">
      <x:text>
        <x:r>
          <x:t>Enter ticker symbol (e.g. AAPL, SPY, TLT)</x:t>
        </x:r>
      </x:text>
    </x:comment>
    <x:comment ref="D21" authorId="0">
      <x:text>
        <x:r>
          <x:t>Full security or ETF name</x:t>
        </x:r>
      </x:text>
    </x:comment>
    <x:comment ref="E21" authorId="0">
      <x:text>
        <x:r>
          <x:t>Select asset class from dropdown</x:t>
        </x:r>
      </x:text>
    </x:comment>
    <x:comment ref="F21" authorId="0">
      <x:text>
        <x:r>
          <x:t>Select sector from dropdown</x:t>
        </x:r>
      </x:text>
    </x:comment>
    <x:comment ref="G21" authorId="0">
      <x:text>
        <x:r>
          <x:t>Portfolio weight for this security. All weights must sum to 100%.</x:t>
        </x:r>
      </x:text>
    </x:comment>
    <x:comment ref="I21" authorId="0">
      <x:text>
        <x:r>
          <x:t>Estimated beta (vs. S&amp;P 500). Source from FactSet or Yahoo Finance.</x:t>
        </x:r>
      </x:text>
    </x:comment>
    <x:comment ref="J21" authorId="0">
      <x:text>
        <x:r>
          <x:t>Does this security PASS your Phase 1 macro filter? Must be YES.</x:t>
        </x:r>
      </x:text>
    </x:comment>
    <x:comment ref="K21" authorId="0">
      <x:text>
        <x:r>
          <x:t>Reference number linking to your Investment Thesis Log (Section 3 of this tab). e.g. 1, 2, 3...</x:t>
        </x:r>
      </x:text>
    </x:comment>
    <x:comment ref="L21" authorId="0">
      <x:text>
        <x:r>
          <x:t>Cite your source. E.g. "FactSet @ECO, 4/15/2025" or "SEC 10-K FY2024"</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B39" authorId="0">
      <x:text>
        <x:r>
          <x:t>Example: Covered Call</x:t>
        </x:r>
      </x:text>
    </x:comment>
    <x:comment ref="C39" authorId="0">
      <x:text>
        <x:r>
          <x:t>Example: Net credit received</x:t>
        </x:r>
      </x:text>
    </x:comment>
    <x:comment ref="F39" authorId="0">
      <x:text>
        <x:r>
          <x:t>Example: Caps upside; no floor</x:t>
        </x:r>
      </x:text>
    </x:comment>
    <x:comment ref="H39" authorId="0">
      <x:text>
        <x:r>
          <x:t>Example: Lower cost but limits gains</x:t>
        </x:r>
      </x:text>
    </x:comment>
    <x:comment ref="K39" authorId="0">
      <x:text>
        <x:r>
          <x:t>Example: Client needs upside participation</x:t>
        </x:r>
      </x:text>
    </x:comment>
    <x:comment ref="B40" authorId="0">
      <x:text>
        <x:r>
          <x:t>Example: Increase Cash Allocation</x:t>
        </x:r>
      </x:text>
    </x:comment>
    <x:comment ref="C40" authorId="0">
      <x:text>
        <x:r>
          <x:t>Example: Opportunity cost only</x:t>
        </x:r>
      </x:text>
    </x:comment>
    <x:comment ref="F40" authorId="0">
      <x:text>
        <x:r>
          <x:t>Example: Reduces equity exposure</x:t>
        </x:r>
      </x:text>
    </x:comment>
    <x:comment ref="H40" authorId="0">
      <x:text>
        <x:r>
          <x:t>Example: Simpler but sacrifices return</x:t>
        </x:r>
      </x:text>
    </x:comment>
    <x:comment ref="K40" authorId="0">
      <x:text>
        <x:r>
          <x:t>Example: Below target E(R) with high cash</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List>
</x:comments>
</file>

<file path=xl/comments3.xml><?xml version="1.0" encoding="utf-8"?>
<x:comments xmlns:x="http://schemas.openxmlformats.org/spreadsheetml/2006/main">
  <x:authors>
    <x:author>Unknown Author</x:author>
  </x:authors>
  <x:commentList>
    <x:comment ref="C5" authorId="0">
      <x:text>
        <x:r>
          <x:t>Enter client name or ID (e.g. Eleanor Vance — Client 1)</x:t>
        </x:r>
      </x:text>
    </x:comment>
    <x:comment ref="G5" authorId="0">
      <x:text>
        <x:r>
          <x:t>From Phase 2 IPS — client's required annual return</x:t>
        </x:r>
      </x:text>
    </x:comment>
    <x:comment ref="I5" authorId="0">
      <x:text>
        <x:r>
          <x:t>From Phase 2 IPS — maximum portfolio standard deviation allowed</x:t>
        </x:r>
      </x:text>
    </x:comment>
    <x:comment ref="K5" authorId="0">
      <x:text>
        <x:r>
          <x:t>From Phase 1 — e.g. 'Late-Cycle / Base Case: Soft Landing'</x:t>
        </x:r>
      </x:text>
    </x:comment>
    <x:comment ref="C12" authorId="0">
      <x:text>
        <x:r>
          <x:t>Enter ticker symbol (e.g. AAPL, SPY, TLT)</x:t>
        </x:r>
      </x:text>
    </x:comment>
    <x:comment ref="D12" authorId="0">
      <x:text>
        <x:r>
          <x:t>Full security or ETF name</x:t>
        </x:r>
      </x:text>
    </x:comment>
    <x:comment ref="E12" authorId="0">
      <x:text>
        <x:r>
          <x:t>Select asset class from dropdown</x:t>
        </x:r>
      </x:text>
    </x:comment>
    <x:comment ref="F12" authorId="0">
      <x:text>
        <x:r>
          <x:t>Select sector from dropdown</x:t>
        </x:r>
      </x:text>
    </x:comment>
    <x:comment ref="G12" authorId="0">
      <x:text>
        <x:r>
          <x:t>Portfolio weight for this security. All weights must sum to 100%.</x:t>
        </x:r>
      </x:text>
    </x:comment>
    <x:comment ref="I12" authorId="0">
      <x:text>
        <x:r>
          <x:t>Estimated beta (vs. S&amp;P 500). Source from FactSet or Yahoo Finance.</x:t>
        </x:r>
      </x:text>
    </x:comment>
    <x:comment ref="J12" authorId="0">
      <x:text>
        <x:r>
          <x:t>Does this security PASS your Phase 1 macro filter? Must be YES.</x:t>
        </x:r>
      </x:text>
    </x:comment>
    <x:comment ref="K12" authorId="0">
      <x:text>
        <x:r>
          <x:t>Reference number linking to your Investment Thesis Log (Section 3 of this tab). e.g. 1, 2, 3...</x:t>
        </x:r>
      </x:text>
    </x:comment>
    <x:comment ref="L12" authorId="0">
      <x:text>
        <x:r>
          <x:t>Cite your source. E.g. "FactSet @ECO, 4/15/2025" or "SEC 10-K FY2024"</x:t>
        </x:r>
      </x:text>
    </x:comment>
    <x:comment ref="C13" authorId="0">
      <x:text>
        <x:r>
          <x:t>Enter ticker symbol (e.g. AAPL, SPY, TLT)</x:t>
        </x:r>
      </x:text>
    </x:comment>
    <x:comment ref="D13" authorId="0">
      <x:text>
        <x:r>
          <x:t>Full security or ETF name</x:t>
        </x:r>
      </x:text>
    </x:comment>
    <x:comment ref="E13" authorId="0">
      <x:text>
        <x:r>
          <x:t>Select asset class from dropdown</x:t>
        </x:r>
      </x:text>
    </x:comment>
    <x:comment ref="F13" authorId="0">
      <x:text>
        <x:r>
          <x:t>Select sector from dropdown</x:t>
        </x:r>
      </x:text>
    </x:comment>
    <x:comment ref="G13" authorId="0">
      <x:text>
        <x:r>
          <x:t>Portfolio weight for this security. All weights must sum to 100%.</x:t>
        </x:r>
      </x:text>
    </x:comment>
    <x:comment ref="I13" authorId="0">
      <x:text>
        <x:r>
          <x:t>Estimated beta (vs. S&amp;P 500). Source from FactSet or Yahoo Finance.</x:t>
        </x:r>
      </x:text>
    </x:comment>
    <x:comment ref="J13" authorId="0">
      <x:text>
        <x:r>
          <x:t>Does this security PASS your Phase 1 macro filter? Must be YES.</x:t>
        </x:r>
      </x:text>
    </x:comment>
    <x:comment ref="K13" authorId="0">
      <x:text>
        <x:r>
          <x:t>Reference number linking to your Investment Thesis Log (Section 3 of this tab). e.g. 1, 2, 3...</x:t>
        </x:r>
      </x:text>
    </x:comment>
    <x:comment ref="L13" authorId="0">
      <x:text>
        <x:r>
          <x:t>Cite your source. E.g. "FactSet @ECO, 4/15/2025" or "SEC 10-K FY2024"</x:t>
        </x:r>
      </x:text>
    </x:comment>
    <x:comment ref="C14" authorId="0">
      <x:text>
        <x:r>
          <x:t>Enter ticker symbol (e.g. AAPL, SPY, TLT)</x:t>
        </x:r>
      </x:text>
    </x:comment>
    <x:comment ref="D14" authorId="0">
      <x:text>
        <x:r>
          <x:t>Full security or ETF name</x:t>
        </x:r>
      </x:text>
    </x:comment>
    <x:comment ref="E14" authorId="0">
      <x:text>
        <x:r>
          <x:t>Select asset class from dropdown</x:t>
        </x:r>
      </x:text>
    </x:comment>
    <x:comment ref="F14" authorId="0">
      <x:text>
        <x:r>
          <x:t>Select sector from dropdown</x:t>
        </x:r>
      </x:text>
    </x:comment>
    <x:comment ref="G14" authorId="0">
      <x:text>
        <x:r>
          <x:t>Portfolio weight for this security. All weights must sum to 100%.</x:t>
        </x:r>
      </x:text>
    </x:comment>
    <x:comment ref="I14" authorId="0">
      <x:text>
        <x:r>
          <x:t>Estimated beta (vs. S&amp;P 500). Source from FactSet or Yahoo Finance.</x:t>
        </x:r>
      </x:text>
    </x:comment>
    <x:comment ref="J14" authorId="0">
      <x:text>
        <x:r>
          <x:t>Does this security PASS your Phase 1 macro filter? Must be YES.</x:t>
        </x:r>
      </x:text>
    </x:comment>
    <x:comment ref="K14" authorId="0">
      <x:text>
        <x:r>
          <x:t>Reference number linking to your Investment Thesis Log (Section 3 of this tab). e.g. 1, 2, 3...</x:t>
        </x:r>
      </x:text>
    </x:comment>
    <x:comment ref="L14" authorId="0">
      <x:text>
        <x:r>
          <x:t>Cite your source. E.g. "FactSet @ECO, 4/15/2025" or "SEC 10-K FY2024"</x:t>
        </x:r>
      </x:text>
    </x:comment>
    <x:comment ref="C15" authorId="0">
      <x:text>
        <x:r>
          <x:t>Enter ticker symbol (e.g. AAPL, SPY, TLT)</x:t>
        </x:r>
      </x:text>
    </x:comment>
    <x:comment ref="D15" authorId="0">
      <x:text>
        <x:r>
          <x:t>Full security or ETF name</x:t>
        </x:r>
      </x:text>
    </x:comment>
    <x:comment ref="E15" authorId="0">
      <x:text>
        <x:r>
          <x:t>Select asset class from dropdown</x:t>
        </x:r>
      </x:text>
    </x:comment>
    <x:comment ref="F15" authorId="0">
      <x:text>
        <x:r>
          <x:t>Select sector from dropdown</x:t>
        </x:r>
      </x:text>
    </x:comment>
    <x:comment ref="G15" authorId="0">
      <x:text>
        <x:r>
          <x:t>Portfolio weight for this security. All weights must sum to 100%.</x:t>
        </x:r>
      </x:text>
    </x:comment>
    <x:comment ref="I15" authorId="0">
      <x:text>
        <x:r>
          <x:t>Estimated beta (vs. S&amp;P 500). Source from FactSet or Yahoo Finance.</x:t>
        </x:r>
      </x:text>
    </x:comment>
    <x:comment ref="J15" authorId="0">
      <x:text>
        <x:r>
          <x:t>Does this security PASS your Phase 1 macro filter? Must be YES.</x:t>
        </x:r>
      </x:text>
    </x:comment>
    <x:comment ref="K15" authorId="0">
      <x:text>
        <x:r>
          <x:t>Reference number linking to your Investment Thesis Log (Section 3 of this tab). e.g. 1, 2, 3...</x:t>
        </x:r>
      </x:text>
    </x:comment>
    <x:comment ref="L15" authorId="0">
      <x:text>
        <x:r>
          <x:t>Cite your source. E.g. "FactSet @ECO, 4/15/2025" or "SEC 10-K FY2024"</x:t>
        </x:r>
      </x:text>
    </x:comment>
    <x:comment ref="C16" authorId="0">
      <x:text>
        <x:r>
          <x:t>Enter ticker symbol (e.g. AAPL, SPY, TLT)</x:t>
        </x:r>
      </x:text>
    </x:comment>
    <x:comment ref="D16" authorId="0">
      <x:text>
        <x:r>
          <x:t>Full security or ETF name</x:t>
        </x:r>
      </x:text>
    </x:comment>
    <x:comment ref="E16" authorId="0">
      <x:text>
        <x:r>
          <x:t>Select asset class from dropdown</x:t>
        </x:r>
      </x:text>
    </x:comment>
    <x:comment ref="F16" authorId="0">
      <x:text>
        <x:r>
          <x:t>Select sector from dropdown</x:t>
        </x:r>
      </x:text>
    </x:comment>
    <x:comment ref="G16" authorId="0">
      <x:text>
        <x:r>
          <x:t>Portfolio weight for this security. All weights must sum to 100%.</x:t>
        </x:r>
      </x:text>
    </x:comment>
    <x:comment ref="I16" authorId="0">
      <x:text>
        <x:r>
          <x:t>Estimated beta (vs. S&amp;P 500). Source from FactSet or Yahoo Finance.</x:t>
        </x:r>
      </x:text>
    </x:comment>
    <x:comment ref="J16" authorId="0">
      <x:text>
        <x:r>
          <x:t>Does this security PASS your Phase 1 macro filter? Must be YES.</x:t>
        </x:r>
      </x:text>
    </x:comment>
    <x:comment ref="K16" authorId="0">
      <x:text>
        <x:r>
          <x:t>Reference number linking to your Investment Thesis Log (Section 3 of this tab). e.g. 1, 2, 3...</x:t>
        </x:r>
      </x:text>
    </x:comment>
    <x:comment ref="L16" authorId="0">
      <x:text>
        <x:r>
          <x:t>Cite your source. E.g. "FactSet @ECO, 4/15/2025" or "SEC 10-K FY2024"</x:t>
        </x:r>
      </x:text>
    </x:comment>
    <x:comment ref="C17" authorId="0">
      <x:text>
        <x:r>
          <x:t>Enter ticker symbol (e.g. AAPL, SPY, TLT)</x:t>
        </x:r>
      </x:text>
    </x:comment>
    <x:comment ref="D17" authorId="0">
      <x:text>
        <x:r>
          <x:t>Full security or ETF name</x:t>
        </x:r>
      </x:text>
    </x:comment>
    <x:comment ref="E17" authorId="0">
      <x:text>
        <x:r>
          <x:t>Select asset class from dropdown</x:t>
        </x:r>
      </x:text>
    </x:comment>
    <x:comment ref="F17" authorId="0">
      <x:text>
        <x:r>
          <x:t>Select sector from dropdown</x:t>
        </x:r>
      </x:text>
    </x:comment>
    <x:comment ref="G17" authorId="0">
      <x:text>
        <x:r>
          <x:t>Portfolio weight for this security. All weights must sum to 100%.</x:t>
        </x:r>
      </x:text>
    </x:comment>
    <x:comment ref="I17" authorId="0">
      <x:text>
        <x:r>
          <x:t>Estimated beta (vs. S&amp;P 500). Source from FactSet or Yahoo Finance.</x:t>
        </x:r>
      </x:text>
    </x:comment>
    <x:comment ref="J17" authorId="0">
      <x:text>
        <x:r>
          <x:t>Does this security PASS your Phase 1 macro filter? Must be YES.</x:t>
        </x:r>
      </x:text>
    </x:comment>
    <x:comment ref="K17" authorId="0">
      <x:text>
        <x:r>
          <x:t>Reference number linking to your Investment Thesis Log (Section 3 of this tab). e.g. 1, 2, 3...</x:t>
        </x:r>
      </x:text>
    </x:comment>
    <x:comment ref="L17" authorId="0">
      <x:text>
        <x:r>
          <x:t>Cite your source. E.g. "FactSet @ECO, 4/15/2025" or "SEC 10-K FY2024"</x:t>
        </x:r>
      </x:text>
    </x:comment>
    <x:comment ref="C18" authorId="0">
      <x:text>
        <x:r>
          <x:t>Enter ticker symbol (e.g. AAPL, SPY, TLT)</x:t>
        </x:r>
      </x:text>
    </x:comment>
    <x:comment ref="D18" authorId="0">
      <x:text>
        <x:r>
          <x:t>Full security or ETF name</x:t>
        </x:r>
      </x:text>
    </x:comment>
    <x:comment ref="E18" authorId="0">
      <x:text>
        <x:r>
          <x:t>Select asset class from dropdown</x:t>
        </x:r>
      </x:text>
    </x:comment>
    <x:comment ref="F18" authorId="0">
      <x:text>
        <x:r>
          <x:t>Select sector from dropdown</x:t>
        </x:r>
      </x:text>
    </x:comment>
    <x:comment ref="G18" authorId="0">
      <x:text>
        <x:r>
          <x:t>Portfolio weight for this security. All weights must sum to 100%.</x:t>
        </x:r>
      </x:text>
    </x:comment>
    <x:comment ref="I18" authorId="0">
      <x:text>
        <x:r>
          <x:t>Estimated beta (vs. S&amp;P 500). Source from FactSet or Yahoo Finance.</x:t>
        </x:r>
      </x:text>
    </x:comment>
    <x:comment ref="J18" authorId="0">
      <x:text>
        <x:r>
          <x:t>Does this security PASS your Phase 1 macro filter? Must be YES.</x:t>
        </x:r>
      </x:text>
    </x:comment>
    <x:comment ref="K18" authorId="0">
      <x:text>
        <x:r>
          <x:t>Reference number linking to your Investment Thesis Log (Section 3 of this tab). e.g. 1, 2, 3...</x:t>
        </x:r>
      </x:text>
    </x:comment>
    <x:comment ref="L18" authorId="0">
      <x:text>
        <x:r>
          <x:t>Cite your source. E.g. "FactSet @ECO, 4/15/2025" or "SEC 10-K FY2024"</x:t>
        </x:r>
      </x:text>
    </x:comment>
    <x:comment ref="C19" authorId="0">
      <x:text>
        <x:r>
          <x:t>Enter ticker symbol (e.g. AAPL, SPY, TLT)</x:t>
        </x:r>
      </x:text>
    </x:comment>
    <x:comment ref="D19" authorId="0">
      <x:text>
        <x:r>
          <x:t>Full security or ETF name</x:t>
        </x:r>
      </x:text>
    </x:comment>
    <x:comment ref="E19" authorId="0">
      <x:text>
        <x:r>
          <x:t>Select asset class from dropdown</x:t>
        </x:r>
      </x:text>
    </x:comment>
    <x:comment ref="F19" authorId="0">
      <x:text>
        <x:r>
          <x:t>Select sector from dropdown</x:t>
        </x:r>
      </x:text>
    </x:comment>
    <x:comment ref="G19" authorId="0">
      <x:text>
        <x:r>
          <x:t>Portfolio weight for this security. All weights must sum to 100%.</x:t>
        </x:r>
      </x:text>
    </x:comment>
    <x:comment ref="I19" authorId="0">
      <x:text>
        <x:r>
          <x:t>Estimated beta (vs. S&amp;P 500). Source from FactSet or Yahoo Finance.</x:t>
        </x:r>
      </x:text>
    </x:comment>
    <x:comment ref="J19" authorId="0">
      <x:text>
        <x:r>
          <x:t>Does this security PASS your Phase 1 macro filter? Must be YES.</x:t>
        </x:r>
      </x:text>
    </x:comment>
    <x:comment ref="K19" authorId="0">
      <x:text>
        <x:r>
          <x:t>Reference number linking to your Investment Thesis Log (Section 3 of this tab). e.g. 1, 2, 3...</x:t>
        </x:r>
      </x:text>
    </x:comment>
    <x:comment ref="L19" authorId="0">
      <x:text>
        <x:r>
          <x:t>Cite your source. E.g. "FactSet @ECO, 4/15/2025" or "SEC 10-K FY2024"</x:t>
        </x:r>
      </x:text>
    </x:comment>
    <x:comment ref="C20" authorId="0">
      <x:text>
        <x:r>
          <x:t>Enter ticker symbol (e.g. AAPL, SPY, TLT)</x:t>
        </x:r>
      </x:text>
    </x:comment>
    <x:comment ref="D20" authorId="0">
      <x:text>
        <x:r>
          <x:t>Full security or ETF name</x:t>
        </x:r>
      </x:text>
    </x:comment>
    <x:comment ref="E20" authorId="0">
      <x:text>
        <x:r>
          <x:t>Select asset class from dropdown</x:t>
        </x:r>
      </x:text>
    </x:comment>
    <x:comment ref="F20" authorId="0">
      <x:text>
        <x:r>
          <x:t>Select sector from dropdown</x:t>
        </x:r>
      </x:text>
    </x:comment>
    <x:comment ref="G20" authorId="0">
      <x:text>
        <x:r>
          <x:t>Portfolio weight for this security. All weights must sum to 100%.</x:t>
        </x:r>
      </x:text>
    </x:comment>
    <x:comment ref="I20" authorId="0">
      <x:text>
        <x:r>
          <x:t>Estimated beta (vs. S&amp;P 500). Source from FactSet or Yahoo Finance.</x:t>
        </x:r>
      </x:text>
    </x:comment>
    <x:comment ref="J20" authorId="0">
      <x:text>
        <x:r>
          <x:t>Does this security PASS your Phase 1 macro filter? Must be YES.</x:t>
        </x:r>
      </x:text>
    </x:comment>
    <x:comment ref="K20" authorId="0">
      <x:text>
        <x:r>
          <x:t>Reference number linking to your Investment Thesis Log (Section 3 of this tab). e.g. 1, 2, 3...</x:t>
        </x:r>
      </x:text>
    </x:comment>
    <x:comment ref="L20" authorId="0">
      <x:text>
        <x:r>
          <x:t>Cite your source. E.g. "FactSet @ECO, 4/15/2025" or "SEC 10-K FY2024"</x:t>
        </x:r>
      </x:text>
    </x:comment>
    <x:comment ref="C21" authorId="0">
      <x:text>
        <x:r>
          <x:t>Enter ticker symbol (e.g. AAPL, SPY, TLT)</x:t>
        </x:r>
      </x:text>
    </x:comment>
    <x:comment ref="D21" authorId="0">
      <x:text>
        <x:r>
          <x:t>Full security or ETF name</x:t>
        </x:r>
      </x:text>
    </x:comment>
    <x:comment ref="E21" authorId="0">
      <x:text>
        <x:r>
          <x:t>Select asset class from dropdown</x:t>
        </x:r>
      </x:text>
    </x:comment>
    <x:comment ref="F21" authorId="0">
      <x:text>
        <x:r>
          <x:t>Select sector from dropdown</x:t>
        </x:r>
      </x:text>
    </x:comment>
    <x:comment ref="G21" authorId="0">
      <x:text>
        <x:r>
          <x:t>Portfolio weight for this security. All weights must sum to 100%.</x:t>
        </x:r>
      </x:text>
    </x:comment>
    <x:comment ref="I21" authorId="0">
      <x:text>
        <x:r>
          <x:t>Estimated beta (vs. S&amp;P 500). Source from FactSet or Yahoo Finance.</x:t>
        </x:r>
      </x:text>
    </x:comment>
    <x:comment ref="J21" authorId="0">
      <x:text>
        <x:r>
          <x:t>Does this security PASS your Phase 1 macro filter? Must be YES.</x:t>
        </x:r>
      </x:text>
    </x:comment>
    <x:comment ref="K21" authorId="0">
      <x:text>
        <x:r>
          <x:t>Reference number linking to your Investment Thesis Log (Section 3 of this tab). e.g. 1, 2, 3...</x:t>
        </x:r>
      </x:text>
    </x:comment>
    <x:comment ref="L21" authorId="0">
      <x:text>
        <x:r>
          <x:t>Cite your source. E.g. "FactSet @ECO, 4/15/2025" or "SEC 10-K FY2024"</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B39" authorId="0">
      <x:text>
        <x:r>
          <x:t>Example: Covered Call</x:t>
        </x:r>
      </x:text>
    </x:comment>
    <x:comment ref="C39" authorId="0">
      <x:text>
        <x:r>
          <x:t>Example: Net credit received</x:t>
        </x:r>
      </x:text>
    </x:comment>
    <x:comment ref="F39" authorId="0">
      <x:text>
        <x:r>
          <x:t>Example: Caps upside; no floor</x:t>
        </x:r>
      </x:text>
    </x:comment>
    <x:comment ref="H39" authorId="0">
      <x:text>
        <x:r>
          <x:t>Example: Lower cost but limits gains</x:t>
        </x:r>
      </x:text>
    </x:comment>
    <x:comment ref="K39" authorId="0">
      <x:text>
        <x:r>
          <x:t>Example: Client needs upside participation</x:t>
        </x:r>
      </x:text>
    </x:comment>
    <x:comment ref="B40" authorId="0">
      <x:text>
        <x:r>
          <x:t>Example: Increase Cash Allocation</x:t>
        </x:r>
      </x:text>
    </x:comment>
    <x:comment ref="C40" authorId="0">
      <x:text>
        <x:r>
          <x:t>Example: Opportunity cost only</x:t>
        </x:r>
      </x:text>
    </x:comment>
    <x:comment ref="F40" authorId="0">
      <x:text>
        <x:r>
          <x:t>Example: Reduces equity exposure</x:t>
        </x:r>
      </x:text>
    </x:comment>
    <x:comment ref="H40" authorId="0">
      <x:text>
        <x:r>
          <x:t>Example: Simpler but sacrifices return</x:t>
        </x:r>
      </x:text>
    </x:comment>
    <x:comment ref="K40" authorId="0">
      <x:text>
        <x:r>
          <x:t>Example: Below target E(R) with high cash</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<x:sst xmlns:x="http://schemas.openxmlformats.org/spreadsheetml/2006/main">
  <x:si>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Student Template  |  Endicott College  |  Institutional Portfolio Management Project</x:t>
  </x:si>
  <x:si>
    <x:t xml:space="preserve">  Overview</x:t>
  </x:si>
  <x:si>
    <x:t xml:space="preserve">  AI Audit Log Reminder</x:t>
  </x:si>
  <x:si>
    <x:t xml:space="preserve">Any AI tool used to suggest securities, expected returns, or hedge parameters must be documented in your team's AI Audit Log. The Hallucination Clause applies: unverified AI data = professional negligence. Every number must trace to FactSet, FRED, or SEC.</x:t>
  </x:si>
  <x:si>
    <x:t xml:space="preserve">  Grading Notes</x:t>
  </x:si>
  <x:si>
    <x:t xml:space="preserve">  PRE-SUBMISSION CHECKLIST</x:t>
  </x:si>
  <x:si>
    <x:t xml:space="preserve">Auto-linked from Client 1, 2, 3 tabs  |  Green = weights correct  |  Red = recheck</x:t>
  </x:si>
  <x:si>
    <x:t xml:space="preserve">This summary pulls key stats from each client tab. Verify all three weight totals are green (100%) and all portfolio betas are within the expected range for each client's risk profile before submitting.</x:t>
  </x:si>
  <x:si>
    <x:t xml:space="preserve">Metric</x:t>
  </x:si>
  <x:si>
    <x:t xml:space="preserve">Client 1</x:t>
  </x:si>
  <x:si>
    <x:t xml:space="preserve">Client 2</x:t>
  </x:si>
  <x:si>
    <x:t xml:space="preserve">Client 3</x:t>
  </x:si>
  <x:si>
    <x:t xml:space="preserve">Total Weight</x:t>
  </x:si>
  <x:si>
    <x:t xml:space="preserve">Total $ Invested</x:t>
  </x:si>
  <x:si>
    <x:t xml:space="preserve">Portfolio Beta (wtd)</x:t>
  </x:si>
  <x:si>
    <x:t xml:space="preserve">IPS Return Target</x:t>
  </x:si>
  <x:si>
    <x:t xml:space="preserve">IPS Max σ</x:t>
  </x:si>
  <x:si>
    <x:t xml:space="preserve">Client Name / ID:</x:t>
  </x:si>
  <x:si>
    <x:t xml:space="preserve">IPS Return Target:</x:t>
  </x:si>
  <x:si>
    <x:t xml:space="preserve">IPS Max σ:</x:t>
  </x:si>
  <x:si>
    <x:t xml:space="preserve">Macro Regime:</x:t>
  </x:si>
  <x:si>
    <x:t xml:space="preserve">⚠  MACRO FILTER (Phase 1 required): Every security below must survive your Phase 1 macro thesis. If your Base Case avoids a sector, you cannot hold it. Column J must be 'YES' for every row. Red = fails filter. Fix or remove the position.</x:t>
  </x:si>
  <x:si>
    <x:t xml:space="preserve">#</x:t>
  </x:si>
  <x:si>
    <x:t xml:space="preserve">Ticker</x:t>
  </x:si>
  <x:si>
    <x:t xml:space="preserve">Security / ETF Name</x:t>
  </x:si>
  <x:si>
    <x:t xml:space="preserve">Asset Class</x:t>
  </x:si>
  <x:si>
    <x:t xml:space="preserve">Sector</x:t>
  </x:si>
  <x:si>
    <x:t xml:space="preserve">Weight
(%)</x:t>
  </x:si>
  <x:si>
    <x:t xml:space="preserve">$ Amount
(of $500K)</x:t>
  </x:si>
  <x:si>
    <x:t xml:space="preserve">Beta
(Est.)</x:t>
  </x:si>
  <x:si>
    <x:t xml:space="preserve">Macro
Filter ✓</x:t>
  </x:si>
  <x:si>
    <x:t xml:space="preserve">Data Source
(FactSet / FRED / SEC)</x:t>
  </x:si>
  <x:si>
    <x:t xml:space="preserve">  TOTAL WEIGHT  (must equal 100%)</x:t>
  </x:si>
  <x:si>
    <x:t xml:space="preserve">Portfolio β (wtd. avg)</x:t>
  </x:si>
  <x:si>
    <x:t xml:space="preserve">  ← Green = weights sum to 100%   Red = recheck weights</x:t>
  </x:si>
  <x:si>
    <x:t xml:space="preserve">Strategy</x:t>
  </x:si>
  <x:si>
    <x:t xml:space="preserve">Cost</x:t>
  </x:si>
  <x:si>
    <x:t xml:space="preserve">Max Downside Protected</x:t>
  </x:si>
  <x:si>
    <x:t xml:space="preserve">Trade-off vs. Chosen Hedge</x:t>
  </x:si>
  <x:si>
    <x:t xml:space="preserve">Why Rejected?</x:t>
  </x:si>
  <x:si>
    <x:t xml:space="preserve">Security (Ticker + Name)</x:t>
  </x:si>
  <x:si>
    <x:t xml:space="preserve">Asset Class / Sector</x:t>
  </x:si>
  <x:si>
    <x:t xml:space="preserve">Macro Connection</x:t>
  </x:si>
  <x:si>
    <x:t xml:space="preserve">Investment Rationale</x:t>
  </x:si>
  <x:si>
    <x:t xml:space="preserve">Data Source &amp; Citation</x:t>
  </x:si>
  <x:si>
    <x:t xml:space="preserve">IPS Suitability</x:t>
  </x:si>
  <x:si>
    <x:t xml:space="preserve">AI Audit Note</x:t>
  </x:si>
  <x:si>
    <x:t xml:space="preserve">  LEGEND</x:t>
  </x:si>
  <x:si>
    <x:t xml:space="preserve">Sample</x:t>
  </x:si>
  <x:si>
    <x:t xml:space="preserve">Student Input — enter your data (blue text)</x:t>
  </x:si>
  <x:si>
    <x:t xml:space="preserve">Calculated Formula — do not edit (black text)</x:t>
  </x:si>
  <x:si>
    <x:t xml:space="preserve">Auto-generated / fixed value</x:t>
  </x:si>
  <x:si>
    <x:t xml:space="preserve">✓ PASS — constraint met</x:t>
  </x:si>
  <x:si>
    <x:t xml:space="preserve">⚠ CHECK — constraint violated or macro filter = NO</x:t>
  </x:si>
</x:sst>
</file>

<file path=xl/styles.xml><?xml version="1.0" encoding="utf-8"?>
<x:styleSheet xmlns:x="http://schemas.openxmlformats.org/spreadsheetml/2006/main">
  <x:numFmts count="8">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0.0%"/>
    <x:numFmt numFmtId="165" formatCode="\$#,##0"/>
    <x:numFmt numFmtId="166" formatCode="yyyy\-mm\-dd"/>
    <x:numFmt numFmtId="200" formatCode="yyyy-mm-dd"/>
  </x:numFmts>
  <x:fonts count="39">
    <x:font>
      <x:sz val="11"/>
      <x:color theme="1"/>
      <x:name val="Calibri"/>
    </x:font>
    <x:font>
      <x:sz val="10"/>
      <x:name val="Arial"/>
    </x:font>
    <x:font>
      <x:b/>
      <x:sz val="14"/>
      <x:color rgb="FFFFFFFF"/>
      <x:name val="Arial"/>
    </x:font>
    <x:font>
      <x:i/>
      <x:sz val="9"/>
      <x:color rgb="FF5A6A7E"/>
      <x:name val="Arial"/>
    </x:font>
    <x:font>
      <x:b/>
      <x:sz val="10"/>
      <x:color rgb="FFFFFFFF"/>
      <x:name val="Arial"/>
    </x:font>
    <x:font>
      <x:sz val="9"/>
      <x:color rgb="FF333333"/>
      <x:name val="Arial"/>
    </x:font>
    <x:font>
      <x:sz val="9"/>
      <x:color rgb="FF5A6A7E"/>
      <x:name val="Arial"/>
    </x:font>
    <x:font>
      <x:b/>
      <x:sz val="10"/>
      <x:color rgb="FF0A1628"/>
      <x:name val="Arial"/>
    </x:font>
    <x:font>
      <x:sz val="10"/>
      <x:color rgb="FF008000"/>
      <x:name val="Arial"/>
    </x:font>
    <x:font>
      <x:b/>
      <x:sz val="9"/>
      <x:color rgb="FF0A1628"/>
      <x:name val="Arial"/>
    </x:font>
    <x:font>
      <x:sz val="10"/>
      <x:color rgb="FF0000FF"/>
      <x:name val="Arial"/>
    </x:font>
    <x:font>
      <x:sz val="10"/>
      <x:color rgb="FF000000"/>
      <x:name val="Arial"/>
    </x:font>
    <x:font>
      <x:sz val="9"/>
      <x:color rgb="FF0000FF"/>
      <x:name val="Arial"/>
    </x:font>
    <x:font>
      <x:sz val="9"/>
      <x:color rgb="FF856404"/>
      <x:name val="Arial"/>
    </x:font>
    <x:font>
      <x:b/>
      <x:sz val="9"/>
      <x:color rgb="FFFFFFFF"/>
      <x:name val="Arial"/>
    </x:font>
    <x:font>
      <x:sz val="9"/>
      <x:color rgb="FF000000"/>
      <x:name val="Arial"/>
    </x:font>
    <x:font>
      <x:b/>
      <x:sz val="11"/>
      <x:color rgb="FF000000"/>
      <x:name val="Arial"/>
    </x:font>
    <x:font>
      <x:b/>
      <x:sz val="10"/>
      <x:color rgb="FF000000"/>
      <x:name val="Arial"/>
    </x:font>
    <x:font>
      <x:b/>
      <x:sz val="8"/>
      <x:color rgb="FF5A6A7E"/>
      <x:name val="Arial"/>
    </x:font>
    <x:font>
      <x:i/>
      <x:sz val="8"/>
      <x:color rgb="FF5A6A7E"/>
      <x:name val="Arial"/>
    </x:font>
    <x:font>
      <x:b/>
      <x:sz val="10"/>
      <x:color rgb="FFC9A84C"/>
      <x:name val="Arial"/>
    </x:font>
    <x:font>
      <x:sz val="9"/>
      <x:color rgb="FF155724"/>
      <x:name val="Arial"/>
    </x:font>
    <x:font>
      <x:sz val="9"/>
      <x:color rgb="FF721C24"/>
      <x:name val="Arial"/>
    </x:font>
    <x:font>
      <x:b/>
      <x:sz val="18"/>
      <x:color rgb="FFFFFFFF"/>
      <x:name val="Calibri"/>
    </x:font>
    <x:font>
      <x:b/>
      <x:sz val="11"/>
      <x:color rgb="FF071626"/>
      <x:name val="Calibri"/>
    </x:font>
    <x:font>
      <x:b/>
      <x:sz val="11"/>
      <x:color rgb="FF7B2F22"/>
      <x:name val="Calibri"/>
    </x:font>
    <x:font>
      <x:b/>
      <x:sz val="11"/>
      <x:color rgb="FF143B45"/>
      <x:name val="Calibri"/>
    </x:font>
    <x:font>
      <x:b/>
      <x:sz val="11"/>
      <x:color rgb="FF102238"/>
      <x:name val="Calibri"/>
    </x:font>
    <x:font>
      <x:b/>
      <x:sz val="10"/>
      <x:color rgb="FFFFFFFF"/>
      <x:name val="Calibri"/>
    </x:font>
    <x:font>
      <x:sz val="10"/>
      <x:color rgb="FF0000FF"/>
      <x:name val="Calibri"/>
    </x:font>
    <x:font>
      <x:b/>
      <x:sz val="11"/>
      <x:color rgb="FF5B4314"/>
      <x:name val="Calibri"/>
    </x:font>
    <x:font>
      <x:sz val="11"/>
      <x:color rgb="FF000000"/>
      <x:name val="Calibri"/>
    </x:font>
    <x:font>
      <x:b/>
      <x:sz val="11"/>
      <x:color rgb="FFFFFFFF"/>
      <x:name val="Calibri"/>
    </x:font>
    <x:font>
      <x:sz val="11"/>
      <x:color rgb="FF102238"/>
      <x:name val="Calibri"/>
    </x:font>
    <x:font>
      <x:sz val="11"/>
      <x:color rgb="FF0000FF"/>
      <x:name val="Calibri"/>
    </x:font>
    <x:font>
      <x:b/>
      <x:sz val="9"/>
      <x:color rgb="FFFFFFFF"/>
      <x:name val="Calibri"/>
    </x:font>
    <x:font>
      <x:sz val="9"/>
      <x:color rgb="FF0000FF"/>
      <x:name val="Calibri"/>
    </x:font>
    <x:font>
      <x:b/>
      <x:sz val="9"/>
      <x:color rgb="FF102238"/>
      <x:name val="Calibri"/>
    </x:font>
    <x:font>
      <x:b/>
      <x:sz val="10"/>
      <x:color rgb="FF102238"/>
      <x:name val="Calibri"/>
    </x:font>
  </x:fonts>
  <x:fills count="116">
    <x:fill>
      <x:patternFill patternType="none"/>
    </x:fill>
    <x:fill>
      <x:patternFill patternType="gray125"/>
    </x:fill>
    <x:fill>
      <x:patternFill patternType="solid">
        <x:fgColor rgb="FF0A1628"/>
      </x:patternFill>
    </x:fill>
    <x:fill>
      <x:patternFill patternType="solid">
        <x:fgColor rgb="FFFFFFFF"/>
      </x:patternFill>
    </x:fill>
    <x:fill>
      <x:patternFill patternType="solid">
        <x:fgColor rgb="FFEBF3FA"/>
      </x:patternFill>
    </x:fill>
    <x:fill>
      <x:patternFill patternType="solid">
        <x:fgColor rgb="FFFFFDE7"/>
      </x:patternFill>
    </x:fill>
    <x:fill>
      <x:patternFill patternType="solid">
        <x:fgColor rgb="FFFFFF00"/>
      </x:patternFill>
    </x:fill>
    <x:fill>
      <x:patternFill patternType="solid">
        <x:fgColor rgb="FFFFF3CD"/>
      </x:patternFill>
    </x:fill>
    <x:fill>
      <x:patternFill patternType="solid">
        <x:fgColor rgb="FFD6E4F0"/>
      </x:patternFill>
    </x:fill>
    <x:fill>
      <x:patternFill patternType="solid">
        <x:fgColor rgb="FFF4F7FB"/>
      </x:patternFill>
    </x:fill>
    <x:fill>
      <x:patternFill patternType="solid">
        <x:fgColor rgb="FFD4EDDA"/>
      </x:patternFill>
    </x:fill>
    <x:fill>
      <x:patternFill patternType="solid">
        <x:fgColor rgb="FFF8D7DA"/>
      </x:patternFill>
    </x:fill>
    <x:fill>
      <x:patternFill patternType="solid">
        <x:fgColor rgb="FF0B1F35"/>
      </x:patternFill>
    </x:fill>
    <x:fill>
      <x:patternFill patternType="solid">
        <x:fgColor rgb="FFD4A052"/>
      </x:patternFill>
    </x:fill>
    <x:fill>
      <x:patternFill patternType="solid">
        <x:fgColor rgb="FFF8E8E2"/>
      </x:patternFill>
    </x:fill>
    <x:fill>
      <x:patternFill patternType="solid">
        <x:fgColor rgb="FFEEF7F6"/>
      </x:patternFill>
    </x:fill>
    <x:fill>
      <x:patternFill patternType="solid">
        <x:fgColor rgb="FFE9EFF4"/>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122B49"/>
      </x:patternFill>
    </x:fill>
    <x:fill>
      <x:patternFill patternType="solid">
        <x:fgColor rgb="FFFFF9D9"/>
      </x:patternFill>
    </x:fill>
    <x:fill>
      <x:patternFill patternType="solid">
        <x:fgColor rgb="FFF2F6FA"/>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E9EFF4"/>
      </x:patternFill>
    </x:fill>
    <x:fill>
      <x:patternFill patternType="solid">
        <x:fgColor rgb="FF1F7A78"/>
      </x:patternFill>
    </x:fill>
    <x:fill>
      <x:patternFill patternType="solid">
        <x:fgColor rgb="FFF2F6FA"/>
      </x:patternFill>
    </x:fill>
    <x:fill>
      <x:patternFill patternType="solid">
        <x:fgColor rgb="FF122B49"/>
      </x:patternFill>
    </x:fill>
    <x:fill>
      <x:patternFill patternType="solid">
        <x:fgColor rgb="FFFFF9D9"/>
      </x:patternFill>
    </x:fill>
    <x:fill>
      <x:patternFill patternType="solid">
        <x:fgColor rgb="FFD4A052"/>
      </x:patternFill>
    </x:fill>
    <x:fill>
      <x:patternFill patternType="solid">
        <x:fgColor rgb="FFEEF7F6"/>
      </x:patternFill>
    </x:fill>
    <x:fill>
      <x:patternFill patternType="solid">
        <x:fgColor rgb="FFF8E8E2"/>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E9EFF4"/>
      </x:patternFill>
    </x:fill>
    <x:fill>
      <x:patternFill patternType="solid">
        <x:fgColor rgb="FF1F7A78"/>
      </x:patternFill>
    </x:fill>
    <x:fill>
      <x:patternFill patternType="solid">
        <x:fgColor rgb="FFF2F6FA"/>
      </x:patternFill>
    </x:fill>
    <x:fill>
      <x:patternFill patternType="solid">
        <x:fgColor rgb="FF122B49"/>
      </x:patternFill>
    </x:fill>
    <x:fill>
      <x:patternFill patternType="solid">
        <x:fgColor rgb="FFFFF9D9"/>
      </x:patternFill>
    </x:fill>
    <x:fill>
      <x:patternFill patternType="solid">
        <x:fgColor rgb="FFD4A052"/>
      </x:patternFill>
    </x:fill>
    <x:fill>
      <x:patternFill patternType="solid">
        <x:fgColor rgb="FFEEF7F6"/>
      </x:patternFill>
    </x:fill>
    <x:fill>
      <x:patternFill patternType="solid">
        <x:fgColor rgb="FFF8E8E2"/>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E9EFF4"/>
      </x:patternFill>
    </x:fill>
    <x:fill>
      <x:patternFill patternType="solid">
        <x:fgColor rgb="FF1F7A78"/>
      </x:patternFill>
    </x:fill>
    <x:fill>
      <x:patternFill patternType="solid">
        <x:fgColor rgb="FFF2F6FA"/>
      </x:patternFill>
    </x:fill>
    <x:fill>
      <x:patternFill patternType="solid">
        <x:fgColor rgb="FF122B49"/>
      </x:patternFill>
    </x:fill>
    <x:fill>
      <x:patternFill patternType="solid">
        <x:fgColor rgb="FFFFF9D9"/>
      </x:patternFill>
    </x:fill>
    <x:fill>
      <x:patternFill patternType="solid">
        <x:fgColor rgb="FFD4A052"/>
      </x:patternFill>
    </x:fill>
    <x:fill>
      <x:patternFill patternType="solid">
        <x:fgColor rgb="FFEEF7F6"/>
      </x:patternFill>
    </x:fill>
    <x:fill>
      <x:patternFill patternType="solid">
        <x:fgColor rgb="FFF8E8E2"/>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E9EFF4"/>
      </x:patternFill>
    </x:fill>
    <x:fill>
      <x:patternFill patternType="solid">
        <x:fgColor rgb="FF1F7A78"/>
      </x:patternFill>
    </x:fill>
    <x:fill>
      <x:patternFill patternType="solid">
        <x:fgColor rgb="FFF2F6FA"/>
      </x:patternFill>
    </x:fill>
    <x:fill>
      <x:patternFill patternType="solid">
        <x:fgColor rgb="FF122B49"/>
      </x:patternFill>
    </x:fill>
    <x:fill>
      <x:patternFill patternType="solid">
        <x:fgColor rgb="FFFFF9D9"/>
      </x:patternFill>
    </x:fill>
    <x:fill>
      <x:patternFill patternType="solid">
        <x:fgColor rgb="FFD4A052"/>
      </x:patternFill>
    </x:fill>
    <x:fill>
      <x:patternFill patternType="solid">
        <x:fgColor rgb="FFEEF7F6"/>
      </x:patternFill>
    </x:fill>
    <x:fill>
      <x:patternFill patternType="solid">
        <x:fgColor rgb="FFF8E8E2"/>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E9EFF4"/>
      </x:patternFill>
    </x:fill>
    <x:fill>
      <x:patternFill patternType="solid">
        <x:fgColor rgb="FF1F7A78"/>
      </x:patternFill>
    </x:fill>
    <x:fill>
      <x:patternFill patternType="solid">
        <x:fgColor rgb="FFF2F6FA"/>
      </x:patternFill>
    </x:fill>
    <x:fill>
      <x:patternFill patternType="solid">
        <x:fgColor rgb="FF122B49"/>
      </x:patternFill>
    </x:fill>
    <x:fill>
      <x:patternFill patternType="solid">
        <x:fgColor rgb="FFFFF9D9"/>
      </x:patternFill>
    </x:fill>
    <x:fill>
      <x:patternFill patternType="solid">
        <x:fgColor rgb="FFD4A052"/>
      </x:patternFill>
    </x:fill>
    <x:fill>
      <x:patternFill patternType="solid">
        <x:fgColor rgb="FFEEF7F6"/>
      </x:patternFill>
    </x:fill>
    <x:fill>
      <x:patternFill patternType="solid">
        <x:fgColor rgb="FFF8E8E2"/>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E9EFF4"/>
      </x:patternFill>
    </x:fill>
    <x:fill>
      <x:patternFill patternType="solid">
        <x:fgColor rgb="FF1F7A78"/>
      </x:patternFill>
    </x:fill>
    <x:fill>
      <x:patternFill patternType="solid">
        <x:fgColor rgb="FFF2F6FA"/>
      </x:patternFill>
    </x:fill>
    <x:fill>
      <x:patternFill patternType="solid">
        <x:fgColor rgb="FF122B49"/>
      </x:patternFill>
    </x:fill>
    <x:fill>
      <x:patternFill patternType="solid">
        <x:fgColor rgb="FFFFF9D9"/>
      </x:patternFill>
    </x:fill>
    <x:fill>
      <x:patternFill patternType="solid">
        <x:fgColor rgb="FFD4A052"/>
      </x:patternFill>
    </x:fill>
    <x:fill>
      <x:patternFill patternType="solid">
        <x:fgColor rgb="FFEEF7F6"/>
      </x:patternFill>
    </x:fill>
    <x:fill>
      <x:patternFill patternType="solid">
        <x:fgColor rgb="FFF8E8E2"/>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EEF1F4"/>
      </x:patternFill>
    </x:fill>
    <x:fill>
      <x:patternFill patternType="solid">
        <x:fgColor rgb="FFFFF5DE"/>
      </x:patternFill>
    </x:fill>
  </x:fills>
  <x:borders count="36">
    <x:border/>
    <x:border>
      <x:bottom style="medium">
        <x:color rgb="FFC9A84C"/>
      </x:bottom>
    </x:border>
    <x:border>
      <x:left style="medium">
        <x:color rgb="FFC9A84C"/>
      </x:left>
    </x:border>
    <x:border>
      <x:left style="thin">
        <x:color rgb="FFCBD8E8"/>
      </x:left>
      <x:top style="thin">
        <x:color rgb="FFCBD8E8"/>
      </x:top>
      <x:bottom style="thin">
        <x:color rgb="FFCBD8E8"/>
      </x:bottom>
    </x:border>
    <x:border>
      <x:left style="medium">
        <x:color rgb="FFC9A84C"/>
      </x:left>
      <x:bottom style="medium">
        <x:color rgb="FFC9A84C"/>
      </x:bottom>
    </x:border>
    <x:border>
      <x:top style="medium">
        <x:color rgb="FFCBD8E8"/>
      </x:top>
      <x:bottom style="thin">
        <x:color rgb="FFCBD8E8"/>
      </x:bottom>
    </x:border>
    <x:border>
      <x:left style="thin">
        <x:color rgb="FF0A1628"/>
      </x:left>
      <x:right style="thin">
        <x:color rgb="FF0A1628"/>
      </x:right>
      <x:top style="thin">
        <x:color rgb="FF0A1628"/>
      </x:top>
      <x:bottom style="thin">
        <x:color rgb="FF0A1628"/>
      </x:bottom>
    </x:border>
    <x:border>
      <x:left style="thin">
        <x:color rgb="FFCBD8E8"/>
      </x:left>
      <x:right style="thin">
        <x:color rgb="FFCBD8E8"/>
      </x:right>
      <x:top style="thin">
        <x:color rgb="FFCBD8E8"/>
      </x:top>
      <x:bottom style="thin">
        <x:color rgb="FFCBD8E8"/>
      </x:bottom>
    </x:border>
    <x:border>
      <x:left style="thin">
        <x:color rgb="FFC9A84C"/>
      </x:left>
      <x:right style="thin">
        <x:color rgb="FFC9A84C"/>
      </x:right>
      <x:top style="thin">
        <x:color rgb="FFC9A84C"/>
      </x:top>
      <x:bottom style="thin">
        <x:color rgb="FFC9A84C"/>
      </x:bottom>
    </x:border>
    <x:border>
      <x:left style="thin">
        <x:color rgb="FFC9A84C"/>
      </x:left>
      <x:top style="thin">
        <x:color rgb="FFC9A84C"/>
      </x:top>
      <x:bottom style="thin">
        <x:color rgb="FFC9A84C"/>
      </x:bottom>
    </x:border>
    <x:border>
      <x:top style="medium">
        <x:color rgb="FFC9A84C"/>
      </x:top>
      <x:bottom style="thin">
        <x:color rgb="FFC9A84C"/>
      </x:bottom>
    </x:border>
    <x:border>
      <x:left style="medium">
        <x:color rgb="FFC9A84C"/>
      </x:left>
      <x:top style="thin">
        <x:color rgb="FF0A1628"/>
      </x:top>
      <x:bottom style="thin">
        <x:color rgb="FF0A1628"/>
      </x:bottom>
    </x:border>
    <x:border>
      <x:top style="medium">
        <x:color rgb="FFC9A84C"/>
      </x:top>
      <x:bottom style="medium">
        <x:color rgb="FFC9A84C"/>
      </x:bottom>
    </x:border>
    <x:border>
      <x:left style="thin">
        <x:color rgb="FF0A1628"/>
      </x:left>
      <x:top style="thin">
        <x:color rgb="FF0A1628"/>
      </x:top>
      <x:bottom style="thin">
        <x:color rgb="FF0A1628"/>
      </x:bottom>
    </x:border>
    <x:border>
      <x:top style="medium">
        <x:color rgb="FFC9A84C"/>
      </x:top>
    </x:border>
    <x:border>
      <x:right style="thin">
        <x:color rgb="FF6F8FAB"/>
      </x:right>
    </x:border>
    <x:border>
      <x:left style="thin">
        <x:color rgb="FF6F8FAB"/>
      </x:left>
      <x:right style="thin">
        <x:color rgb="FF6F8FAB"/>
      </x:right>
    </x:border>
    <x:border>
      <x:left style="thin">
        <x:color rgb="FF6F8FAB"/>
      </x:left>
    </x:border>
    <x:border>
      <x:right style="thin">
        <x:color rgb="FFE6EDF2"/>
      </x:right>
      <x:bottom style="thin">
        <x:color rgb="FFD9E2EA"/>
      </x:bottom>
    </x:border>
    <x:border>
      <x:left style="thin">
        <x:color rgb="FFE6EDF2"/>
      </x:left>
      <x:right style="thin">
        <x:color rgb="FFE6EDF2"/>
      </x:right>
      <x:bottom style="thin">
        <x:color rgb="FFD9E2EA"/>
      </x:bottom>
    </x:border>
    <x:border>
      <x:left style="thin">
        <x:color rgb="FFE6EDF2"/>
      </x:left>
      <x:bottom style="thin">
        <x:color rgb="FFD9E2EA"/>
      </x:bottom>
    </x:border>
    <x:border>
      <x:right style="thin">
        <x:color rgb="FFE6EDF2"/>
      </x:right>
      <x:top style="thin">
        <x:color rgb="FFD9E2EA"/>
      </x:top>
      <x:bottom style="thin">
        <x:color rgb="FFD9E2EA"/>
      </x:bottom>
    </x:border>
    <x:border>
      <x:left style="thin">
        <x:color rgb="FFE6EDF2"/>
      </x:left>
      <x:right style="thin">
        <x:color rgb="FFE6EDF2"/>
      </x:right>
      <x:top style="thin">
        <x:color rgb="FFD9E2EA"/>
      </x:top>
      <x:bottom style="thin">
        <x:color rgb="FFD9E2EA"/>
      </x:bottom>
    </x:border>
    <x:border>
      <x:left style="thin">
        <x:color rgb="FFE6EDF2"/>
      </x:left>
      <x:top style="thin">
        <x:color rgb="FFD9E2EA"/>
      </x:top>
      <x:bottom style="thin">
        <x:color rgb="FFD9E2EA"/>
      </x:bottom>
    </x:border>
    <x:border>
      <x:right style="thin">
        <x:color rgb="FFE6EDF2"/>
      </x:right>
      <x:top style="thin">
        <x:color rgb="FFD9E2EA"/>
      </x:top>
      <x:bottom style="thin">
        <x:color rgb="FF9BAFC0"/>
      </x:bottom>
    </x:border>
    <x:border>
      <x:left style="thin">
        <x:color rgb="FFE6EDF2"/>
      </x:left>
      <x:right style="thin">
        <x:color rgb="FFE6EDF2"/>
      </x:right>
      <x:top style="thin">
        <x:color rgb="FFD9E2EA"/>
      </x:top>
      <x:bottom style="thin">
        <x:color rgb="FF9BAFC0"/>
      </x:bottom>
    </x:border>
    <x:border>
      <x:left style="thin">
        <x:color rgb="FFE6EDF2"/>
      </x:left>
      <x:top style="thin">
        <x:color rgb="FFD9E2EA"/>
      </x:top>
      <x:bottom style="thin">
        <x:color rgb="FF9BAFC0"/>
      </x:bottom>
    </x:border>
    <x:border>
      <x:right style="thin">
        <x:color rgb="FFD9E2EA"/>
      </x:right>
      <x:bottom style="thin">
        <x:color rgb="FFD9E2EA"/>
      </x:bottom>
    </x:border>
    <x:border>
      <x:left style="thin">
        <x:color rgb="FFD9E2EA"/>
      </x:left>
      <x:right style="thin">
        <x:color rgb="FFD9E2EA"/>
      </x:right>
      <x:bottom style="thin">
        <x:color rgb="FFD9E2EA"/>
      </x:bottom>
    </x:border>
    <x:border>
      <x:left style="thin">
        <x:color rgb="FFD9E2EA"/>
      </x:left>
      <x:bottom style="thin">
        <x:color rgb="FFD9E2EA"/>
      </x:bottom>
    </x:border>
    <x:border>
      <x:right style="thin">
        <x:color rgb="FFD9E2EA"/>
      </x:right>
      <x:top style="thin">
        <x:color rgb="FFD9E2EA"/>
      </x:top>
      <x:bottom style="thin">
        <x:color rgb="FFD9E2EA"/>
      </x:bottom>
    </x:border>
    <x:border>
      <x:left style="thin">
        <x:color rgb="FFD9E2EA"/>
      </x:left>
      <x:right style="thin">
        <x:color rgb="FFD9E2EA"/>
      </x:right>
      <x:top style="thin">
        <x:color rgb="FFD9E2EA"/>
      </x:top>
      <x:bottom style="thin">
        <x:color rgb="FFD9E2EA"/>
      </x:bottom>
    </x:border>
    <x:border>
      <x:left style="thin">
        <x:color rgb="FFD9E2EA"/>
      </x:left>
      <x:top style="thin">
        <x:color rgb="FFD9E2EA"/>
      </x:top>
      <x:bottom style="thin">
        <x:color rgb="FFD9E2EA"/>
      </x:bottom>
    </x:border>
    <x:border>
      <x:right style="thin">
        <x:color rgb="FFD9E2EA"/>
      </x:right>
      <x:top style="thin">
        <x:color rgb="FFD9E2EA"/>
      </x:top>
    </x:border>
    <x:border>
      <x:left style="thin">
        <x:color rgb="FFD9E2EA"/>
      </x:left>
      <x:right style="thin">
        <x:color rgb="FFD9E2EA"/>
      </x:right>
      <x:top style="thin">
        <x:color rgb="FFD9E2EA"/>
      </x:top>
    </x:border>
    <x:border>
      <x:left style="thin">
        <x:color rgb="FFD9E2EA"/>
      </x:left>
      <x:top style="thin">
        <x:color rgb="FFD9E2EA"/>
      </x:top>
    </x:border>
  </x:borders>
  <x:cellStyleXfs count="6">
    <x:xf numFmtId="0" fontId="0" fillId="0" borderId="0"/>
    <x:xf numFmtId="43" fontId="1" fillId="0" borderId="0" applyBorder="0" applyAlignment="0" applyProtection="0"/>
    <x:xf numFmtId="41" fontId="1" fillId="0" borderId="0" applyBorder="0" applyAlignment="0" applyProtection="0"/>
    <x:xf numFmtId="44" fontId="1" fillId="0" borderId="0" applyBorder="0" applyAlignment="0" applyProtection="0"/>
    <x:xf numFmtId="42" fontId="1" fillId="0" borderId="0" applyBorder="0" applyAlignment="0" applyProtection="0"/>
    <x:xf numFmtId="9" fontId="1" fillId="0" borderId="0" applyBorder="0" applyAlignment="0" applyProtection="0"/>
  </x:cellStyleXfs>
  <x:cellXfs count="1479">
    <x:xf numFmtId="0" fontId="0" fillId="0" borderId="0" xfId="0"/>
    <x:xf numFmtId="0" fontId="14" fillId="2" borderId="13" xfId="0" applyFont="1" applyFill="1" applyBorder="1" applyAlignment="1">
      <x:alignment horizontal="center" vertical="center" wrapText="1"/>
    </x:xf>
    <x:xf numFmtId="0" fontId="19" fillId="9" borderId="3" xfId="0" applyFont="1" applyFill="1" applyBorder="1" applyAlignment="1">
      <x:alignment horizontal="left" vertical="center"/>
    </x:xf>
    <x:xf numFmtId="0" fontId="3" fillId="4" borderId="3" xfId="0" applyFont="1" applyFill="1" applyBorder="1" applyAlignment="1">
      <x:alignment horizontal="left" vertical="center"/>
    </x:xf>
    <x:xf numFmtId="0" fontId="4" fillId="2" borderId="12" xfId="0" applyFont="1" applyFill="1" applyBorder="1" applyAlignment="1">
      <x:alignment horizontal="left" vertical="center"/>
    </x:xf>
    <x:xf numFmtId="0" fontId="4" fillId="2" borderId="11" xfId="0" applyFont="1" applyFill="1" applyBorder="1" applyAlignment="1">
      <x:alignment horizontal="left" vertical="center"/>
    </x:xf>
    <x:xf numFmtId="0" fontId="13" fillId="7" borderId="10" xfId="0" applyFont="1" applyFill="1" applyBorder="1" applyAlignment="1">
      <x:alignment horizontal="left" vertical="center" wrapText="1"/>
    </x:xf>
    <x:xf numFmtId="0" fontId="12" fillId="6" borderId="9" xfId="0" applyFont="1" applyFill="1" applyBorder="1" applyAlignment="1">
      <x:alignment horizontal="left" vertical="center" wrapText="1"/>
    </x:xf>
    <x:xf numFmtId="0" fontId="6" fillId="4" borderId="5" xfId="0" applyFont="1" applyFill="1" applyBorder="1" applyAlignment="1">
      <x:alignment horizontal="left" vertical="center" wrapText="1"/>
    </x:xf>
    <x:xf numFmtId="0" fontId="3" fillId="3" borderId="0" xfId="0" applyFont="1" applyFill="1" applyAlignment="1">
      <x:alignment horizontal="center" vertical="center"/>
    </x:xf>
    <x:xf numFmtId="0" fontId="2" fillId="2" borderId="1" xfId="0" applyFont="1" applyFill="1" applyBorder="1" applyAlignment="1">
      <x:alignment horizontal="center" vertical="center"/>
    </x:xf>
    <x:xf numFmtId="0" fontId="5" fillId="3" borderId="3" xfId="0" applyFont="1" applyFill="1" applyBorder="1" applyAlignment="1">
      <x:alignment horizontal="left" vertical="center" wrapText="1"/>
    </x:xf>
    <x:xf numFmtId="0" fontId="5" fillId="4" borderId="3" xfId="0" applyFont="1" applyFill="1" applyBorder="1" applyAlignment="1">
      <x:alignment horizontal="left" vertical="center" wrapText="1"/>
    </x:xf>
    <x:xf numFmtId="0" fontId="3" fillId="3" borderId="0" xfId="0" applyFont="1" applyFill="1" applyAlignment="1">
      <x:alignment horizontal="center" vertical="center" wrapText="1"/>
    </x:xf>
    <x:xf numFmtId="0" fontId="2" fillId="2" borderId="1" xfId="0" applyFont="1" applyFill="1" applyBorder="1" applyAlignment="1">
      <x:alignment horizontal="center" vertical="center" wrapText="1"/>
    </x:xf>
    <x:xf numFmtId="0" fontId="4" fillId="2" borderId="6" xfId="0" applyFont="1" applyFill="1" applyBorder="1" applyAlignment="1">
      <x:alignment horizontal="center" vertical="center"/>
    </x:xf>
    <x:xf numFmtId="0" fontId="7" fillId="4" borderId="7" xfId="0" applyFont="1" applyFill="1" applyBorder="1" applyAlignment="1">
      <x:alignment horizontal="left" vertical="center"/>
    </x:xf>
    <x:xf numFmtId="0" fontId="0" fillId="4" borderId="7" xfId="0" applyFill="1" applyBorder="1"/>
    <x:xf numFmtId="164" fontId="8" fillId="5" borderId="8" xfId="0" applyNumberFormat="1" applyFont="1" applyFill="1" applyBorder="1" applyAlignment="1">
      <x:alignment horizontal="center" vertical="center"/>
    </x:xf>
    <x:xf numFmtId="0" fontId="0" fillId="3" borderId="7" xfId="0" applyFill="1" applyBorder="1"/>
    <x:xf numFmtId="0" fontId="7" fillId="3" borderId="7" xfId="0" applyFont="1" applyFill="1" applyBorder="1" applyAlignment="1">
      <x:alignment horizontal="left" vertical="center"/>
    </x:xf>
    <x:xf numFmtId="165" fontId="8" fillId="5" borderId="8" xfId="0" applyNumberFormat="1" applyFont="1" applyFill="1" applyBorder="1" applyAlignment="1">
      <x:alignment horizontal="center" vertical="center"/>
    </x:xf>
    <x:xf numFmtId="2" fontId="8" fillId="5" borderId="8" xfId="0" applyNumberFormat="1" applyFont="1" applyFill="1" applyBorder="1" applyAlignment="1">
      <x:alignment horizontal="center" vertical="center"/>
    </x:xf>
    <x:xf numFmtId="0" fontId="9" fillId="4" borderId="7" xfId="0" applyFont="1" applyFill="1" applyBorder="1" applyAlignment="1">
      <x:alignment horizontal="left" vertical="center"/>
    </x:xf>
    <x:xf numFmtId="0" fontId="10" fillId="6" borderId="8" xfId="0" applyFont="1" applyFill="1" applyBorder="1" applyAlignment="1">
      <x:alignment horizontal="center" vertical="center"/>
    </x:xf>
    <x:xf numFmtId="0" fontId="11" fillId="4" borderId="7" xfId="0" applyFont="1" applyFill="1" applyBorder="1" applyAlignment="1">
      <x:alignment horizontal="left" vertical="center"/>
    </x:xf>
    <x:xf numFmtId="164" fontId="10" fillId="6" borderId="8" xfId="0" applyNumberFormat="1" applyFont="1" applyFill="1" applyBorder="1" applyAlignment="1">
      <x:alignment horizontal="center" vertical="center"/>
    </x:xf>
    <x:xf numFmtId="0" fontId="14" fillId="2" borderId="6" xfId="0" applyFont="1" applyFill="1" applyBorder="1" applyAlignment="1">
      <x:alignment horizontal="center" vertical="center" wrapText="1"/>
    </x:xf>
    <x:xf numFmtId="0" fontId="15" fillId="8" borderId="7" xfId="0" applyFont="1" applyFill="1" applyBorder="1" applyAlignment="1">
      <x:alignment horizontal="center" vertical="center"/>
    </x:xf>
    <x:xf numFmtId="0" fontId="10" fillId="6" borderId="8" xfId="0" applyFont="1" applyFill="1" applyBorder="1" applyAlignment="1">
      <x:alignment horizontal="left" vertical="center" wrapText="1"/>
    </x:xf>
    <x:xf numFmtId="165" fontId="11" fillId="5" borderId="8" xfId="0" applyNumberFormat="1" applyFont="1" applyFill="1" applyBorder="1" applyAlignment="1">
      <x:alignment horizontal="center" vertical="center"/>
    </x:xf>
    <x:xf numFmtId="2" fontId="10" fillId="6" borderId="8" xfId="0" applyNumberFormat="1" applyFont="1" applyFill="1" applyBorder="1" applyAlignment="1">
      <x:alignment horizontal="center" vertical="center"/>
    </x:xf>
    <x:xf numFmtId="1" fontId="10" fillId="6" borderId="8" xfId="0" applyNumberFormat="1" applyFont="1" applyFill="1" applyBorder="1" applyAlignment="1">
      <x:alignment horizontal="center" vertical="center"/>
    </x:xf>
    <x:xf numFmtId="164" fontId="16" fillId="5" borderId="12" xfId="0" applyNumberFormat="1" applyFont="1" applyFill="1" applyBorder="1" applyAlignment="1">
      <x:alignment horizontal="center" vertical="center"/>
    </x:xf>
    <x:xf numFmtId="165" fontId="17" fillId="5" borderId="12" xfId="0" applyNumberFormat="1" applyFont="1" applyFill="1" applyBorder="1" applyAlignment="1">
      <x:alignment horizontal="center" vertical="center"/>
    </x:xf>
    <x:xf numFmtId="2" fontId="17" fillId="5" borderId="12" xfId="0" applyNumberFormat="1" applyFont="1" applyFill="1" applyBorder="1" applyAlignment="1">
      <x:alignment horizontal="center" vertical="center"/>
    </x:xf>
    <x:xf numFmtId="0" fontId="18" fillId="8" borderId="7" xfId="0" applyFont="1" applyFill="1" applyBorder="1" applyAlignment="1">
      <x:alignment horizontal="left" vertical="center"/>
    </x:xf>
    <x:xf numFmtId="0" fontId="9" fillId="4" borderId="7" xfId="0" applyFont="1" applyFill="1" applyBorder="1" applyAlignment="1">
      <x:alignment horizontal="left" vertical="center" wrapText="1"/>
    </x:xf>
    <x:xf numFmtId="0" fontId="12" fillId="6" borderId="8" xfId="0" applyFont="1" applyFill="1" applyBorder="1" applyAlignment="1">
      <x:alignment horizontal="center" vertical="center"/>
    </x:xf>
    <x:xf numFmtId="0" fontId="15" fillId="5" borderId="8" xfId="0" applyFont="1" applyFill="1" applyBorder="1" applyAlignment="1">
      <x:alignment horizontal="center" vertical="center"/>
    </x:xf>
    <x:xf numFmtId="0" fontId="15" fillId="8" borderId="8" xfId="0" applyFont="1" applyFill="1" applyBorder="1" applyAlignment="1">
      <x:alignment horizontal="center" vertical="center"/>
    </x:xf>
    <x:xf numFmtId="0" fontId="21" fillId="10" borderId="8" xfId="0" applyFont="1" applyFill="1" applyBorder="1" applyAlignment="1">
      <x:alignment horizontal="center" vertical="center"/>
    </x:xf>
    <x:xf numFmtId="0" fontId="22" fillId="11" borderId="8" xfId="0" applyFont="1" applyFill="1" applyBorder="1" applyAlignment="1">
      <x:alignment horizontal="center" vertical="center"/>
    </x:xf>
    <x:xf numFmtId="0" fontId="0" fillId="0" borderId="0" xfId="0" applyAlignment="1">
      <x:alignment wrapText="1"/>
    </x:xf>
    <x:xf numFmtId="0" fontId="4" fillId="2" borderId="2" xfId="0" applyFont="1" applyFill="1" applyBorder="1" applyAlignment="1">
      <x:alignment horizontal="left" vertical="center" wrapText="1"/>
    </x:xf>
    <x:xf numFmtId="0" fontId="4" fillId="2" borderId="4" xfId="0" applyFont="1" applyFill="1" applyBorder="1" applyAlignment="1">
      <x:alignment horizontal="left" vertical="center" wrapText="1"/>
    </x:xf>
    <x:xf numFmtId="0" fontId="28" fillId="21" borderId="15" xfId="0" applyFont="1" applyFill="1" applyBorder="1" applyAlignment="1">
      <x:alignment horizontal="center" vertical="center" wrapText="1"/>
    </x:xf>
    <x:xf numFmtId="0" fontId="28" fillId="21" borderId="16" xfId="0" applyFont="1" applyFill="1" applyBorder="1" applyAlignment="1">
      <x:alignment horizontal="center" vertical="center" wrapText="1"/>
    </x:xf>
    <x:xf numFmtId="0" fontId="28" fillId="21" borderId="17" xfId="0" applyFont="1" applyFill="1" applyBorder="1" applyAlignment="1">
      <x:alignment horizontal="center" vertical="center" wrapText="1"/>
    </x:xf>
    <x:xf numFmtId="0" fontId="29" fillId="22" borderId="19" xfId="0" applyFont="1" applyFill="1" applyBorder="1" applyAlignment="1">
      <x:alignment vertical="top" wrapText="1"/>
    </x:xf>
    <x:xf numFmtId="0" fontId="29" fillId="22" borderId="22" xfId="0" applyFont="1" applyFill="1" applyBorder="1" applyAlignment="1">
      <x:alignment vertical="top" wrapText="1"/>
    </x:xf>
    <x:xf numFmtId="0" fontId="29" fillId="22" borderId="25" xfId="0" applyFont="1" applyFill="1" applyBorder="1" applyAlignment="1">
      <x:alignment vertical="top" wrapText="1"/>
    </x:xf>
    <x:xf numFmtId="0" fontId="29" fillId="23" borderId="18" xfId="0" applyFont="1" applyFill="1" applyBorder="1" applyAlignment="1">
      <x:alignment vertical="top" wrapText="1"/>
    </x:xf>
    <x:xf numFmtId="0" fontId="29" fillId="23" borderId="19" xfId="0" applyFont="1" applyFill="1" applyBorder="1" applyAlignment="1">
      <x:alignment vertical="top" wrapText="1"/>
    </x:xf>
    <x:xf numFmtId="0" fontId="29" fillId="23" borderId="21" xfId="0" applyFont="1" applyFill="1" applyBorder="1" applyAlignment="1">
      <x:alignment vertical="top" wrapText="1"/>
    </x:xf>
    <x:xf numFmtId="0" fontId="29" fillId="23" borderId="22" xfId="0" applyFont="1" applyFill="1" applyBorder="1" applyAlignment="1">
      <x:alignment vertical="top" wrapText="1"/>
    </x:xf>
    <x:xf numFmtId="0" fontId="29" fillId="23" borderId="24" xfId="0" applyFont="1" applyFill="1" applyBorder="1" applyAlignment="1">
      <x:alignment vertical="top" wrapText="1"/>
    </x:xf>
    <x:xf numFmtId="0" fontId="29" fillId="23" borderId="25" xfId="0" applyFont="1" applyFill="1" applyBorder="1" applyAlignment="1">
      <x:alignment vertical="top" wrapText="1"/>
    </x:xf>
    <x:xf numFmtId="0" fontId="29" fillId="24" borderId="19" xfId="0" applyFont="1" applyFill="1" applyBorder="1" applyAlignment="1">
      <x:alignment vertical="top" wrapText="1"/>
    </x:xf>
    <x:xf numFmtId="0" fontId="29" fillId="24" borderId="20" xfId="0" applyFont="1" applyFill="1" applyBorder="1" applyAlignment="1">
      <x:alignment vertical="top" wrapText="1"/>
    </x:xf>
    <x:xf numFmtId="0" fontId="29" fillId="24" borderId="22" xfId="0" applyFont="1" applyFill="1" applyBorder="1" applyAlignment="1">
      <x:alignment vertical="top" wrapText="1"/>
    </x:xf>
    <x:xf numFmtId="0" fontId="29" fillId="24" borderId="23" xfId="0" applyFont="1" applyFill="1" applyBorder="1" applyAlignment="1">
      <x:alignment vertical="top" wrapText="1"/>
    </x:xf>
    <x:xf numFmtId="0" fontId="29" fillId="24" borderId="25" xfId="0" applyFont="1" applyFill="1" applyBorder="1" applyAlignment="1">
      <x:alignment vertical="top" wrapText="1"/>
    </x:xf>
    <x:xf numFmtId="0" fontId="29" fillId="24" borderId="26" xfId="0" applyFont="1" applyFill="1" applyBorder="1" applyAlignment="1">
      <x:alignment vertical="top" wrapText="1"/>
    </x:xf>
    <x:xf numFmtId="164" fontId="29" fillId="23" borderId="19" xfId="0" applyNumberFormat="1" applyFont="1" applyFill="1" applyBorder="1" applyAlignment="1">
      <x:alignment vertical="top" wrapText="1"/>
    </x:xf>
    <x:xf numFmtId="164" fontId="29" fillId="23" borderId="22" xfId="0" applyNumberFormat="1" applyFont="1" applyFill="1" applyBorder="1" applyAlignment="1">
      <x:alignment vertical="top" wrapText="1"/>
    </x:xf>
    <x:xf numFmtId="164" fontId="29" fillId="23" borderId="25" xfId="0" applyNumberFormat="1" applyFont="1" applyFill="1" applyBorder="1" applyAlignment="1">
      <x:alignment vertical="top" wrapText="1"/>
    </x:xf>
    <x:xf numFmtId="166" fontId="29" fillId="23" borderId="19" xfId="0" applyNumberFormat="1" applyFont="1" applyFill="1" applyBorder="1" applyAlignment="1">
      <x:alignment vertical="top" wrapText="1"/>
    </x:xf>
    <x:xf numFmtId="166" fontId="29" fillId="23" borderId="22" xfId="0" applyNumberFormat="1" applyFont="1" applyFill="1" applyBorder="1" applyAlignment="1">
      <x:alignment vertical="top" wrapText="1"/>
    </x:xf>
    <x:xf numFmtId="166" fontId="29" fillId="23" borderId="25" xfId="0" applyNumberFormat="1" applyFont="1" applyFill="1" applyBorder="1" applyAlignment="1">
      <x:alignment vertical="top" wrapText="1"/>
    </x:xf>
    <x:xf numFmtId="166" fontId="29" fillId="22" borderId="19" xfId="0" applyNumberFormat="1" applyFont="1" applyFill="1" applyBorder="1" applyAlignment="1">
      <x:alignment vertical="top" wrapText="1"/>
    </x:xf>
    <x:xf numFmtId="166" fontId="29" fillId="22" borderId="22" xfId="0" applyNumberFormat="1" applyFont="1" applyFill="1" applyBorder="1" applyAlignment="1">
      <x:alignment vertical="top" wrapText="1"/>
    </x:xf>
    <x:xf numFmtId="166" fontId="29" fillId="22" borderId="25" xfId="0" applyNumberFormat="1" applyFont="1" applyFill="1" applyBorder="1" applyAlignment="1">
      <x:alignment vertical="top" wrapText="1"/>
    </x:xf>
    <x:xf numFmtId="0" fontId="20" fillId="2" borderId="2" xfId="0" applyFont="1" applyFill="1" applyBorder="1" applyAlignment="1">
      <x:alignment horizontal="left" vertical="center"/>
    </x:xf>
    <x:xf numFmtId="0" fontId="3" fillId="7" borderId="14" xfId="0" applyFont="1" applyFill="1" applyBorder="1" applyAlignment="1">
      <x:alignment horizontal="left" vertical="center"/>
    </x:xf>
    <x:xf numFmtId="0" fontId="5" fillId="3" borderId="3" xfId="0" applyFont="1" applyFill="1" applyBorder="1" applyAlignment="1">
      <x:alignment horizontal="left" vertical="center"/>
    </x:xf>
    <x:xf numFmtId="0" fontId="23" fillId="12" borderId="0" xfId="0" applyFont="1" applyFill="1" applyAlignment="1">
      <x:alignment vertical="center"/>
    </x:xf>
    <x:xf numFmtId="0" fontId="24" fillId="13" borderId="0" xfId="0" applyFont="1" applyFill="1" applyAlignment="1">
      <x:alignment vertical="center"/>
    </x:xf>
    <x:xf numFmtId="0" fontId="25" fillId="14" borderId="0" xfId="0" applyFont="1" applyFill="1" applyAlignment="1">
      <x:alignment vertical="center" wrapText="1"/>
    </x:xf>
    <x:xf numFmtId="0" fontId="26" fillId="15" borderId="0" xfId="0" applyFont="1" applyFill="1" applyAlignment="1">
      <x:alignment vertical="center" wrapText="1"/>
    </x:xf>
    <x:xf numFmtId="0" fontId="27" fillId="16" borderId="0" xfId="0" applyFont="1" applyFill="1" applyAlignment="1">
      <x:alignment vertical="center" wrapText="1"/>
    </x:xf>
    <x:xf numFmtId="0" fontId="28" fillId="17" borderId="0" xfId="0" applyFont="1" applyFill="1" applyAlignment="1">
      <x:alignment horizontal="center" vertical="center"/>
    </x:xf>
    <x:xf numFmtId="0" fontId="28" fillId="18" borderId="0" xfId="0" applyFont="1" applyFill="1" applyAlignment="1">
      <x:alignment horizontal="center" vertical="center"/>
    </x:xf>
    <x:xf numFmtId="0" fontId="28" fillId="19" borderId="0" xfId="0" applyFont="1" applyFill="1" applyAlignment="1">
      <x:alignment horizontal="center" vertical="center"/>
    </x:xf>
    <x:xf numFmtId="0" fontId="28" fillId="20" borderId="0" xfId="0" applyFont="1" applyFill="1" applyAlignment="1">
      <x:alignment horizontal="center" vertical="center"/>
    </x:xf>
    <x:xf numFmtId="0" fontId="30" fillId="25" borderId="0" xfId="0" applyFont="1" applyFill="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left" vertical="center" wrapText="1"/>
    </x:xf>
    <x:xf numFmtId="0" fontId="5" fillId="4" borderId="3" xfId="0" applyNumberFormat="1" applyFont="1" applyFill="1" applyBorder="1" applyAlignment="1">
      <x:alignment horizontal="left" vertical="center" wrapText="1"/>
    </x:xf>
    <x:xf numFmtId="0" fontId="4" fillId="2" borderId="4" xfId="0" applyNumberFormat="1" applyFont="1" applyFill="1" applyBorder="1" applyAlignment="1">
      <x:alignment horizontal="left" vertical="center" wrapText="1"/>
    </x:xf>
    <x:xf numFmtId="0" fontId="5" fillId="3" borderId="3" xfId="0" applyNumberFormat="1" applyFont="1" applyFill="1" applyBorder="1" applyAlignment="1">
      <x:alignment horizontal="left" vertical="center" wrapText="1"/>
    </x:xf>
    <x:xf numFmtId="0" fontId="0" fillId="26" borderId="0" xfId="0" applyNumberFormat="1" applyFont="1" applyFill="1" applyBorder="1"/>
    <x:xf numFmtId="0" fontId="23" fillId="26" borderId="0" xfId="0" applyNumberFormat="1" applyFont="1" applyFill="1" applyBorder="1"/>
    <x:xf numFmtId="0" fontId="23" fillId="26" borderId="0" xfId="0" applyNumberFormat="1" applyFont="1" applyFill="1" applyBorder="1" applyAlignment="1">
      <x:alignment vertical="center"/>
    </x:xf>
    <x:xf numFmtId="0" fontId="0" fillId="27" borderId="0" xfId="0" applyNumberFormat="1" applyFont="1" applyFill="1" applyBorder="1"/>
    <x:xf numFmtId="0" fontId="27" fillId="27" borderId="0" xfId="0" applyNumberFormat="1" applyFont="1" applyFill="1" applyBorder="1"/>
    <x:xf numFmtId="0" fontId="27" fillId="27" borderId="0" xfId="0" applyNumberFormat="1" applyFont="1" applyFill="1" applyBorder="1" applyAlignment="1">
      <x:alignment wrapText="1"/>
    </x:xf>
    <x:xf numFmtId="0" fontId="27" fillId="27" borderId="0" xfId="0" applyNumberFormat="1" applyFont="1" applyFill="1" applyBorder="1" applyAlignment="1">
      <x:alignment vertical="center" wrapText="1"/>
    </x:xf>
    <x:xf numFmtId="0" fontId="0" fillId="28" borderId="0" xfId="0" applyNumberFormat="1" applyFont="1" applyFill="1" applyBorder="1"/>
    <x:xf numFmtId="0" fontId="32" fillId="28" borderId="0" xfId="0" applyNumberFormat="1" applyFont="1" applyFill="1" applyBorder="1"/>
    <x:xf numFmtId="0" fontId="32" fillId="28" borderId="0" xfId="0" applyNumberFormat="1" applyFont="1" applyFill="1" applyBorder="1" applyAlignment="1">
      <x:alignment wrapText="1"/>
    </x:xf>
    <x:xf numFmtId="0" fontId="32" fillId="28" borderId="0" xfId="0" applyNumberFormat="1" applyFont="1" applyFill="1" applyBorder="1" applyAlignment="1">
      <x:alignment vertical="top" wrapText="1"/>
    </x:xf>
    <x:xf numFmtId="0" fontId="0" fillId="29" borderId="0" xfId="0" applyNumberFormat="1" applyFont="1" applyFill="1" applyBorder="1"/>
    <x:xf numFmtId="0" fontId="33" fillId="29" borderId="0" xfId="0" applyNumberFormat="1" applyFont="1" applyFill="1" applyBorder="1"/>
    <x:xf numFmtId="0" fontId="33" fillId="29" borderId="0" xfId="0" applyNumberFormat="1" applyFont="1" applyFill="1" applyBorder="1" applyAlignment="1">
      <x:alignment wrapText="1"/>
    </x:xf>
    <x:xf numFmtId="0" fontId="33" fillId="29" borderId="0" xfId="0" applyNumberFormat="1" applyFont="1" applyFill="1" applyBorder="1" applyAlignment="1">
      <x:alignment vertical="top" wrapText="1"/>
    </x:xf>
    <x:xf numFmtId="0" fontId="0" fillId="30" borderId="0" xfId="0" applyNumberFormat="1" applyFont="1" applyFill="1" applyBorder="1"/>
    <x:xf numFmtId="0" fontId="32" fillId="30" borderId="0" xfId="0" applyNumberFormat="1" applyFont="1" applyFill="1" applyBorder="1"/>
    <x:xf numFmtId="0" fontId="32" fillId="30" borderId="0" xfId="0" applyNumberFormat="1" applyFont="1" applyFill="1" applyBorder="1" applyAlignment="1">
      <x:alignment wrapText="1"/>
    </x:xf>
    <x:xf numFmtId="0" fontId="32" fillId="30" borderId="0" xfId="0" applyNumberFormat="1" applyFont="1" applyFill="1" applyBorder="1" applyAlignment="1">
      <x:alignment horizontal="center" wrapText="1"/>
    </x:xf>
    <x:xf numFmtId="0" fontId="32" fillId="30" borderId="0" xfId="0" applyNumberFormat="1" applyFont="1" applyFill="1" applyBorder="1" applyAlignment="1">
      <x:alignment horizontal="center" vertical="center" wrapText="1"/>
    </x:xf>
    <x:xf numFmtId="0" fontId="0" fillId="31" borderId="0" xfId="0" applyNumberFormat="1" applyFont="1" applyFill="1" applyBorder="1"/>
    <x:xf numFmtId="0" fontId="34" fillId="31" borderId="0" xfId="0" applyNumberFormat="1" applyFont="1" applyFill="1" applyBorder="1"/>
    <x:xf numFmtId="0" fontId="34" fillId="31" borderId="27" xfId="0" applyNumberFormat="1" applyFont="1" applyFill="1" applyBorder="1"/>
    <x:xf numFmtId="0" fontId="34" fillId="31" borderId="28" xfId="0" applyNumberFormat="1" applyFont="1" applyFill="1" applyBorder="1"/>
    <x:xf numFmtId="0" fontId="34" fillId="31" borderId="29" xfId="0" applyNumberFormat="1" applyFont="1" applyFill="1" applyBorder="1"/>
    <x:xf numFmtId="0" fontId="34" fillId="31" borderId="30" xfId="0" applyNumberFormat="1" applyFont="1" applyFill="1" applyBorder="1"/>
    <x:xf numFmtId="0" fontId="34" fillId="31" borderId="31" xfId="0" applyNumberFormat="1" applyFont="1" applyFill="1" applyBorder="1"/>
    <x:xf numFmtId="0" fontId="34" fillId="31" borderId="32" xfId="0" applyNumberFormat="1" applyFont="1" applyFill="1" applyBorder="1"/>
    <x:xf numFmtId="0" fontId="34" fillId="31" borderId="33" xfId="0" applyNumberFormat="1" applyFont="1" applyFill="1" applyBorder="1"/>
    <x:xf numFmtId="0" fontId="34" fillId="31" borderId="34" xfId="0" applyNumberFormat="1" applyFont="1" applyFill="1" applyBorder="1"/>
    <x:xf numFmtId="0" fontId="34" fillId="31" borderId="35" xfId="0" applyNumberFormat="1" applyFont="1" applyFill="1" applyBorder="1"/>
    <x:xf numFmtId="0" fontId="34" fillId="31" borderId="27" xfId="0" applyNumberFormat="1" applyFont="1" applyFill="1" applyBorder="1" applyAlignment="1">
      <x:alignment wrapText="1"/>
    </x:xf>
    <x:xf numFmtId="0" fontId="34" fillId="31" borderId="28" xfId="0" applyNumberFormat="1" applyFont="1" applyFill="1" applyBorder="1" applyAlignment="1">
      <x:alignment wrapText="1"/>
    </x:xf>
    <x:xf numFmtId="0" fontId="34" fillId="31" borderId="29" xfId="0" applyNumberFormat="1" applyFont="1" applyFill="1" applyBorder="1" applyAlignment="1">
      <x:alignment wrapText="1"/>
    </x:xf>
    <x:xf numFmtId="0" fontId="34" fillId="31" borderId="30" xfId="0" applyNumberFormat="1" applyFont="1" applyFill="1" applyBorder="1" applyAlignment="1">
      <x:alignment wrapText="1"/>
    </x:xf>
    <x:xf numFmtId="0" fontId="34" fillId="31" borderId="31" xfId="0" applyNumberFormat="1" applyFont="1" applyFill="1" applyBorder="1" applyAlignment="1">
      <x:alignment wrapText="1"/>
    </x:xf>
    <x:xf numFmtId="0" fontId="34" fillId="31" borderId="32" xfId="0" applyNumberFormat="1" applyFont="1" applyFill="1" applyBorder="1" applyAlignment="1">
      <x:alignment wrapText="1"/>
    </x:xf>
    <x:xf numFmtId="0" fontId="34" fillId="31" borderId="33" xfId="0" applyNumberFormat="1" applyFont="1" applyFill="1" applyBorder="1" applyAlignment="1">
      <x:alignment wrapText="1"/>
    </x:xf>
    <x:xf numFmtId="0" fontId="34" fillId="31" borderId="34" xfId="0" applyNumberFormat="1" applyFont="1" applyFill="1" applyBorder="1" applyAlignment="1">
      <x:alignment wrapText="1"/>
    </x:xf>
    <x:xf numFmtId="0" fontId="34" fillId="31" borderId="35" xfId="0" applyNumberFormat="1" applyFont="1" applyFill="1" applyBorder="1" applyAlignment="1">
      <x:alignment wrapText="1"/>
    </x:xf>
    <x:xf numFmtId="0" fontId="34" fillId="31" borderId="27" xfId="0" applyNumberFormat="1" applyFont="1" applyFill="1" applyBorder="1" applyAlignment="1">
      <x:alignment vertical="top" wrapText="1"/>
    </x:xf>
    <x:xf numFmtId="0" fontId="34" fillId="31" borderId="28" xfId="0" applyNumberFormat="1" applyFont="1" applyFill="1" applyBorder="1" applyAlignment="1">
      <x:alignment vertical="top" wrapText="1"/>
    </x:xf>
    <x:xf numFmtId="0" fontId="34" fillId="31" borderId="29" xfId="0" applyNumberFormat="1" applyFont="1" applyFill="1" applyBorder="1" applyAlignment="1">
      <x:alignment vertical="top" wrapText="1"/>
    </x:xf>
    <x:xf numFmtId="0" fontId="34" fillId="31" borderId="30" xfId="0" applyNumberFormat="1" applyFont="1" applyFill="1" applyBorder="1" applyAlignment="1">
      <x:alignment vertical="top" wrapText="1"/>
    </x:xf>
    <x:xf numFmtId="0" fontId="34" fillId="31" borderId="31" xfId="0" applyNumberFormat="1" applyFont="1" applyFill="1" applyBorder="1" applyAlignment="1">
      <x:alignment vertical="top" wrapText="1"/>
    </x:xf>
    <x:xf numFmtId="0" fontId="34" fillId="31" borderId="32" xfId="0" applyNumberFormat="1" applyFont="1" applyFill="1" applyBorder="1" applyAlignment="1">
      <x:alignment vertical="top" wrapText="1"/>
    </x:xf>
    <x:xf numFmtId="0" fontId="34" fillId="31" borderId="33" xfId="0" applyNumberFormat="1" applyFont="1" applyFill="1" applyBorder="1" applyAlignment="1">
      <x:alignment vertical="top" wrapText="1"/>
    </x:xf>
    <x:xf numFmtId="0" fontId="34" fillId="31" borderId="34" xfId="0" applyNumberFormat="1" applyFont="1" applyFill="1" applyBorder="1" applyAlignment="1">
      <x:alignment vertical="top" wrapText="1"/>
    </x:xf>
    <x:xf numFmtId="0" fontId="34" fillId="31" borderId="35" xfId="0" applyNumberFormat="1" applyFont="1" applyFill="1" applyBorder="1" applyAlignment="1">
      <x:alignment vertical="top" wrapText="1"/>
    </x:xf>
    <x:xf numFmtId="0" fontId="0" fillId="32" borderId="0" xfId="0" applyNumberFormat="1" applyFont="1" applyFill="1" applyBorder="1"/>
    <x:xf numFmtId="0" fontId="24" fillId="32" borderId="0" xfId="0" applyNumberFormat="1" applyFont="1" applyFill="1" applyBorder="1"/>
    <x:xf numFmtId="0" fontId="24" fillId="32" borderId="0" xfId="0" applyNumberFormat="1" applyFont="1" applyFill="1" applyBorder="1" applyAlignment="1">
      <x:alignment horizontal="center"/>
    </x:xf>
    <x:xf numFmtId="0" fontId="24" fillId="32" borderId="0" xfId="0" applyNumberFormat="1" applyFont="1" applyFill="1" applyBorder="1" applyAlignment="1">
      <x:alignment wrapText="1"/>
    </x:xf>
    <x:xf numFmtId="0" fontId="24" fillId="32" borderId="0" xfId="0" applyNumberFormat="1" applyFont="1" applyFill="1" applyBorder="1" applyAlignment="1">
      <x:alignment vertical="center" wrapText="1"/>
    </x:xf>
    <x:xf numFmtId="0" fontId="35" fillId="30" borderId="0" xfId="0" applyNumberFormat="1" applyFont="1" applyFill="1" applyBorder="1"/>
    <x:xf numFmtId="0" fontId="35" fillId="30" borderId="0" xfId="0" applyNumberFormat="1" applyFont="1" applyFill="1" applyBorder="1" applyAlignment="1">
      <x:alignment wrapText="1"/>
    </x:xf>
    <x:xf numFmtId="0" fontId="35" fillId="30" borderId="0" xfId="0" applyNumberFormat="1" applyFont="1" applyFill="1" applyBorder="1" applyAlignment="1">
      <x:alignment horizontal="center" wrapText="1"/>
    </x:xf>
    <x:xf numFmtId="0" fontId="35" fillId="30" borderId="0" xfId="0" applyNumberFormat="1" applyFont="1" applyFill="1" applyBorder="1" applyAlignment="1">
      <x:alignment horizontal="center" vertical="center" wrapText="1"/>
    </x:xf>
    <x:xf numFmtId="0" fontId="36" fillId="31" borderId="0" xfId="0" applyNumberFormat="1" applyFont="1" applyFill="1" applyBorder="1"/>
    <x:xf numFmtId="0" fontId="36" fillId="31" borderId="27" xfId="0" applyNumberFormat="1" applyFont="1" applyFill="1" applyBorder="1"/>
    <x:xf numFmtId="0" fontId="36" fillId="31" borderId="28" xfId="0" applyNumberFormat="1" applyFont="1" applyFill="1" applyBorder="1"/>
    <x:xf numFmtId="0" fontId="36" fillId="31" borderId="29" xfId="0" applyNumberFormat="1" applyFont="1" applyFill="1" applyBorder="1"/>
    <x:xf numFmtId="0" fontId="36" fillId="31" borderId="30" xfId="0" applyNumberFormat="1" applyFont="1" applyFill="1" applyBorder="1"/>
    <x:xf numFmtId="0" fontId="36" fillId="31" borderId="31" xfId="0" applyNumberFormat="1" applyFont="1" applyFill="1" applyBorder="1"/>
    <x:xf numFmtId="0" fontId="36" fillId="31" borderId="32" xfId="0" applyNumberFormat="1" applyFont="1" applyFill="1" applyBorder="1"/>
    <x:xf numFmtId="0" fontId="36" fillId="31" borderId="33" xfId="0" applyNumberFormat="1" applyFont="1" applyFill="1" applyBorder="1"/>
    <x:xf numFmtId="0" fontId="36" fillId="31" borderId="34" xfId="0" applyNumberFormat="1" applyFont="1" applyFill="1" applyBorder="1"/>
    <x:xf numFmtId="0" fontId="36" fillId="31" borderId="35" xfId="0" applyNumberFormat="1" applyFont="1" applyFill="1" applyBorder="1"/>
    <x:xf numFmtId="0" fontId="36" fillId="31" borderId="27" xfId="0" applyNumberFormat="1" applyFont="1" applyFill="1" applyBorder="1" applyAlignment="1">
      <x:alignment wrapText="1"/>
    </x:xf>
    <x:xf numFmtId="0" fontId="36" fillId="31" borderId="28" xfId="0" applyNumberFormat="1" applyFont="1" applyFill="1" applyBorder="1" applyAlignment="1">
      <x:alignment wrapText="1"/>
    </x:xf>
    <x:xf numFmtId="0" fontId="36" fillId="31" borderId="29" xfId="0" applyNumberFormat="1" applyFont="1" applyFill="1" applyBorder="1" applyAlignment="1">
      <x:alignment wrapText="1"/>
    </x:xf>
    <x:xf numFmtId="0" fontId="36" fillId="31" borderId="30" xfId="0" applyNumberFormat="1" applyFont="1" applyFill="1" applyBorder="1" applyAlignment="1">
      <x:alignment wrapText="1"/>
    </x:xf>
    <x:xf numFmtId="0" fontId="36" fillId="31" borderId="31" xfId="0" applyNumberFormat="1" applyFont="1" applyFill="1" applyBorder="1" applyAlignment="1">
      <x:alignment wrapText="1"/>
    </x:xf>
    <x:xf numFmtId="0" fontId="36" fillId="31" borderId="32" xfId="0" applyNumberFormat="1" applyFont="1" applyFill="1" applyBorder="1" applyAlignment="1">
      <x:alignment wrapText="1"/>
    </x:xf>
    <x:xf numFmtId="0" fontId="36" fillId="31" borderId="33" xfId="0" applyNumberFormat="1" applyFont="1" applyFill="1" applyBorder="1" applyAlignment="1">
      <x:alignment wrapText="1"/>
    </x:xf>
    <x:xf numFmtId="0" fontId="36" fillId="31" borderId="34" xfId="0" applyNumberFormat="1" applyFont="1" applyFill="1" applyBorder="1" applyAlignment="1">
      <x:alignment wrapText="1"/>
    </x:xf>
    <x:xf numFmtId="0" fontId="36" fillId="31" borderId="35" xfId="0" applyNumberFormat="1" applyFont="1" applyFill="1" applyBorder="1" applyAlignment="1">
      <x:alignment wrapText="1"/>
    </x:xf>
    <x:xf numFmtId="0" fontId="36" fillId="31" borderId="27" xfId="0" applyNumberFormat="1" applyFont="1" applyFill="1" applyBorder="1" applyAlignment="1">
      <x:alignment vertical="top" wrapText="1"/>
    </x:xf>
    <x:xf numFmtId="0" fontId="36" fillId="31" borderId="28" xfId="0" applyNumberFormat="1" applyFont="1" applyFill="1" applyBorder="1" applyAlignment="1">
      <x:alignment vertical="top" wrapText="1"/>
    </x:xf>
    <x:xf numFmtId="0" fontId="36" fillId="31" borderId="29" xfId="0" applyNumberFormat="1" applyFont="1" applyFill="1" applyBorder="1" applyAlignment="1">
      <x:alignment vertical="top" wrapText="1"/>
    </x:xf>
    <x:xf numFmtId="0" fontId="36" fillId="31" borderId="30" xfId="0" applyNumberFormat="1" applyFont="1" applyFill="1" applyBorder="1" applyAlignment="1">
      <x:alignment vertical="top" wrapText="1"/>
    </x:xf>
    <x:xf numFmtId="0" fontId="36" fillId="31" borderId="31" xfId="0" applyNumberFormat="1" applyFont="1" applyFill="1" applyBorder="1" applyAlignment="1">
      <x:alignment vertical="top" wrapText="1"/>
    </x:xf>
    <x:xf numFmtId="0" fontId="36" fillId="31" borderId="32" xfId="0" applyNumberFormat="1" applyFont="1" applyFill="1" applyBorder="1" applyAlignment="1">
      <x:alignment vertical="top" wrapText="1"/>
    </x:xf>
    <x:xf numFmtId="0" fontId="36" fillId="31" borderId="33" xfId="0" applyNumberFormat="1" applyFont="1" applyFill="1" applyBorder="1" applyAlignment="1">
      <x:alignment vertical="top" wrapText="1"/>
    </x:xf>
    <x:xf numFmtId="0" fontId="36" fillId="31" borderId="34" xfId="0" applyNumberFormat="1" applyFont="1" applyFill="1" applyBorder="1" applyAlignment="1">
      <x:alignment vertical="top" wrapText="1"/>
    </x:xf>
    <x:xf numFmtId="0" fontId="36" fillId="31" borderId="35" xfId="0" applyNumberFormat="1" applyFont="1" applyFill="1" applyBorder="1" applyAlignment="1">
      <x:alignment vertical="top" wrapText="1"/>
    </x:xf>
    <x:xf numFmtId="0" fontId="36" fillId="29" borderId="27" xfId="0" applyNumberFormat="1" applyFont="1" applyFill="1" applyBorder="1" applyAlignment="1">
      <x:alignment vertical="top" wrapText="1"/>
    </x:xf>
    <x:xf numFmtId="0" fontId="36" fillId="29" borderId="28" xfId="0" applyNumberFormat="1" applyFont="1" applyFill="1" applyBorder="1" applyAlignment="1">
      <x:alignment vertical="top" wrapText="1"/>
    </x:xf>
    <x:xf numFmtId="0" fontId="36" fillId="29" borderId="30" xfId="0" applyNumberFormat="1" applyFont="1" applyFill="1" applyBorder="1" applyAlignment="1">
      <x:alignment vertical="top" wrapText="1"/>
    </x:xf>
    <x:xf numFmtId="0" fontId="36" fillId="29" borderId="31" xfId="0" applyNumberFormat="1" applyFont="1" applyFill="1" applyBorder="1" applyAlignment="1">
      <x:alignment vertical="top" wrapText="1"/>
    </x:xf>
    <x:xf numFmtId="0" fontId="36" fillId="29" borderId="33" xfId="0" applyNumberFormat="1" applyFont="1" applyFill="1" applyBorder="1" applyAlignment="1">
      <x:alignment vertical="top" wrapText="1"/>
    </x:xf>
    <x:xf numFmtId="0" fontId="36" fillId="29" borderId="34" xfId="0" applyNumberFormat="1" applyFont="1" applyFill="1" applyBorder="1" applyAlignment="1">
      <x:alignment vertical="top" wrapText="1"/>
    </x:xf>
    <x:xf numFmtId="0" fontId="37" fillId="29" borderId="27" xfId="0" applyNumberFormat="1" applyFont="1" applyFill="1" applyBorder="1" applyAlignment="1">
      <x:alignment vertical="top" wrapText="1"/>
    </x:xf>
    <x:xf numFmtId="0" fontId="37" fillId="29" borderId="28" xfId="0" applyNumberFormat="1" applyFont="1" applyFill="1" applyBorder="1" applyAlignment="1">
      <x:alignment vertical="top" wrapText="1"/>
    </x:xf>
    <x:xf numFmtId="0" fontId="37" fillId="29" borderId="30" xfId="0" applyNumberFormat="1" applyFont="1" applyFill="1" applyBorder="1" applyAlignment="1">
      <x:alignment vertical="top" wrapText="1"/>
    </x:xf>
    <x:xf numFmtId="0" fontId="37" fillId="29" borderId="31" xfId="0" applyNumberFormat="1" applyFont="1" applyFill="1" applyBorder="1" applyAlignment="1">
      <x:alignment vertical="top" wrapText="1"/>
    </x:xf>
    <x:xf numFmtId="0" fontId="37" fillId="29" borderId="33" xfId="0" applyNumberFormat="1" applyFont="1" applyFill="1" applyBorder="1" applyAlignment="1">
      <x:alignment vertical="top" wrapText="1"/>
    </x:xf>
    <x:xf numFmtId="0" fontId="37" fillId="29" borderId="34" xfId="0" applyNumberFormat="1" applyFont="1" applyFill="1" applyBorder="1" applyAlignment="1">
      <x:alignment vertical="top" wrapText="1"/>
    </x:xf>
    <x:xf numFmtId="0" fontId="37" fillId="29" borderId="27" xfId="0" applyNumberFormat="1" applyFont="1" applyFill="1" applyBorder="1" applyAlignment="1">
      <x:alignment vertical="center" wrapText="1"/>
    </x:xf>
    <x:xf numFmtId="0" fontId="37" fillId="29" borderId="28" xfId="0" applyNumberFormat="1" applyFont="1" applyFill="1" applyBorder="1" applyAlignment="1">
      <x:alignment vertical="center" wrapText="1"/>
    </x:xf>
    <x:xf numFmtId="0" fontId="37" fillId="29" borderId="30" xfId="0" applyNumberFormat="1" applyFont="1" applyFill="1" applyBorder="1" applyAlignment="1">
      <x:alignment vertical="center" wrapText="1"/>
    </x:xf>
    <x:xf numFmtId="0" fontId="37" fillId="29" borderId="31" xfId="0" applyNumberFormat="1" applyFont="1" applyFill="1" applyBorder="1" applyAlignment="1">
      <x:alignment vertical="center" wrapText="1"/>
    </x:xf>
    <x:xf numFmtId="0" fontId="37" fillId="29" borderId="33" xfId="0" applyNumberFormat="1" applyFont="1" applyFill="1" applyBorder="1" applyAlignment="1">
      <x:alignment vertical="center" wrapText="1"/>
    </x:xf>
    <x:xf numFmtId="0" fontId="37" fillId="29" borderId="34" xfId="0" applyNumberFormat="1" applyFont="1" applyFill="1" applyBorder="1" applyAlignment="1">
      <x:alignment vertical="center" wrapText="1"/>
    </x:xf>
    <x:xf numFmtId="164" fontId="36" fillId="31" borderId="28" xfId="0" applyNumberFormat="1" applyFont="1" applyFill="1" applyBorder="1" applyAlignment="1">
      <x:alignment vertical="top" wrapText="1"/>
    </x:xf>
    <x:xf numFmtId="164" fontId="36" fillId="31" borderId="31" xfId="0" applyNumberFormat="1" applyFont="1" applyFill="1" applyBorder="1" applyAlignment="1">
      <x:alignment vertical="top" wrapText="1"/>
    </x:xf>
    <x:xf numFmtId="164" fontId="36" fillId="31" borderId="34" xfId="0" applyNumberFormat="1" applyFont="1" applyFill="1" applyBorder="1" applyAlignment="1">
      <x:alignment vertical="top" wrapText="1"/>
    </x:xf>
    <x:xf numFmtId="0" fontId="0" fillId="33" borderId="0" xfId="0" applyNumberFormat="1" applyFont="1" applyFill="1" applyBorder="1"/>
    <x:xf numFmtId="0" fontId="26" fillId="33" borderId="0" xfId="0" applyNumberFormat="1" applyFont="1" applyFill="1" applyBorder="1"/>
    <x:xf numFmtId="0" fontId="26" fillId="33" borderId="0" xfId="0" applyNumberFormat="1" applyFont="1" applyFill="1" applyBorder="1" applyAlignment="1">
      <x:alignment wrapText="1"/>
    </x:xf>
    <x:xf numFmtId="0" fontId="26" fillId="33" borderId="0" xfId="0" applyNumberFormat="1" applyFont="1" applyFill="1" applyBorder="1" applyAlignment="1">
      <x:alignment vertical="center" wrapText="1"/>
    </x:xf>
    <x:xf numFmtId="0" fontId="29" fillId="31" borderId="0" xfId="0" applyNumberFormat="1" applyFont="1" applyFill="1" applyBorder="1"/>
    <x:xf numFmtId="0" fontId="29" fillId="31" borderId="27" xfId="0" applyNumberFormat="1" applyFont="1" applyFill="1" applyBorder="1"/>
    <x:xf numFmtId="0" fontId="29" fillId="31" borderId="28" xfId="0" applyNumberFormat="1" applyFont="1" applyFill="1" applyBorder="1"/>
    <x:xf numFmtId="0" fontId="29" fillId="31" borderId="29" xfId="0" applyNumberFormat="1" applyFont="1" applyFill="1" applyBorder="1"/>
    <x:xf numFmtId="0" fontId="29" fillId="31" borderId="30" xfId="0" applyNumberFormat="1" applyFont="1" applyFill="1" applyBorder="1"/>
    <x:xf numFmtId="0" fontId="29" fillId="31" borderId="31" xfId="0" applyNumberFormat="1" applyFont="1" applyFill="1" applyBorder="1"/>
    <x:xf numFmtId="0" fontId="29" fillId="31" borderId="32" xfId="0" applyNumberFormat="1" applyFont="1" applyFill="1" applyBorder="1"/>
    <x:xf numFmtId="0" fontId="29" fillId="31" borderId="33" xfId="0" applyNumberFormat="1" applyFont="1" applyFill="1" applyBorder="1"/>
    <x:xf numFmtId="0" fontId="29" fillId="31" borderId="34" xfId="0" applyNumberFormat="1" applyFont="1" applyFill="1" applyBorder="1"/>
    <x:xf numFmtId="0" fontId="29" fillId="31" borderId="35" xfId="0" applyNumberFormat="1" applyFont="1" applyFill="1" applyBorder="1"/>
    <x:xf numFmtId="0" fontId="29" fillId="31" borderId="27" xfId="0" applyNumberFormat="1" applyFont="1" applyFill="1" applyBorder="1" applyAlignment="1">
      <x:alignment wrapText="1"/>
    </x:xf>
    <x:xf numFmtId="0" fontId="29" fillId="31" borderId="28" xfId="0" applyNumberFormat="1" applyFont="1" applyFill="1" applyBorder="1" applyAlignment="1">
      <x:alignment wrapText="1"/>
    </x:xf>
    <x:xf numFmtId="0" fontId="29" fillId="31" borderId="29" xfId="0" applyNumberFormat="1" applyFont="1" applyFill="1" applyBorder="1" applyAlignment="1">
      <x:alignment wrapText="1"/>
    </x:xf>
    <x:xf numFmtId="0" fontId="29" fillId="31" borderId="30" xfId="0" applyNumberFormat="1" applyFont="1" applyFill="1" applyBorder="1" applyAlignment="1">
      <x:alignment wrapText="1"/>
    </x:xf>
    <x:xf numFmtId="0" fontId="29" fillId="31" borderId="31" xfId="0" applyNumberFormat="1" applyFont="1" applyFill="1" applyBorder="1" applyAlignment="1">
      <x:alignment wrapText="1"/>
    </x:xf>
    <x:xf numFmtId="0" fontId="29" fillId="31" borderId="32" xfId="0" applyNumberFormat="1" applyFont="1" applyFill="1" applyBorder="1" applyAlignment="1">
      <x:alignment wrapText="1"/>
    </x:xf>
    <x:xf numFmtId="0" fontId="29" fillId="31" borderId="33" xfId="0" applyNumberFormat="1" applyFont="1" applyFill="1" applyBorder="1" applyAlignment="1">
      <x:alignment wrapText="1"/>
    </x:xf>
    <x:xf numFmtId="0" fontId="29" fillId="31" borderId="34" xfId="0" applyNumberFormat="1" applyFont="1" applyFill="1" applyBorder="1" applyAlignment="1">
      <x:alignment wrapText="1"/>
    </x:xf>
    <x:xf numFmtId="0" fontId="29" fillId="31" borderId="35" xfId="0" applyNumberFormat="1" applyFont="1" applyFill="1" applyBorder="1" applyAlignment="1">
      <x:alignment wrapText="1"/>
    </x:xf>
    <x:xf numFmtId="0" fontId="29" fillId="31" borderId="27" xfId="0" applyNumberFormat="1" applyFont="1" applyFill="1" applyBorder="1" applyAlignment="1">
      <x:alignment vertical="top" wrapText="1"/>
    </x:xf>
    <x:xf numFmtId="0" fontId="29" fillId="31" borderId="28" xfId="0" applyNumberFormat="1" applyFont="1" applyFill="1" applyBorder="1" applyAlignment="1">
      <x:alignment vertical="top" wrapText="1"/>
    </x:xf>
    <x:xf numFmtId="0" fontId="29" fillId="31" borderId="29" xfId="0" applyNumberFormat="1" applyFont="1" applyFill="1" applyBorder="1" applyAlignment="1">
      <x:alignment vertical="top" wrapText="1"/>
    </x:xf>
    <x:xf numFmtId="0" fontId="29" fillId="31" borderId="30" xfId="0" applyNumberFormat="1" applyFont="1" applyFill="1" applyBorder="1" applyAlignment="1">
      <x:alignment vertical="top" wrapText="1"/>
    </x:xf>
    <x:xf numFmtId="0" fontId="29" fillId="31" borderId="31" xfId="0" applyNumberFormat="1" applyFont="1" applyFill="1" applyBorder="1" applyAlignment="1">
      <x:alignment vertical="top" wrapText="1"/>
    </x:xf>
    <x:xf numFmtId="0" fontId="29" fillId="31" borderId="32" xfId="0" applyNumberFormat="1" applyFont="1" applyFill="1" applyBorder="1" applyAlignment="1">
      <x:alignment vertical="top" wrapText="1"/>
    </x:xf>
    <x:xf numFmtId="0" fontId="29" fillId="31" borderId="33" xfId="0" applyNumberFormat="1" applyFont="1" applyFill="1" applyBorder="1" applyAlignment="1">
      <x:alignment vertical="top" wrapText="1"/>
    </x:xf>
    <x:xf numFmtId="0" fontId="29" fillId="31" borderId="34" xfId="0" applyNumberFormat="1" applyFont="1" applyFill="1" applyBorder="1" applyAlignment="1">
      <x:alignment vertical="top" wrapText="1"/>
    </x:xf>
    <x:xf numFmtId="0" fontId="29" fillId="31" borderId="35" xfId="0" applyNumberFormat="1" applyFont="1" applyFill="1" applyBorder="1" applyAlignment="1">
      <x:alignment vertical="top" wrapText="1"/>
    </x:xf>
    <x:xf numFmtId="0" fontId="29" fillId="29" borderId="27" xfId="0" applyNumberFormat="1" applyFont="1" applyFill="1" applyBorder="1" applyAlignment="1">
      <x:alignment vertical="top" wrapText="1"/>
    </x:xf>
    <x:xf numFmtId="0" fontId="29" fillId="29" borderId="30" xfId="0" applyNumberFormat="1" applyFont="1" applyFill="1" applyBorder="1" applyAlignment="1">
      <x:alignment vertical="top" wrapText="1"/>
    </x:xf>
    <x:xf numFmtId="0" fontId="29" fillId="29" borderId="33" xfId="0" applyNumberFormat="1" applyFont="1" applyFill="1" applyBorder="1" applyAlignment="1">
      <x:alignment vertical="top" wrapText="1"/>
    </x:xf>
    <x:xf numFmtId="0" fontId="38" fillId="29" borderId="27" xfId="0" applyNumberFormat="1" applyFont="1" applyFill="1" applyBorder="1" applyAlignment="1">
      <x:alignment vertical="top" wrapText="1"/>
    </x:xf>
    <x:xf numFmtId="0" fontId="38" fillId="29" borderId="30" xfId="0" applyNumberFormat="1" applyFont="1" applyFill="1" applyBorder="1" applyAlignment="1">
      <x:alignment vertical="top" wrapText="1"/>
    </x:xf>
    <x:xf numFmtId="0" fontId="38" fillId="29" borderId="33" xfId="0" applyNumberFormat="1" applyFont="1" applyFill="1" applyBorder="1" applyAlignment="1">
      <x:alignment vertical="top" wrapText="1"/>
    </x:xf>
    <x:xf numFmtId="0" fontId="24" fillId="32" borderId="0" xfId="0" applyNumberFormat="1" applyFont="1" applyFill="1" applyBorder="1" applyAlignment="1">
      <x:alignment vertical="center"/>
    </x:xf>
    <x:xf numFmtId="0" fontId="0" fillId="34" borderId="0" xfId="0" applyNumberFormat="1" applyFont="1" applyFill="1" applyBorder="1"/>
    <x:xf numFmtId="0" fontId="25" fillId="34" borderId="0" xfId="0" applyNumberFormat="1" applyFont="1" applyFill="1" applyBorder="1"/>
    <x:xf numFmtId="0" fontId="25" fillId="34" borderId="0" xfId="0" applyNumberFormat="1" applyFont="1" applyFill="1" applyBorder="1" applyAlignment="1">
      <x:alignment wrapText="1"/>
    </x:xf>
    <x:xf numFmtId="0" fontId="25" fillId="34" borderId="0" xfId="0" applyNumberFormat="1" applyFont="1" applyFill="1" applyBorder="1" applyAlignment="1">
      <x:alignment vertical="center" wrapText="1"/>
    </x:xf>
    <x:xf numFmtId="0" fontId="0" fillId="35" borderId="0" xfId="0" applyNumberFormat="1" applyFont="1" applyFill="1" applyBorder="1"/>
    <x:xf numFmtId="0" fontId="28" fillId="35" borderId="0" xfId="0" applyNumberFormat="1" applyFont="1" applyFill="1" applyBorder="1"/>
    <x:xf numFmtId="0" fontId="28" fillId="35" borderId="0" xfId="0" applyNumberFormat="1" applyFont="1" applyFill="1" applyBorder="1" applyAlignment="1">
      <x:alignment horizontal="center"/>
    </x:xf>
    <x:xf numFmtId="0" fontId="28" fillId="35" borderId="0" xfId="0" applyNumberFormat="1" applyFont="1" applyFill="1" applyBorder="1" applyAlignment="1">
      <x:alignment horizontal="center" vertical="center"/>
    </x:xf>
    <x:xf numFmtId="0" fontId="0" fillId="36" borderId="0" xfId="0" applyNumberFormat="1" applyFont="1" applyFill="1" applyBorder="1"/>
    <x:xf numFmtId="0" fontId="28" fillId="36" borderId="0" xfId="0" applyNumberFormat="1" applyFont="1" applyFill="1" applyBorder="1"/>
    <x:xf numFmtId="0" fontId="28" fillId="36" borderId="0" xfId="0" applyNumberFormat="1" applyFont="1" applyFill="1" applyBorder="1" applyAlignment="1">
      <x:alignment horizontal="center"/>
    </x:xf>
    <x:xf numFmtId="0" fontId="28" fillId="36" borderId="0" xfId="0" applyNumberFormat="1" applyFont="1" applyFill="1" applyBorder="1" applyAlignment="1">
      <x:alignment horizontal="center" vertical="center"/>
    </x:xf>
    <x:xf numFmtId="0" fontId="0" fillId="37" borderId="0" xfId="0" applyNumberFormat="1" applyFont="1" applyFill="1" applyBorder="1"/>
    <x:xf numFmtId="0" fontId="28" fillId="37" borderId="0" xfId="0" applyNumberFormat="1" applyFont="1" applyFill="1" applyBorder="1"/>
    <x:xf numFmtId="0" fontId="28" fillId="37" borderId="0" xfId="0" applyNumberFormat="1" applyFont="1" applyFill="1" applyBorder="1" applyAlignment="1">
      <x:alignment horizontal="center"/>
    </x:xf>
    <x:xf numFmtId="0" fontId="28" fillId="37" borderId="0" xfId="0" applyNumberFormat="1" applyFont="1" applyFill="1" applyBorder="1" applyAlignment="1">
      <x:alignment horizontal="center" vertical="center"/>
    </x:xf>
    <x:xf numFmtId="0" fontId="0" fillId="38" borderId="0" xfId="0" applyNumberFormat="1" applyFont="1" applyFill="1" applyBorder="1"/>
    <x:xf numFmtId="0" fontId="28" fillId="38" borderId="0" xfId="0" applyNumberFormat="1" applyFont="1" applyFill="1" applyBorder="1"/>
    <x:xf numFmtId="0" fontId="28" fillId="38" borderId="0" xfId="0" applyNumberFormat="1" applyFont="1" applyFill="1" applyBorder="1" applyAlignment="1">
      <x:alignment horizontal="center"/>
    </x:xf>
    <x:xf numFmtId="0" fontId="28" fillId="38" borderId="0" xfId="0" applyNumberFormat="1" applyFont="1" applyFill="1" applyBorder="1" applyAlignment="1">
      <x:alignment horizontal="center" vertical="center"/>
    </x:xf>
    <x:xf numFmtId="0" fontId="28" fillId="30" borderId="0" xfId="0" applyNumberFormat="1" applyFont="1" applyFill="1" applyBorder="1"/>
    <x:xf numFmtId="0" fontId="28" fillId="30" borderId="15" xfId="0" applyNumberFormat="1" applyFont="1" applyFill="1" applyBorder="1"/>
    <x:xf numFmtId="0" fontId="28" fillId="30" borderId="16" xfId="0" applyNumberFormat="1" applyFont="1" applyFill="1" applyBorder="1"/>
    <x:xf numFmtId="0" fontId="28" fillId="30" borderId="17" xfId="0" applyNumberFormat="1" applyFont="1" applyFill="1" applyBorder="1"/>
    <x:xf numFmtId="0" fontId="28" fillId="30" borderId="15" xfId="0" applyNumberFormat="1" applyFont="1" applyFill="1" applyBorder="1" applyAlignment="1">
      <x:alignment wrapText="1"/>
    </x:xf>
    <x:xf numFmtId="0" fontId="28" fillId="30" borderId="16" xfId="0" applyNumberFormat="1" applyFont="1" applyFill="1" applyBorder="1" applyAlignment="1">
      <x:alignment wrapText="1"/>
    </x:xf>
    <x:xf numFmtId="0" fontId="28" fillId="30" borderId="17" xfId="0" applyNumberFormat="1" applyFont="1" applyFill="1" applyBorder="1" applyAlignment="1">
      <x:alignment wrapText="1"/>
    </x:xf>
    <x:xf numFmtId="0" fontId="28" fillId="30" borderId="15" xfId="0" applyNumberFormat="1" applyFont="1" applyFill="1" applyBorder="1" applyAlignment="1">
      <x:alignment horizontal="center" wrapText="1"/>
    </x:xf>
    <x:xf numFmtId="0" fontId="28" fillId="30" borderId="16" xfId="0" applyNumberFormat="1" applyFont="1" applyFill="1" applyBorder="1" applyAlignment="1">
      <x:alignment horizontal="center" wrapText="1"/>
    </x:xf>
    <x:xf numFmtId="0" fontId="28" fillId="30" borderId="17" xfId="0" applyNumberFormat="1" applyFont="1" applyFill="1" applyBorder="1" applyAlignment="1">
      <x:alignment horizontal="center" wrapText="1"/>
    </x:xf>
    <x:xf numFmtId="0" fontId="28" fillId="30" borderId="15" xfId="0" applyNumberFormat="1" applyFont="1" applyFill="1" applyBorder="1" applyAlignment="1">
      <x:alignment horizontal="center" vertical="center" wrapText="1"/>
    </x:xf>
    <x:xf numFmtId="0" fontId="28" fillId="30" borderId="16" xfId="0" applyNumberFormat="1" applyFont="1" applyFill="1" applyBorder="1" applyAlignment="1">
      <x:alignment horizontal="center" vertical="center" wrapText="1"/>
    </x:xf>
    <x:xf numFmtId="0" fontId="28" fillId="30" borderId="17" xfId="0" applyNumberFormat="1" applyFont="1" applyFill="1" applyBorder="1" applyAlignment="1">
      <x:alignment horizontal="center" vertical="center" wrapText="1"/>
    </x:xf>
    <x:xf numFmtId="0" fontId="29" fillId="31" borderId="18" xfId="0" applyNumberFormat="1" applyFont="1" applyFill="1" applyBorder="1"/>
    <x:xf numFmtId="0" fontId="29" fillId="31" borderId="19" xfId="0" applyNumberFormat="1" applyFont="1" applyFill="1" applyBorder="1"/>
    <x:xf numFmtId="0" fontId="29" fillId="31" borderId="20" xfId="0" applyNumberFormat="1" applyFont="1" applyFill="1" applyBorder="1"/>
    <x:xf numFmtId="0" fontId="29" fillId="31" borderId="21" xfId="0" applyNumberFormat="1" applyFont="1" applyFill="1" applyBorder="1"/>
    <x:xf numFmtId="0" fontId="29" fillId="31" borderId="22" xfId="0" applyNumberFormat="1" applyFont="1" applyFill="1" applyBorder="1"/>
    <x:xf numFmtId="0" fontId="29" fillId="31" borderId="23" xfId="0" applyNumberFormat="1" applyFont="1" applyFill="1" applyBorder="1"/>
    <x:xf numFmtId="0" fontId="29" fillId="31" borderId="24" xfId="0" applyNumberFormat="1" applyFont="1" applyFill="1" applyBorder="1"/>
    <x:xf numFmtId="0" fontId="29" fillId="31" borderId="25" xfId="0" applyNumberFormat="1" applyFont="1" applyFill="1" applyBorder="1"/>
    <x:xf numFmtId="0" fontId="29" fillId="31" borderId="26" xfId="0" applyNumberFormat="1" applyFont="1" applyFill="1" applyBorder="1"/>
    <x:xf numFmtId="0" fontId="29" fillId="31" borderId="18" xfId="0" applyNumberFormat="1" applyFont="1" applyFill="1" applyBorder="1" applyAlignment="1">
      <x:alignment wrapText="1"/>
    </x:xf>
    <x:xf numFmtId="0" fontId="29" fillId="31" borderId="19" xfId="0" applyNumberFormat="1" applyFont="1" applyFill="1" applyBorder="1" applyAlignment="1">
      <x:alignment wrapText="1"/>
    </x:xf>
    <x:xf numFmtId="0" fontId="29" fillId="31" borderId="20" xfId="0" applyNumberFormat="1" applyFont="1" applyFill="1" applyBorder="1" applyAlignment="1">
      <x:alignment wrapText="1"/>
    </x:xf>
    <x:xf numFmtId="0" fontId="29" fillId="31" borderId="21" xfId="0" applyNumberFormat="1" applyFont="1" applyFill="1" applyBorder="1" applyAlignment="1">
      <x:alignment wrapText="1"/>
    </x:xf>
    <x:xf numFmtId="0" fontId="29" fillId="31" borderId="22" xfId="0" applyNumberFormat="1" applyFont="1" applyFill="1" applyBorder="1" applyAlignment="1">
      <x:alignment wrapText="1"/>
    </x:xf>
    <x:xf numFmtId="0" fontId="29" fillId="31" borderId="23" xfId="0" applyNumberFormat="1" applyFont="1" applyFill="1" applyBorder="1" applyAlignment="1">
      <x:alignment wrapText="1"/>
    </x:xf>
    <x:xf numFmtId="0" fontId="29" fillId="31" borderId="24" xfId="0" applyNumberFormat="1" applyFont="1" applyFill="1" applyBorder="1" applyAlignment="1">
      <x:alignment wrapText="1"/>
    </x:xf>
    <x:xf numFmtId="0" fontId="29" fillId="31" borderId="25" xfId="0" applyNumberFormat="1" applyFont="1" applyFill="1" applyBorder="1" applyAlignment="1">
      <x:alignment wrapText="1"/>
    </x:xf>
    <x:xf numFmtId="0" fontId="29" fillId="31" borderId="26" xfId="0" applyNumberFormat="1" applyFont="1" applyFill="1" applyBorder="1" applyAlignment="1">
      <x:alignment wrapText="1"/>
    </x:xf>
    <x:xf numFmtId="0" fontId="29" fillId="31" borderId="18" xfId="0" applyNumberFormat="1" applyFont="1" applyFill="1" applyBorder="1" applyAlignment="1">
      <x:alignment vertical="top" wrapText="1"/>
    </x:xf>
    <x:xf numFmtId="0" fontId="29" fillId="31" borderId="19" xfId="0" applyNumberFormat="1" applyFont="1" applyFill="1" applyBorder="1" applyAlignment="1">
      <x:alignment vertical="top" wrapText="1"/>
    </x:xf>
    <x:xf numFmtId="0" fontId="29" fillId="31" borderId="20" xfId="0" applyNumberFormat="1" applyFont="1" applyFill="1" applyBorder="1" applyAlignment="1">
      <x:alignment vertical="top" wrapText="1"/>
    </x:xf>
    <x:xf numFmtId="0" fontId="29" fillId="31" borderId="21" xfId="0" applyNumberFormat="1" applyFont="1" applyFill="1" applyBorder="1" applyAlignment="1">
      <x:alignment vertical="top" wrapText="1"/>
    </x:xf>
    <x:xf numFmtId="0" fontId="29" fillId="31" borderId="22" xfId="0" applyNumberFormat="1" applyFont="1" applyFill="1" applyBorder="1" applyAlignment="1">
      <x:alignment vertical="top" wrapText="1"/>
    </x:xf>
    <x:xf numFmtId="0" fontId="29" fillId="31" borderId="23" xfId="0" applyNumberFormat="1" applyFont="1" applyFill="1" applyBorder="1" applyAlignment="1">
      <x:alignment vertical="top" wrapText="1"/>
    </x:xf>
    <x:xf numFmtId="0" fontId="29" fillId="31" borderId="24" xfId="0" applyNumberFormat="1" applyFont="1" applyFill="1" applyBorder="1" applyAlignment="1">
      <x:alignment vertical="top" wrapText="1"/>
    </x:xf>
    <x:xf numFmtId="0" fontId="29" fillId="31" borderId="25" xfId="0" applyNumberFormat="1" applyFont="1" applyFill="1" applyBorder="1" applyAlignment="1">
      <x:alignment vertical="top" wrapText="1"/>
    </x:xf>
    <x:xf numFmtId="0" fontId="29" fillId="31" borderId="26" xfId="0" applyNumberFormat="1" applyFont="1" applyFill="1" applyBorder="1" applyAlignment="1">
      <x:alignment vertical="top" wrapText="1"/>
    </x:xf>
    <x:xf numFmtId="0" fontId="29" fillId="29" borderId="18" xfId="0" applyNumberFormat="1" applyFont="1" applyFill="1" applyBorder="1" applyAlignment="1">
      <x:alignment vertical="top" wrapText="1"/>
    </x:xf>
    <x:xf numFmtId="0" fontId="29" fillId="29" borderId="19" xfId="0" applyNumberFormat="1" applyFont="1" applyFill="1" applyBorder="1" applyAlignment="1">
      <x:alignment vertical="top" wrapText="1"/>
    </x:xf>
    <x:xf numFmtId="0" fontId="29" fillId="29" borderId="21" xfId="0" applyNumberFormat="1" applyFont="1" applyFill="1" applyBorder="1" applyAlignment="1">
      <x:alignment vertical="top" wrapText="1"/>
    </x:xf>
    <x:xf numFmtId="0" fontId="29" fillId="29" borderId="22" xfId="0" applyNumberFormat="1" applyFont="1" applyFill="1" applyBorder="1" applyAlignment="1">
      <x:alignment vertical="top" wrapText="1"/>
    </x:xf>
    <x:xf numFmtId="0" fontId="29" fillId="29" borderId="24" xfId="0" applyNumberFormat="1" applyFont="1" applyFill="1" applyBorder="1" applyAlignment="1">
      <x:alignment vertical="top" wrapText="1"/>
    </x:xf>
    <x:xf numFmtId="0" fontId="29" fillId="29" borderId="25" xfId="0" applyNumberFormat="1" applyFont="1" applyFill="1" applyBorder="1" applyAlignment="1">
      <x:alignment vertical="top" wrapText="1"/>
    </x:xf>
    <x:xf numFmtId="0" fontId="29" fillId="39" borderId="19" xfId="0" applyNumberFormat="1" applyFont="1" applyFill="1" applyBorder="1" applyAlignment="1">
      <x:alignment vertical="top" wrapText="1"/>
    </x:xf>
    <x:xf numFmtId="0" fontId="29" fillId="39" borderId="20" xfId="0" applyNumberFormat="1" applyFont="1" applyFill="1" applyBorder="1" applyAlignment="1">
      <x:alignment vertical="top" wrapText="1"/>
    </x:xf>
    <x:xf numFmtId="0" fontId="29" fillId="39" borderId="22" xfId="0" applyNumberFormat="1" applyFont="1" applyFill="1" applyBorder="1" applyAlignment="1">
      <x:alignment vertical="top" wrapText="1"/>
    </x:xf>
    <x:xf numFmtId="0" fontId="29" fillId="39" borderId="23" xfId="0" applyNumberFormat="1" applyFont="1" applyFill="1" applyBorder="1" applyAlignment="1">
      <x:alignment vertical="top" wrapText="1"/>
    </x:xf>
    <x:xf numFmtId="0" fontId="29" fillId="39" borderId="25" xfId="0" applyNumberFormat="1" applyFont="1" applyFill="1" applyBorder="1" applyAlignment="1">
      <x:alignment vertical="top" wrapText="1"/>
    </x:xf>
    <x:xf numFmtId="0" fontId="29" fillId="39" borderId="26" xfId="0" applyNumberFormat="1" applyFont="1" applyFill="1" applyBorder="1" applyAlignment="1">
      <x:alignment vertical="top" wrapText="1"/>
    </x:xf>
    <x:xf numFmtId="164" fontId="29" fillId="29" borderId="19" xfId="0" applyNumberFormat="1" applyFont="1" applyFill="1" applyBorder="1" applyAlignment="1">
      <x:alignment vertical="top" wrapText="1"/>
    </x:xf>
    <x:xf numFmtId="164" fontId="29" fillId="29" borderId="22" xfId="0" applyNumberFormat="1" applyFont="1" applyFill="1" applyBorder="1" applyAlignment="1">
      <x:alignment vertical="top" wrapText="1"/>
    </x:xf>
    <x:xf numFmtId="164" fontId="29" fillId="29" borderId="25" xfId="0" applyNumberFormat="1" applyFont="1" applyFill="1" applyBorder="1" applyAlignment="1">
      <x:alignment vertical="top" wrapText="1"/>
    </x:xf>
    <x:xf numFmtId="200" fontId="29" fillId="29" borderId="19" xfId="0" applyNumberFormat="1" applyFont="1" applyFill="1" applyBorder="1" applyAlignment="1">
      <x:alignment vertical="top" wrapText="1"/>
    </x:xf>
    <x:xf numFmtId="200" fontId="29" fillId="29" borderId="22" xfId="0" applyNumberFormat="1" applyFont="1" applyFill="1" applyBorder="1" applyAlignment="1">
      <x:alignment vertical="top" wrapText="1"/>
    </x:xf>
    <x:xf numFmtId="200" fontId="29" fillId="29" borderId="25" xfId="0" applyNumberFormat="1" applyFont="1" applyFill="1" applyBorder="1" applyAlignment="1">
      <x:alignment vertical="top" wrapText="1"/>
    </x:xf>
    <x:xf numFmtId="0" fontId="0" fillId="40" borderId="0" xfId="0" applyNumberFormat="1" applyFont="1" applyFill="1" applyBorder="1"/>
    <x:xf numFmtId="0" fontId="30" fillId="40" borderId="0" xfId="0" applyNumberFormat="1" applyFont="1" applyFill="1" applyBorder="1"/>
    <x:xf numFmtId="0" fontId="30" fillId="40" borderId="0" xfId="0" applyNumberFormat="1" applyFont="1" applyFill="1" applyBorder="1" applyAlignment="1">
      <x:alignment wrapText="1"/>
    </x:xf>
    <x:xf numFmtId="0" fontId="30" fillId="40" borderId="0" xfId="0" applyNumberFormat="1" applyFont="1" applyFill="1" applyBorder="1" applyAlignment="1">
      <x:alignment vertical="center" wrapText="1"/>
    </x:xf>
    <x:xf numFmtId="200" fontId="29" fillId="31" borderId="19" xfId="0" applyNumberFormat="1" applyFont="1" applyFill="1" applyBorder="1" applyAlignment="1">
      <x:alignment vertical="top" wrapText="1"/>
    </x:xf>
    <x:xf numFmtId="200" fontId="29" fillId="31" borderId="22" xfId="0" applyNumberFormat="1" applyFont="1" applyFill="1" applyBorder="1" applyAlignment="1">
      <x:alignment vertical="top" wrapText="1"/>
    </x:xf>
    <x:xf numFmtId="200" fontId="29" fillId="31" borderId="25" xfId="0" applyNumberFormat="1" applyFont="1" applyFill="1" applyBorder="1" applyAlignment="1">
      <x:alignment vertical="top" wrapText="1"/>
    </x:xf>
    <x:xf numFmtId="0" fontId="0" fillId="41" borderId="0" xfId="0" applyNumberFormat="1" applyFont="1" applyFill="1" applyBorder="1"/>
    <x:xf numFmtId="0" fontId="23" fillId="41" borderId="0" xfId="0" applyNumberFormat="1" applyFont="1" applyFill="1" applyBorder="1"/>
    <x:xf numFmtId="0" fontId="23" fillId="41" borderId="0" xfId="0" applyNumberFormat="1" applyFont="1" applyFill="1" applyBorder="1" applyAlignment="1">
      <x:alignment vertical="center"/>
    </x:xf>
    <x:xf numFmtId="0" fontId="0" fillId="42" borderId="0" xfId="0" applyNumberFormat="1" applyFont="1" applyFill="1" applyBorder="1"/>
    <x:xf numFmtId="0" fontId="27" fillId="42" borderId="0" xfId="0" applyNumberFormat="1" applyFont="1" applyFill="1" applyBorder="1"/>
    <x:xf numFmtId="0" fontId="27" fillId="42" borderId="0" xfId="0" applyNumberFormat="1" applyFont="1" applyFill="1" applyBorder="1" applyAlignment="1">
      <x:alignment wrapText="1"/>
    </x:xf>
    <x:xf numFmtId="0" fontId="27" fillId="42" borderId="0" xfId="0" applyNumberFormat="1" applyFont="1" applyFill="1" applyBorder="1" applyAlignment="1">
      <x:alignment vertical="center" wrapText="1"/>
    </x:xf>
    <x:xf numFmtId="0" fontId="0" fillId="43" borderId="0" xfId="0" applyNumberFormat="1" applyFont="1" applyFill="1" applyBorder="1"/>
    <x:xf numFmtId="0" fontId="32" fillId="43" borderId="0" xfId="0" applyNumberFormat="1" applyFont="1" applyFill="1" applyBorder="1"/>
    <x:xf numFmtId="0" fontId="32" fillId="43" borderId="0" xfId="0" applyNumberFormat="1" applyFont="1" applyFill="1" applyBorder="1" applyAlignment="1">
      <x:alignment wrapText="1"/>
    </x:xf>
    <x:xf numFmtId="0" fontId="32" fillId="43" borderId="0" xfId="0" applyNumberFormat="1" applyFont="1" applyFill="1" applyBorder="1" applyAlignment="1">
      <x:alignment vertical="top" wrapText="1"/>
    </x:xf>
    <x:xf numFmtId="0" fontId="0" fillId="44" borderId="0" xfId="0" applyNumberFormat="1" applyFont="1" applyFill="1" applyBorder="1"/>
    <x:xf numFmtId="0" fontId="33" fillId="44" borderId="0" xfId="0" applyNumberFormat="1" applyFont="1" applyFill="1" applyBorder="1"/>
    <x:xf numFmtId="0" fontId="33" fillId="44" borderId="0" xfId="0" applyNumberFormat="1" applyFont="1" applyFill="1" applyBorder="1" applyAlignment="1">
      <x:alignment wrapText="1"/>
    </x:xf>
    <x:xf numFmtId="0" fontId="33" fillId="44" borderId="0" xfId="0" applyNumberFormat="1" applyFont="1" applyFill="1" applyBorder="1" applyAlignment="1">
      <x:alignment vertical="top" wrapText="1"/>
    </x:xf>
    <x:xf numFmtId="0" fontId="0" fillId="45" borderId="0" xfId="0" applyNumberFormat="1" applyFont="1" applyFill="1" applyBorder="1"/>
    <x:xf numFmtId="0" fontId="32" fillId="45" borderId="0" xfId="0" applyNumberFormat="1" applyFont="1" applyFill="1" applyBorder="1"/>
    <x:xf numFmtId="0" fontId="32" fillId="45" borderId="0" xfId="0" applyNumberFormat="1" applyFont="1" applyFill="1" applyBorder="1" applyAlignment="1">
      <x:alignment wrapText="1"/>
    </x:xf>
    <x:xf numFmtId="0" fontId="32" fillId="45" borderId="0" xfId="0" applyNumberFormat="1" applyFont="1" applyFill="1" applyBorder="1" applyAlignment="1">
      <x:alignment horizontal="center" wrapText="1"/>
    </x:xf>
    <x:xf numFmtId="0" fontId="32" fillId="45" borderId="0" xfId="0" applyNumberFormat="1" applyFont="1" applyFill="1" applyBorder="1" applyAlignment="1">
      <x:alignment horizontal="center" vertical="center" wrapText="1"/>
    </x:xf>
    <x:xf numFmtId="0" fontId="0" fillId="46" borderId="0" xfId="0" applyNumberFormat="1" applyFont="1" applyFill="1" applyBorder="1"/>
    <x:xf numFmtId="0" fontId="34" fillId="46" borderId="0" xfId="0" applyNumberFormat="1" applyFont="1" applyFill="1" applyBorder="1"/>
    <x:xf numFmtId="0" fontId="34" fillId="46" borderId="27" xfId="0" applyNumberFormat="1" applyFont="1" applyFill="1" applyBorder="1"/>
    <x:xf numFmtId="0" fontId="34" fillId="46" borderId="28" xfId="0" applyNumberFormat="1" applyFont="1" applyFill="1" applyBorder="1"/>
    <x:xf numFmtId="0" fontId="34" fillId="46" borderId="29" xfId="0" applyNumberFormat="1" applyFont="1" applyFill="1" applyBorder="1"/>
    <x:xf numFmtId="0" fontId="34" fillId="46" borderId="30" xfId="0" applyNumberFormat="1" applyFont="1" applyFill="1" applyBorder="1"/>
    <x:xf numFmtId="0" fontId="34" fillId="46" borderId="31" xfId="0" applyNumberFormat="1" applyFont="1" applyFill="1" applyBorder="1"/>
    <x:xf numFmtId="0" fontId="34" fillId="46" borderId="32" xfId="0" applyNumberFormat="1" applyFont="1" applyFill="1" applyBorder="1"/>
    <x:xf numFmtId="0" fontId="34" fillId="46" borderId="33" xfId="0" applyNumberFormat="1" applyFont="1" applyFill="1" applyBorder="1"/>
    <x:xf numFmtId="0" fontId="34" fillId="46" borderId="34" xfId="0" applyNumberFormat="1" applyFont="1" applyFill="1" applyBorder="1"/>
    <x:xf numFmtId="0" fontId="34" fillId="46" borderId="35" xfId="0" applyNumberFormat="1" applyFont="1" applyFill="1" applyBorder="1"/>
    <x:xf numFmtId="0" fontId="34" fillId="46" borderId="27" xfId="0" applyNumberFormat="1" applyFont="1" applyFill="1" applyBorder="1" applyAlignment="1">
      <x:alignment wrapText="1"/>
    </x:xf>
    <x:xf numFmtId="0" fontId="34" fillId="46" borderId="28" xfId="0" applyNumberFormat="1" applyFont="1" applyFill="1" applyBorder="1" applyAlignment="1">
      <x:alignment wrapText="1"/>
    </x:xf>
    <x:xf numFmtId="0" fontId="34" fillId="46" borderId="29" xfId="0" applyNumberFormat="1" applyFont="1" applyFill="1" applyBorder="1" applyAlignment="1">
      <x:alignment wrapText="1"/>
    </x:xf>
    <x:xf numFmtId="0" fontId="34" fillId="46" borderId="30" xfId="0" applyNumberFormat="1" applyFont="1" applyFill="1" applyBorder="1" applyAlignment="1">
      <x:alignment wrapText="1"/>
    </x:xf>
    <x:xf numFmtId="0" fontId="34" fillId="46" borderId="31" xfId="0" applyNumberFormat="1" applyFont="1" applyFill="1" applyBorder="1" applyAlignment="1">
      <x:alignment wrapText="1"/>
    </x:xf>
    <x:xf numFmtId="0" fontId="34" fillId="46" borderId="32" xfId="0" applyNumberFormat="1" applyFont="1" applyFill="1" applyBorder="1" applyAlignment="1">
      <x:alignment wrapText="1"/>
    </x:xf>
    <x:xf numFmtId="0" fontId="34" fillId="46" borderId="33" xfId="0" applyNumberFormat="1" applyFont="1" applyFill="1" applyBorder="1" applyAlignment="1">
      <x:alignment wrapText="1"/>
    </x:xf>
    <x:xf numFmtId="0" fontId="34" fillId="46" borderId="34" xfId="0" applyNumberFormat="1" applyFont="1" applyFill="1" applyBorder="1" applyAlignment="1">
      <x:alignment wrapText="1"/>
    </x:xf>
    <x:xf numFmtId="0" fontId="34" fillId="46" borderId="35" xfId="0" applyNumberFormat="1" applyFont="1" applyFill="1" applyBorder="1" applyAlignment="1">
      <x:alignment wrapText="1"/>
    </x:xf>
    <x:xf numFmtId="0" fontId="34" fillId="46" borderId="27" xfId="0" applyNumberFormat="1" applyFont="1" applyFill="1" applyBorder="1" applyAlignment="1">
      <x:alignment vertical="top" wrapText="1"/>
    </x:xf>
    <x:xf numFmtId="0" fontId="34" fillId="46" borderId="28" xfId="0" applyNumberFormat="1" applyFont="1" applyFill="1" applyBorder="1" applyAlignment="1">
      <x:alignment vertical="top" wrapText="1"/>
    </x:xf>
    <x:xf numFmtId="0" fontId="34" fillId="46" borderId="29" xfId="0" applyNumberFormat="1" applyFont="1" applyFill="1" applyBorder="1" applyAlignment="1">
      <x:alignment vertical="top" wrapText="1"/>
    </x:xf>
    <x:xf numFmtId="0" fontId="34" fillId="46" borderId="30" xfId="0" applyNumberFormat="1" applyFont="1" applyFill="1" applyBorder="1" applyAlignment="1">
      <x:alignment vertical="top" wrapText="1"/>
    </x:xf>
    <x:xf numFmtId="0" fontId="34" fillId="46" borderId="31" xfId="0" applyNumberFormat="1" applyFont="1" applyFill="1" applyBorder="1" applyAlignment="1">
      <x:alignment vertical="top" wrapText="1"/>
    </x:xf>
    <x:xf numFmtId="0" fontId="34" fillId="46" borderId="32" xfId="0" applyNumberFormat="1" applyFont="1" applyFill="1" applyBorder="1" applyAlignment="1">
      <x:alignment vertical="top" wrapText="1"/>
    </x:xf>
    <x:xf numFmtId="0" fontId="34" fillId="46" borderId="33" xfId="0" applyNumberFormat="1" applyFont="1" applyFill="1" applyBorder="1" applyAlignment="1">
      <x:alignment vertical="top" wrapText="1"/>
    </x:xf>
    <x:xf numFmtId="0" fontId="34" fillId="46" borderId="34" xfId="0" applyNumberFormat="1" applyFont="1" applyFill="1" applyBorder="1" applyAlignment="1">
      <x:alignment vertical="top" wrapText="1"/>
    </x:xf>
    <x:xf numFmtId="0" fontId="34" fillId="46" borderId="35" xfId="0" applyNumberFormat="1" applyFont="1" applyFill="1" applyBorder="1" applyAlignment="1">
      <x:alignment vertical="top" wrapText="1"/>
    </x:xf>
    <x:xf numFmtId="0" fontId="0" fillId="47" borderId="0" xfId="0" applyNumberFormat="1" applyFont="1" applyFill="1" applyBorder="1"/>
    <x:xf numFmtId="0" fontId="24" fillId="47" borderId="0" xfId="0" applyNumberFormat="1" applyFont="1" applyFill="1" applyBorder="1"/>
    <x:xf numFmtId="0" fontId="24" fillId="47" borderId="0" xfId="0" applyNumberFormat="1" applyFont="1" applyFill="1" applyBorder="1" applyAlignment="1">
      <x:alignment horizontal="center"/>
    </x:xf>
    <x:xf numFmtId="0" fontId="24" fillId="47" borderId="0" xfId="0" applyNumberFormat="1" applyFont="1" applyFill="1" applyBorder="1" applyAlignment="1">
      <x:alignment wrapText="1"/>
    </x:xf>
    <x:xf numFmtId="0" fontId="24" fillId="47" borderId="0" xfId="0" applyNumberFormat="1" applyFont="1" applyFill="1" applyBorder="1" applyAlignment="1">
      <x:alignment vertical="center" wrapText="1"/>
    </x:xf>
    <x:xf numFmtId="0" fontId="35" fillId="45" borderId="0" xfId="0" applyNumberFormat="1" applyFont="1" applyFill="1" applyBorder="1"/>
    <x:xf numFmtId="0" fontId="35" fillId="45" borderId="0" xfId="0" applyNumberFormat="1" applyFont="1" applyFill="1" applyBorder="1" applyAlignment="1">
      <x:alignment wrapText="1"/>
    </x:xf>
    <x:xf numFmtId="0" fontId="35" fillId="45" borderId="0" xfId="0" applyNumberFormat="1" applyFont="1" applyFill="1" applyBorder="1" applyAlignment="1">
      <x:alignment horizontal="center" wrapText="1"/>
    </x:xf>
    <x:xf numFmtId="0" fontId="35" fillId="45" borderId="0" xfId="0" applyNumberFormat="1" applyFont="1" applyFill="1" applyBorder="1" applyAlignment="1">
      <x:alignment horizontal="center" vertical="center" wrapText="1"/>
    </x:xf>
    <x:xf numFmtId="0" fontId="36" fillId="46" borderId="0" xfId="0" applyNumberFormat="1" applyFont="1" applyFill="1" applyBorder="1"/>
    <x:xf numFmtId="0" fontId="36" fillId="46" borderId="27" xfId="0" applyNumberFormat="1" applyFont="1" applyFill="1" applyBorder="1"/>
    <x:xf numFmtId="0" fontId="36" fillId="46" borderId="28" xfId="0" applyNumberFormat="1" applyFont="1" applyFill="1" applyBorder="1"/>
    <x:xf numFmtId="0" fontId="36" fillId="46" borderId="29" xfId="0" applyNumberFormat="1" applyFont="1" applyFill="1" applyBorder="1"/>
    <x:xf numFmtId="0" fontId="36" fillId="46" borderId="30" xfId="0" applyNumberFormat="1" applyFont="1" applyFill="1" applyBorder="1"/>
    <x:xf numFmtId="0" fontId="36" fillId="46" borderId="31" xfId="0" applyNumberFormat="1" applyFont="1" applyFill="1" applyBorder="1"/>
    <x:xf numFmtId="0" fontId="36" fillId="46" borderId="32" xfId="0" applyNumberFormat="1" applyFont="1" applyFill="1" applyBorder="1"/>
    <x:xf numFmtId="0" fontId="36" fillId="46" borderId="33" xfId="0" applyNumberFormat="1" applyFont="1" applyFill="1" applyBorder="1"/>
    <x:xf numFmtId="0" fontId="36" fillId="46" borderId="34" xfId="0" applyNumberFormat="1" applyFont="1" applyFill="1" applyBorder="1"/>
    <x:xf numFmtId="0" fontId="36" fillId="46" borderId="35" xfId="0" applyNumberFormat="1" applyFont="1" applyFill="1" applyBorder="1"/>
    <x:xf numFmtId="0" fontId="36" fillId="46" borderId="27" xfId="0" applyNumberFormat="1" applyFont="1" applyFill="1" applyBorder="1" applyAlignment="1">
      <x:alignment wrapText="1"/>
    </x:xf>
    <x:xf numFmtId="0" fontId="36" fillId="46" borderId="28" xfId="0" applyNumberFormat="1" applyFont="1" applyFill="1" applyBorder="1" applyAlignment="1">
      <x:alignment wrapText="1"/>
    </x:xf>
    <x:xf numFmtId="0" fontId="36" fillId="46" borderId="29" xfId="0" applyNumberFormat="1" applyFont="1" applyFill="1" applyBorder="1" applyAlignment="1">
      <x:alignment wrapText="1"/>
    </x:xf>
    <x:xf numFmtId="0" fontId="36" fillId="46" borderId="30" xfId="0" applyNumberFormat="1" applyFont="1" applyFill="1" applyBorder="1" applyAlignment="1">
      <x:alignment wrapText="1"/>
    </x:xf>
    <x:xf numFmtId="0" fontId="36" fillId="46" borderId="31" xfId="0" applyNumberFormat="1" applyFont="1" applyFill="1" applyBorder="1" applyAlignment="1">
      <x:alignment wrapText="1"/>
    </x:xf>
    <x:xf numFmtId="0" fontId="36" fillId="46" borderId="32" xfId="0" applyNumberFormat="1" applyFont="1" applyFill="1" applyBorder="1" applyAlignment="1">
      <x:alignment wrapText="1"/>
    </x:xf>
    <x:xf numFmtId="0" fontId="36" fillId="46" borderId="33" xfId="0" applyNumberFormat="1" applyFont="1" applyFill="1" applyBorder="1" applyAlignment="1">
      <x:alignment wrapText="1"/>
    </x:xf>
    <x:xf numFmtId="0" fontId="36" fillId="46" borderId="34" xfId="0" applyNumberFormat="1" applyFont="1" applyFill="1" applyBorder="1" applyAlignment="1">
      <x:alignment wrapText="1"/>
    </x:xf>
    <x:xf numFmtId="0" fontId="36" fillId="46" borderId="35" xfId="0" applyNumberFormat="1" applyFont="1" applyFill="1" applyBorder="1" applyAlignment="1">
      <x:alignment wrapText="1"/>
    </x:xf>
    <x:xf numFmtId="0" fontId="36" fillId="46" borderId="27" xfId="0" applyNumberFormat="1" applyFont="1" applyFill="1" applyBorder="1" applyAlignment="1">
      <x:alignment vertical="top" wrapText="1"/>
    </x:xf>
    <x:xf numFmtId="0" fontId="36" fillId="46" borderId="28" xfId="0" applyNumberFormat="1" applyFont="1" applyFill="1" applyBorder="1" applyAlignment="1">
      <x:alignment vertical="top" wrapText="1"/>
    </x:xf>
    <x:xf numFmtId="0" fontId="36" fillId="46" borderId="29" xfId="0" applyNumberFormat="1" applyFont="1" applyFill="1" applyBorder="1" applyAlignment="1">
      <x:alignment vertical="top" wrapText="1"/>
    </x:xf>
    <x:xf numFmtId="0" fontId="36" fillId="46" borderId="30" xfId="0" applyNumberFormat="1" applyFont="1" applyFill="1" applyBorder="1" applyAlignment="1">
      <x:alignment vertical="top" wrapText="1"/>
    </x:xf>
    <x:xf numFmtId="0" fontId="36" fillId="46" borderId="31" xfId="0" applyNumberFormat="1" applyFont="1" applyFill="1" applyBorder="1" applyAlignment="1">
      <x:alignment vertical="top" wrapText="1"/>
    </x:xf>
    <x:xf numFmtId="0" fontId="36" fillId="46" borderId="32" xfId="0" applyNumberFormat="1" applyFont="1" applyFill="1" applyBorder="1" applyAlignment="1">
      <x:alignment vertical="top" wrapText="1"/>
    </x:xf>
    <x:xf numFmtId="0" fontId="36" fillId="46" borderId="33" xfId="0" applyNumberFormat="1" applyFont="1" applyFill="1" applyBorder="1" applyAlignment="1">
      <x:alignment vertical="top" wrapText="1"/>
    </x:xf>
    <x:xf numFmtId="0" fontId="36" fillId="46" borderId="34" xfId="0" applyNumberFormat="1" applyFont="1" applyFill="1" applyBorder="1" applyAlignment="1">
      <x:alignment vertical="top" wrapText="1"/>
    </x:xf>
    <x:xf numFmtId="0" fontId="36" fillId="46" borderId="35" xfId="0" applyNumberFormat="1" applyFont="1" applyFill="1" applyBorder="1" applyAlignment="1">
      <x:alignment vertical="top" wrapText="1"/>
    </x:xf>
    <x:xf numFmtId="0" fontId="36" fillId="44" borderId="27" xfId="0" applyNumberFormat="1" applyFont="1" applyFill="1" applyBorder="1" applyAlignment="1">
      <x:alignment vertical="top" wrapText="1"/>
    </x:xf>
    <x:xf numFmtId="0" fontId="36" fillId="44" borderId="28" xfId="0" applyNumberFormat="1" applyFont="1" applyFill="1" applyBorder="1" applyAlignment="1">
      <x:alignment vertical="top" wrapText="1"/>
    </x:xf>
    <x:xf numFmtId="0" fontId="36" fillId="44" borderId="30" xfId="0" applyNumberFormat="1" applyFont="1" applyFill="1" applyBorder="1" applyAlignment="1">
      <x:alignment vertical="top" wrapText="1"/>
    </x:xf>
    <x:xf numFmtId="0" fontId="36" fillId="44" borderId="31" xfId="0" applyNumberFormat="1" applyFont="1" applyFill="1" applyBorder="1" applyAlignment="1">
      <x:alignment vertical="top" wrapText="1"/>
    </x:xf>
    <x:xf numFmtId="0" fontId="36" fillId="44" borderId="33" xfId="0" applyNumberFormat="1" applyFont="1" applyFill="1" applyBorder="1" applyAlignment="1">
      <x:alignment vertical="top" wrapText="1"/>
    </x:xf>
    <x:xf numFmtId="0" fontId="36" fillId="44" borderId="34" xfId="0" applyNumberFormat="1" applyFont="1" applyFill="1" applyBorder="1" applyAlignment="1">
      <x:alignment vertical="top" wrapText="1"/>
    </x:xf>
    <x:xf numFmtId="0" fontId="37" fillId="44" borderId="27" xfId="0" applyNumberFormat="1" applyFont="1" applyFill="1" applyBorder="1" applyAlignment="1">
      <x:alignment vertical="top" wrapText="1"/>
    </x:xf>
    <x:xf numFmtId="0" fontId="37" fillId="44" borderId="28" xfId="0" applyNumberFormat="1" applyFont="1" applyFill="1" applyBorder="1" applyAlignment="1">
      <x:alignment vertical="top" wrapText="1"/>
    </x:xf>
    <x:xf numFmtId="0" fontId="37" fillId="44" borderId="30" xfId="0" applyNumberFormat="1" applyFont="1" applyFill="1" applyBorder="1" applyAlignment="1">
      <x:alignment vertical="top" wrapText="1"/>
    </x:xf>
    <x:xf numFmtId="0" fontId="37" fillId="44" borderId="31" xfId="0" applyNumberFormat="1" applyFont="1" applyFill="1" applyBorder="1" applyAlignment="1">
      <x:alignment vertical="top" wrapText="1"/>
    </x:xf>
    <x:xf numFmtId="0" fontId="37" fillId="44" borderId="33" xfId="0" applyNumberFormat="1" applyFont="1" applyFill="1" applyBorder="1" applyAlignment="1">
      <x:alignment vertical="top" wrapText="1"/>
    </x:xf>
    <x:xf numFmtId="0" fontId="37" fillId="44" borderId="34" xfId="0" applyNumberFormat="1" applyFont="1" applyFill="1" applyBorder="1" applyAlignment="1">
      <x:alignment vertical="top" wrapText="1"/>
    </x:xf>
    <x:xf numFmtId="0" fontId="37" fillId="44" borderId="27" xfId="0" applyNumberFormat="1" applyFont="1" applyFill="1" applyBorder="1" applyAlignment="1">
      <x:alignment vertical="center" wrapText="1"/>
    </x:xf>
    <x:xf numFmtId="0" fontId="37" fillId="44" borderId="28" xfId="0" applyNumberFormat="1" applyFont="1" applyFill="1" applyBorder="1" applyAlignment="1">
      <x:alignment vertical="center" wrapText="1"/>
    </x:xf>
    <x:xf numFmtId="0" fontId="37" fillId="44" borderId="30" xfId="0" applyNumberFormat="1" applyFont="1" applyFill="1" applyBorder="1" applyAlignment="1">
      <x:alignment vertical="center" wrapText="1"/>
    </x:xf>
    <x:xf numFmtId="0" fontId="37" fillId="44" borderId="31" xfId="0" applyNumberFormat="1" applyFont="1" applyFill="1" applyBorder="1" applyAlignment="1">
      <x:alignment vertical="center" wrapText="1"/>
    </x:xf>
    <x:xf numFmtId="0" fontId="37" fillId="44" borderId="33" xfId="0" applyNumberFormat="1" applyFont="1" applyFill="1" applyBorder="1" applyAlignment="1">
      <x:alignment vertical="center" wrapText="1"/>
    </x:xf>
    <x:xf numFmtId="0" fontId="37" fillId="44" borderId="34" xfId="0" applyNumberFormat="1" applyFont="1" applyFill="1" applyBorder="1" applyAlignment="1">
      <x:alignment vertical="center" wrapText="1"/>
    </x:xf>
    <x:xf numFmtId="164" fontId="36" fillId="46" borderId="28" xfId="0" applyNumberFormat="1" applyFont="1" applyFill="1" applyBorder="1" applyAlignment="1">
      <x:alignment vertical="top" wrapText="1"/>
    </x:xf>
    <x:xf numFmtId="164" fontId="36" fillId="46" borderId="31" xfId="0" applyNumberFormat="1" applyFont="1" applyFill="1" applyBorder="1" applyAlignment="1">
      <x:alignment vertical="top" wrapText="1"/>
    </x:xf>
    <x:xf numFmtId="164" fontId="36" fillId="46" borderId="34" xfId="0" applyNumberFormat="1" applyFont="1" applyFill="1" applyBorder="1" applyAlignment="1">
      <x:alignment vertical="top" wrapText="1"/>
    </x:xf>
    <x:xf numFmtId="0" fontId="0" fillId="48" borderId="0" xfId="0" applyNumberFormat="1" applyFont="1" applyFill="1" applyBorder="1"/>
    <x:xf numFmtId="0" fontId="26" fillId="48" borderId="0" xfId="0" applyNumberFormat="1" applyFont="1" applyFill="1" applyBorder="1"/>
    <x:xf numFmtId="0" fontId="26" fillId="48" borderId="0" xfId="0" applyNumberFormat="1" applyFont="1" applyFill="1" applyBorder="1" applyAlignment="1">
      <x:alignment wrapText="1"/>
    </x:xf>
    <x:xf numFmtId="0" fontId="26" fillId="48" borderId="0" xfId="0" applyNumberFormat="1" applyFont="1" applyFill="1" applyBorder="1" applyAlignment="1">
      <x:alignment vertical="center" wrapText="1"/>
    </x:xf>
    <x:xf numFmtId="0" fontId="29" fillId="46" borderId="0" xfId="0" applyNumberFormat="1" applyFont="1" applyFill="1" applyBorder="1"/>
    <x:xf numFmtId="0" fontId="29" fillId="46" borderId="27" xfId="0" applyNumberFormat="1" applyFont="1" applyFill="1" applyBorder="1"/>
    <x:xf numFmtId="0" fontId="29" fillId="46" borderId="28" xfId="0" applyNumberFormat="1" applyFont="1" applyFill="1" applyBorder="1"/>
    <x:xf numFmtId="0" fontId="29" fillId="46" borderId="29" xfId="0" applyNumberFormat="1" applyFont="1" applyFill="1" applyBorder="1"/>
    <x:xf numFmtId="0" fontId="29" fillId="46" borderId="30" xfId="0" applyNumberFormat="1" applyFont="1" applyFill="1" applyBorder="1"/>
    <x:xf numFmtId="0" fontId="29" fillId="46" borderId="31" xfId="0" applyNumberFormat="1" applyFont="1" applyFill="1" applyBorder="1"/>
    <x:xf numFmtId="0" fontId="29" fillId="46" borderId="32" xfId="0" applyNumberFormat="1" applyFont="1" applyFill="1" applyBorder="1"/>
    <x:xf numFmtId="0" fontId="29" fillId="46" borderId="33" xfId="0" applyNumberFormat="1" applyFont="1" applyFill="1" applyBorder="1"/>
    <x:xf numFmtId="0" fontId="29" fillId="46" borderId="34" xfId="0" applyNumberFormat="1" applyFont="1" applyFill="1" applyBorder="1"/>
    <x:xf numFmtId="0" fontId="29" fillId="46" borderId="35" xfId="0" applyNumberFormat="1" applyFont="1" applyFill="1" applyBorder="1"/>
    <x:xf numFmtId="0" fontId="29" fillId="46" borderId="27" xfId="0" applyNumberFormat="1" applyFont="1" applyFill="1" applyBorder="1" applyAlignment="1">
      <x:alignment wrapText="1"/>
    </x:xf>
    <x:xf numFmtId="0" fontId="29" fillId="46" borderId="28" xfId="0" applyNumberFormat="1" applyFont="1" applyFill="1" applyBorder="1" applyAlignment="1">
      <x:alignment wrapText="1"/>
    </x:xf>
    <x:xf numFmtId="0" fontId="29" fillId="46" borderId="29" xfId="0" applyNumberFormat="1" applyFont="1" applyFill="1" applyBorder="1" applyAlignment="1">
      <x:alignment wrapText="1"/>
    </x:xf>
    <x:xf numFmtId="0" fontId="29" fillId="46" borderId="30" xfId="0" applyNumberFormat="1" applyFont="1" applyFill="1" applyBorder="1" applyAlignment="1">
      <x:alignment wrapText="1"/>
    </x:xf>
    <x:xf numFmtId="0" fontId="29" fillId="46" borderId="31" xfId="0" applyNumberFormat="1" applyFont="1" applyFill="1" applyBorder="1" applyAlignment="1">
      <x:alignment wrapText="1"/>
    </x:xf>
    <x:xf numFmtId="0" fontId="29" fillId="46" borderId="32" xfId="0" applyNumberFormat="1" applyFont="1" applyFill="1" applyBorder="1" applyAlignment="1">
      <x:alignment wrapText="1"/>
    </x:xf>
    <x:xf numFmtId="0" fontId="29" fillId="46" borderId="33" xfId="0" applyNumberFormat="1" applyFont="1" applyFill="1" applyBorder="1" applyAlignment="1">
      <x:alignment wrapText="1"/>
    </x:xf>
    <x:xf numFmtId="0" fontId="29" fillId="46" borderId="34" xfId="0" applyNumberFormat="1" applyFont="1" applyFill="1" applyBorder="1" applyAlignment="1">
      <x:alignment wrapText="1"/>
    </x:xf>
    <x:xf numFmtId="0" fontId="29" fillId="46" borderId="35" xfId="0" applyNumberFormat="1" applyFont="1" applyFill="1" applyBorder="1" applyAlignment="1">
      <x:alignment wrapText="1"/>
    </x:xf>
    <x:xf numFmtId="0" fontId="29" fillId="46" borderId="27" xfId="0" applyNumberFormat="1" applyFont="1" applyFill="1" applyBorder="1" applyAlignment="1">
      <x:alignment vertical="top" wrapText="1"/>
    </x:xf>
    <x:xf numFmtId="0" fontId="29" fillId="46" borderId="28" xfId="0" applyNumberFormat="1" applyFont="1" applyFill="1" applyBorder="1" applyAlignment="1">
      <x:alignment vertical="top" wrapText="1"/>
    </x:xf>
    <x:xf numFmtId="0" fontId="29" fillId="46" borderId="29" xfId="0" applyNumberFormat="1" applyFont="1" applyFill="1" applyBorder="1" applyAlignment="1">
      <x:alignment vertical="top" wrapText="1"/>
    </x:xf>
    <x:xf numFmtId="0" fontId="29" fillId="46" borderId="30" xfId="0" applyNumberFormat="1" applyFont="1" applyFill="1" applyBorder="1" applyAlignment="1">
      <x:alignment vertical="top" wrapText="1"/>
    </x:xf>
    <x:xf numFmtId="0" fontId="29" fillId="46" borderId="31" xfId="0" applyNumberFormat="1" applyFont="1" applyFill="1" applyBorder="1" applyAlignment="1">
      <x:alignment vertical="top" wrapText="1"/>
    </x:xf>
    <x:xf numFmtId="0" fontId="29" fillId="46" borderId="32" xfId="0" applyNumberFormat="1" applyFont="1" applyFill="1" applyBorder="1" applyAlignment="1">
      <x:alignment vertical="top" wrapText="1"/>
    </x:xf>
    <x:xf numFmtId="0" fontId="29" fillId="46" borderId="33" xfId="0" applyNumberFormat="1" applyFont="1" applyFill="1" applyBorder="1" applyAlignment="1">
      <x:alignment vertical="top" wrapText="1"/>
    </x:xf>
    <x:xf numFmtId="0" fontId="29" fillId="46" borderId="34" xfId="0" applyNumberFormat="1" applyFont="1" applyFill="1" applyBorder="1" applyAlignment="1">
      <x:alignment vertical="top" wrapText="1"/>
    </x:xf>
    <x:xf numFmtId="0" fontId="29" fillId="46" borderId="35" xfId="0" applyNumberFormat="1" applyFont="1" applyFill="1" applyBorder="1" applyAlignment="1">
      <x:alignment vertical="top" wrapText="1"/>
    </x:xf>
    <x:xf numFmtId="0" fontId="29" fillId="44" borderId="27" xfId="0" applyNumberFormat="1" applyFont="1" applyFill="1" applyBorder="1" applyAlignment="1">
      <x:alignment vertical="top" wrapText="1"/>
    </x:xf>
    <x:xf numFmtId="0" fontId="29" fillId="44" borderId="30" xfId="0" applyNumberFormat="1" applyFont="1" applyFill="1" applyBorder="1" applyAlignment="1">
      <x:alignment vertical="top" wrapText="1"/>
    </x:xf>
    <x:xf numFmtId="0" fontId="29" fillId="44" borderId="33" xfId="0" applyNumberFormat="1" applyFont="1" applyFill="1" applyBorder="1" applyAlignment="1">
      <x:alignment vertical="top" wrapText="1"/>
    </x:xf>
    <x:xf numFmtId="0" fontId="38" fillId="44" borderId="27" xfId="0" applyNumberFormat="1" applyFont="1" applyFill="1" applyBorder="1" applyAlignment="1">
      <x:alignment vertical="top" wrapText="1"/>
    </x:xf>
    <x:xf numFmtId="0" fontId="38" fillId="44" borderId="30" xfId="0" applyNumberFormat="1" applyFont="1" applyFill="1" applyBorder="1" applyAlignment="1">
      <x:alignment vertical="top" wrapText="1"/>
    </x:xf>
    <x:xf numFmtId="0" fontId="38" fillId="44" borderId="33" xfId="0" applyNumberFormat="1" applyFont="1" applyFill="1" applyBorder="1" applyAlignment="1">
      <x:alignment vertical="top" wrapText="1"/>
    </x:xf>
    <x:xf numFmtId="0" fontId="24" fillId="47" borderId="0" xfId="0" applyNumberFormat="1" applyFont="1" applyFill="1" applyBorder="1" applyAlignment="1">
      <x:alignment vertical="center"/>
    </x:xf>
    <x:xf numFmtId="0" fontId="0" fillId="49" borderId="0" xfId="0" applyNumberFormat="1" applyFont="1" applyFill="1" applyBorder="1"/>
    <x:xf numFmtId="0" fontId="25" fillId="49" borderId="0" xfId="0" applyNumberFormat="1" applyFont="1" applyFill="1" applyBorder="1"/>
    <x:xf numFmtId="0" fontId="25" fillId="49" borderId="0" xfId="0" applyNumberFormat="1" applyFont="1" applyFill="1" applyBorder="1" applyAlignment="1">
      <x:alignment wrapText="1"/>
    </x:xf>
    <x:xf numFmtId="0" fontId="25" fillId="49" borderId="0" xfId="0" applyNumberFormat="1" applyFont="1" applyFill="1" applyBorder="1" applyAlignment="1">
      <x:alignment vertical="center" wrapText="1"/>
    </x:xf>
    <x:xf numFmtId="0" fontId="0" fillId="50" borderId="0" xfId="0" applyNumberFormat="1" applyFont="1" applyFill="1" applyBorder="1"/>
    <x:xf numFmtId="0" fontId="28" fillId="50" borderId="0" xfId="0" applyNumberFormat="1" applyFont="1" applyFill="1" applyBorder="1"/>
    <x:xf numFmtId="0" fontId="28" fillId="50" borderId="0" xfId="0" applyNumberFormat="1" applyFont="1" applyFill="1" applyBorder="1" applyAlignment="1">
      <x:alignment horizontal="center"/>
    </x:xf>
    <x:xf numFmtId="0" fontId="28" fillId="50" borderId="0" xfId="0" applyNumberFormat="1" applyFont="1" applyFill="1" applyBorder="1" applyAlignment="1">
      <x:alignment horizontal="center" vertical="center"/>
    </x:xf>
    <x:xf numFmtId="0" fontId="0" fillId="51" borderId="0" xfId="0" applyNumberFormat="1" applyFont="1" applyFill="1" applyBorder="1"/>
    <x:xf numFmtId="0" fontId="28" fillId="51" borderId="0" xfId="0" applyNumberFormat="1" applyFont="1" applyFill="1" applyBorder="1"/>
    <x:xf numFmtId="0" fontId="28" fillId="51" borderId="0" xfId="0" applyNumberFormat="1" applyFont="1" applyFill="1" applyBorder="1" applyAlignment="1">
      <x:alignment horizontal="center"/>
    </x:xf>
    <x:xf numFmtId="0" fontId="28" fillId="51" borderId="0" xfId="0" applyNumberFormat="1" applyFont="1" applyFill="1" applyBorder="1" applyAlignment="1">
      <x:alignment horizontal="center" vertical="center"/>
    </x:xf>
    <x:xf numFmtId="0" fontId="0" fillId="52" borderId="0" xfId="0" applyNumberFormat="1" applyFont="1" applyFill="1" applyBorder="1"/>
    <x:xf numFmtId="0" fontId="28" fillId="52" borderId="0" xfId="0" applyNumberFormat="1" applyFont="1" applyFill="1" applyBorder="1"/>
    <x:xf numFmtId="0" fontId="28" fillId="52" borderId="0" xfId="0" applyNumberFormat="1" applyFont="1" applyFill="1" applyBorder="1" applyAlignment="1">
      <x:alignment horizontal="center"/>
    </x:xf>
    <x:xf numFmtId="0" fontId="28" fillId="52" borderId="0" xfId="0" applyNumberFormat="1" applyFont="1" applyFill="1" applyBorder="1" applyAlignment="1">
      <x:alignment horizontal="center" vertical="center"/>
    </x:xf>
    <x:xf numFmtId="0" fontId="0" fillId="53" borderId="0" xfId="0" applyNumberFormat="1" applyFont="1" applyFill="1" applyBorder="1"/>
    <x:xf numFmtId="0" fontId="28" fillId="53" borderId="0" xfId="0" applyNumberFormat="1" applyFont="1" applyFill="1" applyBorder="1"/>
    <x:xf numFmtId="0" fontId="28" fillId="53" borderId="0" xfId="0" applyNumberFormat="1" applyFont="1" applyFill="1" applyBorder="1" applyAlignment="1">
      <x:alignment horizontal="center"/>
    </x:xf>
    <x:xf numFmtId="0" fontId="28" fillId="53" borderId="0" xfId="0" applyNumberFormat="1" applyFont="1" applyFill="1" applyBorder="1" applyAlignment="1">
      <x:alignment horizontal="center" vertical="center"/>
    </x:xf>
    <x:xf numFmtId="0" fontId="28" fillId="45" borderId="0" xfId="0" applyNumberFormat="1" applyFont="1" applyFill="1" applyBorder="1"/>
    <x:xf numFmtId="0" fontId="28" fillId="45" borderId="15" xfId="0" applyNumberFormat="1" applyFont="1" applyFill="1" applyBorder="1"/>
    <x:xf numFmtId="0" fontId="28" fillId="45" borderId="16" xfId="0" applyNumberFormat="1" applyFont="1" applyFill="1" applyBorder="1"/>
    <x:xf numFmtId="0" fontId="28" fillId="45" borderId="17" xfId="0" applyNumberFormat="1" applyFont="1" applyFill="1" applyBorder="1"/>
    <x:xf numFmtId="0" fontId="28" fillId="45" borderId="15" xfId="0" applyNumberFormat="1" applyFont="1" applyFill="1" applyBorder="1" applyAlignment="1">
      <x:alignment wrapText="1"/>
    </x:xf>
    <x:xf numFmtId="0" fontId="28" fillId="45" borderId="16" xfId="0" applyNumberFormat="1" applyFont="1" applyFill="1" applyBorder="1" applyAlignment="1">
      <x:alignment wrapText="1"/>
    </x:xf>
    <x:xf numFmtId="0" fontId="28" fillId="45" borderId="17" xfId="0" applyNumberFormat="1" applyFont="1" applyFill="1" applyBorder="1" applyAlignment="1">
      <x:alignment wrapText="1"/>
    </x:xf>
    <x:xf numFmtId="0" fontId="28" fillId="45" borderId="15" xfId="0" applyNumberFormat="1" applyFont="1" applyFill="1" applyBorder="1" applyAlignment="1">
      <x:alignment horizontal="center" wrapText="1"/>
    </x:xf>
    <x:xf numFmtId="0" fontId="28" fillId="45" borderId="16" xfId="0" applyNumberFormat="1" applyFont="1" applyFill="1" applyBorder="1" applyAlignment="1">
      <x:alignment horizontal="center" wrapText="1"/>
    </x:xf>
    <x:xf numFmtId="0" fontId="28" fillId="45" borderId="17" xfId="0" applyNumberFormat="1" applyFont="1" applyFill="1" applyBorder="1" applyAlignment="1">
      <x:alignment horizontal="center" wrapText="1"/>
    </x:xf>
    <x:xf numFmtId="0" fontId="28" fillId="45" borderId="15" xfId="0" applyNumberFormat="1" applyFont="1" applyFill="1" applyBorder="1" applyAlignment="1">
      <x:alignment horizontal="center" vertical="center" wrapText="1"/>
    </x:xf>
    <x:xf numFmtId="0" fontId="28" fillId="45" borderId="16" xfId="0" applyNumberFormat="1" applyFont="1" applyFill="1" applyBorder="1" applyAlignment="1">
      <x:alignment horizontal="center" vertical="center" wrapText="1"/>
    </x:xf>
    <x:xf numFmtId="0" fontId="28" fillId="45" borderId="17" xfId="0" applyNumberFormat="1" applyFont="1" applyFill="1" applyBorder="1" applyAlignment="1">
      <x:alignment horizontal="center" vertical="center" wrapText="1"/>
    </x:xf>
    <x:xf numFmtId="0" fontId="29" fillId="46" borderId="18" xfId="0" applyNumberFormat="1" applyFont="1" applyFill="1" applyBorder="1"/>
    <x:xf numFmtId="0" fontId="29" fillId="46" borderId="19" xfId="0" applyNumberFormat="1" applyFont="1" applyFill="1" applyBorder="1"/>
    <x:xf numFmtId="0" fontId="29" fillId="46" borderId="20" xfId="0" applyNumberFormat="1" applyFont="1" applyFill="1" applyBorder="1"/>
    <x:xf numFmtId="0" fontId="29" fillId="46" borderId="21" xfId="0" applyNumberFormat="1" applyFont="1" applyFill="1" applyBorder="1"/>
    <x:xf numFmtId="0" fontId="29" fillId="46" borderId="22" xfId="0" applyNumberFormat="1" applyFont="1" applyFill="1" applyBorder="1"/>
    <x:xf numFmtId="0" fontId="29" fillId="46" borderId="23" xfId="0" applyNumberFormat="1" applyFont="1" applyFill="1" applyBorder="1"/>
    <x:xf numFmtId="0" fontId="29" fillId="46" borderId="24" xfId="0" applyNumberFormat="1" applyFont="1" applyFill="1" applyBorder="1"/>
    <x:xf numFmtId="0" fontId="29" fillId="46" borderId="25" xfId="0" applyNumberFormat="1" applyFont="1" applyFill="1" applyBorder="1"/>
    <x:xf numFmtId="0" fontId="29" fillId="46" borderId="26" xfId="0" applyNumberFormat="1" applyFont="1" applyFill="1" applyBorder="1"/>
    <x:xf numFmtId="0" fontId="29" fillId="46" borderId="18" xfId="0" applyNumberFormat="1" applyFont="1" applyFill="1" applyBorder="1" applyAlignment="1">
      <x:alignment wrapText="1"/>
    </x:xf>
    <x:xf numFmtId="0" fontId="29" fillId="46" borderId="19" xfId="0" applyNumberFormat="1" applyFont="1" applyFill="1" applyBorder="1" applyAlignment="1">
      <x:alignment wrapText="1"/>
    </x:xf>
    <x:xf numFmtId="0" fontId="29" fillId="46" borderId="20" xfId="0" applyNumberFormat="1" applyFont="1" applyFill="1" applyBorder="1" applyAlignment="1">
      <x:alignment wrapText="1"/>
    </x:xf>
    <x:xf numFmtId="0" fontId="29" fillId="46" borderId="21" xfId="0" applyNumberFormat="1" applyFont="1" applyFill="1" applyBorder="1" applyAlignment="1">
      <x:alignment wrapText="1"/>
    </x:xf>
    <x:xf numFmtId="0" fontId="29" fillId="46" borderId="22" xfId="0" applyNumberFormat="1" applyFont="1" applyFill="1" applyBorder="1" applyAlignment="1">
      <x:alignment wrapText="1"/>
    </x:xf>
    <x:xf numFmtId="0" fontId="29" fillId="46" borderId="23" xfId="0" applyNumberFormat="1" applyFont="1" applyFill="1" applyBorder="1" applyAlignment="1">
      <x:alignment wrapText="1"/>
    </x:xf>
    <x:xf numFmtId="0" fontId="29" fillId="46" borderId="24" xfId="0" applyNumberFormat="1" applyFont="1" applyFill="1" applyBorder="1" applyAlignment="1">
      <x:alignment wrapText="1"/>
    </x:xf>
    <x:xf numFmtId="0" fontId="29" fillId="46" borderId="25" xfId="0" applyNumberFormat="1" applyFont="1" applyFill="1" applyBorder="1" applyAlignment="1">
      <x:alignment wrapText="1"/>
    </x:xf>
    <x:xf numFmtId="0" fontId="29" fillId="46" borderId="26" xfId="0" applyNumberFormat="1" applyFont="1" applyFill="1" applyBorder="1" applyAlignment="1">
      <x:alignment wrapText="1"/>
    </x:xf>
    <x:xf numFmtId="0" fontId="29" fillId="46" borderId="18" xfId="0" applyNumberFormat="1" applyFont="1" applyFill="1" applyBorder="1" applyAlignment="1">
      <x:alignment vertical="top" wrapText="1"/>
    </x:xf>
    <x:xf numFmtId="0" fontId="29" fillId="46" borderId="19" xfId="0" applyNumberFormat="1" applyFont="1" applyFill="1" applyBorder="1" applyAlignment="1">
      <x:alignment vertical="top" wrapText="1"/>
    </x:xf>
    <x:xf numFmtId="0" fontId="29" fillId="46" borderId="20" xfId="0" applyNumberFormat="1" applyFont="1" applyFill="1" applyBorder="1" applyAlignment="1">
      <x:alignment vertical="top" wrapText="1"/>
    </x:xf>
    <x:xf numFmtId="0" fontId="29" fillId="46" borderId="21" xfId="0" applyNumberFormat="1" applyFont="1" applyFill="1" applyBorder="1" applyAlignment="1">
      <x:alignment vertical="top" wrapText="1"/>
    </x:xf>
    <x:xf numFmtId="0" fontId="29" fillId="46" borderId="22" xfId="0" applyNumberFormat="1" applyFont="1" applyFill="1" applyBorder="1" applyAlignment="1">
      <x:alignment vertical="top" wrapText="1"/>
    </x:xf>
    <x:xf numFmtId="0" fontId="29" fillId="46" borderId="23" xfId="0" applyNumberFormat="1" applyFont="1" applyFill="1" applyBorder="1" applyAlignment="1">
      <x:alignment vertical="top" wrapText="1"/>
    </x:xf>
    <x:xf numFmtId="0" fontId="29" fillId="46" borderId="24" xfId="0" applyNumberFormat="1" applyFont="1" applyFill="1" applyBorder="1" applyAlignment="1">
      <x:alignment vertical="top" wrapText="1"/>
    </x:xf>
    <x:xf numFmtId="0" fontId="29" fillId="46" borderId="25" xfId="0" applyNumberFormat="1" applyFont="1" applyFill="1" applyBorder="1" applyAlignment="1">
      <x:alignment vertical="top" wrapText="1"/>
    </x:xf>
    <x:xf numFmtId="0" fontId="29" fillId="46" borderId="26" xfId="0" applyNumberFormat="1" applyFont="1" applyFill="1" applyBorder="1" applyAlignment="1">
      <x:alignment vertical="top" wrapText="1"/>
    </x:xf>
    <x:xf numFmtId="0" fontId="29" fillId="44" borderId="18" xfId="0" applyNumberFormat="1" applyFont="1" applyFill="1" applyBorder="1" applyAlignment="1">
      <x:alignment vertical="top" wrapText="1"/>
    </x:xf>
    <x:xf numFmtId="0" fontId="29" fillId="44" borderId="19" xfId="0" applyNumberFormat="1" applyFont="1" applyFill="1" applyBorder="1" applyAlignment="1">
      <x:alignment vertical="top" wrapText="1"/>
    </x:xf>
    <x:xf numFmtId="0" fontId="29" fillId="44" borderId="21" xfId="0" applyNumberFormat="1" applyFont="1" applyFill="1" applyBorder="1" applyAlignment="1">
      <x:alignment vertical="top" wrapText="1"/>
    </x:xf>
    <x:xf numFmtId="0" fontId="29" fillId="44" borderId="22" xfId="0" applyNumberFormat="1" applyFont="1" applyFill="1" applyBorder="1" applyAlignment="1">
      <x:alignment vertical="top" wrapText="1"/>
    </x:xf>
    <x:xf numFmtId="0" fontId="29" fillId="44" borderId="24" xfId="0" applyNumberFormat="1" applyFont="1" applyFill="1" applyBorder="1" applyAlignment="1">
      <x:alignment vertical="top" wrapText="1"/>
    </x:xf>
    <x:xf numFmtId="0" fontId="29" fillId="44" borderId="25" xfId="0" applyNumberFormat="1" applyFont="1" applyFill="1" applyBorder="1" applyAlignment="1">
      <x:alignment vertical="top" wrapText="1"/>
    </x:xf>
    <x:xf numFmtId="0" fontId="29" fillId="54" borderId="19" xfId="0" applyNumberFormat="1" applyFont="1" applyFill="1" applyBorder="1" applyAlignment="1">
      <x:alignment vertical="top" wrapText="1"/>
    </x:xf>
    <x:xf numFmtId="0" fontId="29" fillId="54" borderId="20" xfId="0" applyNumberFormat="1" applyFont="1" applyFill="1" applyBorder="1" applyAlignment="1">
      <x:alignment vertical="top" wrapText="1"/>
    </x:xf>
    <x:xf numFmtId="0" fontId="29" fillId="54" borderId="22" xfId="0" applyNumberFormat="1" applyFont="1" applyFill="1" applyBorder="1" applyAlignment="1">
      <x:alignment vertical="top" wrapText="1"/>
    </x:xf>
    <x:xf numFmtId="0" fontId="29" fillId="54" borderId="23" xfId="0" applyNumberFormat="1" applyFont="1" applyFill="1" applyBorder="1" applyAlignment="1">
      <x:alignment vertical="top" wrapText="1"/>
    </x:xf>
    <x:xf numFmtId="0" fontId="29" fillId="54" borderId="25" xfId="0" applyNumberFormat="1" applyFont="1" applyFill="1" applyBorder="1" applyAlignment="1">
      <x:alignment vertical="top" wrapText="1"/>
    </x:xf>
    <x:xf numFmtId="0" fontId="29" fillId="54" borderId="26" xfId="0" applyNumberFormat="1" applyFont="1" applyFill="1" applyBorder="1" applyAlignment="1">
      <x:alignment vertical="top" wrapText="1"/>
    </x:xf>
    <x:xf numFmtId="164" fontId="29" fillId="44" borderId="19" xfId="0" applyNumberFormat="1" applyFont="1" applyFill="1" applyBorder="1" applyAlignment="1">
      <x:alignment vertical="top" wrapText="1"/>
    </x:xf>
    <x:xf numFmtId="164" fontId="29" fillId="44" borderId="22" xfId="0" applyNumberFormat="1" applyFont="1" applyFill="1" applyBorder="1" applyAlignment="1">
      <x:alignment vertical="top" wrapText="1"/>
    </x:xf>
    <x:xf numFmtId="164" fontId="29" fillId="44" borderId="25" xfId="0" applyNumberFormat="1" applyFont="1" applyFill="1" applyBorder="1" applyAlignment="1">
      <x:alignment vertical="top" wrapText="1"/>
    </x:xf>
    <x:xf numFmtId="200" fontId="29" fillId="44" borderId="19" xfId="0" applyNumberFormat="1" applyFont="1" applyFill="1" applyBorder="1" applyAlignment="1">
      <x:alignment vertical="top" wrapText="1"/>
    </x:xf>
    <x:xf numFmtId="200" fontId="29" fillId="44" borderId="22" xfId="0" applyNumberFormat="1" applyFont="1" applyFill="1" applyBorder="1" applyAlignment="1">
      <x:alignment vertical="top" wrapText="1"/>
    </x:xf>
    <x:xf numFmtId="200" fontId="29" fillId="44" borderId="25" xfId="0" applyNumberFormat="1" applyFont="1" applyFill="1" applyBorder="1" applyAlignment="1">
      <x:alignment vertical="top" wrapText="1"/>
    </x:xf>
    <x:xf numFmtId="0" fontId="0" fillId="55" borderId="0" xfId="0" applyNumberFormat="1" applyFont="1" applyFill="1" applyBorder="1"/>
    <x:xf numFmtId="0" fontId="30" fillId="55" borderId="0" xfId="0" applyNumberFormat="1" applyFont="1" applyFill="1" applyBorder="1"/>
    <x:xf numFmtId="0" fontId="30" fillId="55" borderId="0" xfId="0" applyNumberFormat="1" applyFont="1" applyFill="1" applyBorder="1" applyAlignment="1">
      <x:alignment wrapText="1"/>
    </x:xf>
    <x:xf numFmtId="0" fontId="30" fillId="55" borderId="0" xfId="0" applyNumberFormat="1" applyFont="1" applyFill="1" applyBorder="1" applyAlignment="1">
      <x:alignment vertical="center" wrapText="1"/>
    </x:xf>
    <x:xf numFmtId="200" fontId="29" fillId="46" borderId="19" xfId="0" applyNumberFormat="1" applyFont="1" applyFill="1" applyBorder="1" applyAlignment="1">
      <x:alignment vertical="top" wrapText="1"/>
    </x:xf>
    <x:xf numFmtId="200" fontId="29" fillId="46" borderId="22" xfId="0" applyNumberFormat="1" applyFont="1" applyFill="1" applyBorder="1" applyAlignment="1">
      <x:alignment vertical="top" wrapText="1"/>
    </x:xf>
    <x:xf numFmtId="200" fontId="29" fillId="46" borderId="25" xfId="0" applyNumberFormat="1" applyFont="1" applyFill="1" applyBorder="1" applyAlignment="1">
      <x:alignment vertical="top" wrapText="1"/>
    </x:xf>
    <x:xf numFmtId="0" fontId="0" fillId="56" borderId="0" xfId="0" applyNumberFormat="1" applyFont="1" applyFill="1" applyBorder="1"/>
    <x:xf numFmtId="0" fontId="23" fillId="56" borderId="0" xfId="0" applyNumberFormat="1" applyFont="1" applyFill="1" applyBorder="1"/>
    <x:xf numFmtId="0" fontId="23" fillId="56" borderId="0" xfId="0" applyNumberFormat="1" applyFont="1" applyFill="1" applyBorder="1" applyAlignment="1">
      <x:alignment vertical="center"/>
    </x:xf>
    <x:xf numFmtId="0" fontId="0" fillId="57" borderId="0" xfId="0" applyNumberFormat="1" applyFont="1" applyFill="1" applyBorder="1"/>
    <x:xf numFmtId="0" fontId="27" fillId="57" borderId="0" xfId="0" applyNumberFormat="1" applyFont="1" applyFill="1" applyBorder="1"/>
    <x:xf numFmtId="0" fontId="27" fillId="57" borderId="0" xfId="0" applyNumberFormat="1" applyFont="1" applyFill="1" applyBorder="1" applyAlignment="1">
      <x:alignment wrapText="1"/>
    </x:xf>
    <x:xf numFmtId="0" fontId="27" fillId="57" borderId="0" xfId="0" applyNumberFormat="1" applyFont="1" applyFill="1" applyBorder="1" applyAlignment="1">
      <x:alignment vertical="center" wrapText="1"/>
    </x:xf>
    <x:xf numFmtId="0" fontId="0" fillId="58" borderId="0" xfId="0" applyNumberFormat="1" applyFont="1" applyFill="1" applyBorder="1"/>
    <x:xf numFmtId="0" fontId="32" fillId="58" borderId="0" xfId="0" applyNumberFormat="1" applyFont="1" applyFill="1" applyBorder="1"/>
    <x:xf numFmtId="0" fontId="32" fillId="58" borderId="0" xfId="0" applyNumberFormat="1" applyFont="1" applyFill="1" applyBorder="1" applyAlignment="1">
      <x:alignment wrapText="1"/>
    </x:xf>
    <x:xf numFmtId="0" fontId="32" fillId="58" borderId="0" xfId="0" applyNumberFormat="1" applyFont="1" applyFill="1" applyBorder="1" applyAlignment="1">
      <x:alignment vertical="top" wrapText="1"/>
    </x:xf>
    <x:xf numFmtId="0" fontId="0" fillId="59" borderId="0" xfId="0" applyNumberFormat="1" applyFont="1" applyFill="1" applyBorder="1"/>
    <x:xf numFmtId="0" fontId="33" fillId="59" borderId="0" xfId="0" applyNumberFormat="1" applyFont="1" applyFill="1" applyBorder="1"/>
    <x:xf numFmtId="0" fontId="33" fillId="59" borderId="0" xfId="0" applyNumberFormat="1" applyFont="1" applyFill="1" applyBorder="1" applyAlignment="1">
      <x:alignment wrapText="1"/>
    </x:xf>
    <x:xf numFmtId="0" fontId="33" fillId="59" borderId="0" xfId="0" applyNumberFormat="1" applyFont="1" applyFill="1" applyBorder="1" applyAlignment="1">
      <x:alignment vertical="top" wrapText="1"/>
    </x:xf>
    <x:xf numFmtId="0" fontId="0" fillId="60" borderId="0" xfId="0" applyNumberFormat="1" applyFont="1" applyFill="1" applyBorder="1"/>
    <x:xf numFmtId="0" fontId="32" fillId="60" borderId="0" xfId="0" applyNumberFormat="1" applyFont="1" applyFill="1" applyBorder="1"/>
    <x:xf numFmtId="0" fontId="32" fillId="60" borderId="0" xfId="0" applyNumberFormat="1" applyFont="1" applyFill="1" applyBorder="1" applyAlignment="1">
      <x:alignment wrapText="1"/>
    </x:xf>
    <x:xf numFmtId="0" fontId="32" fillId="60" borderId="0" xfId="0" applyNumberFormat="1" applyFont="1" applyFill="1" applyBorder="1" applyAlignment="1">
      <x:alignment horizontal="center" wrapText="1"/>
    </x:xf>
    <x:xf numFmtId="0" fontId="32" fillId="60" borderId="0" xfId="0" applyNumberFormat="1" applyFont="1" applyFill="1" applyBorder="1" applyAlignment="1">
      <x:alignment horizontal="center" vertical="center" wrapText="1"/>
    </x:xf>
    <x:xf numFmtId="0" fontId="0" fillId="61" borderId="0" xfId="0" applyNumberFormat="1" applyFont="1" applyFill="1" applyBorder="1"/>
    <x:xf numFmtId="0" fontId="34" fillId="61" borderId="0" xfId="0" applyNumberFormat="1" applyFont="1" applyFill="1" applyBorder="1"/>
    <x:xf numFmtId="0" fontId="34" fillId="61" borderId="27" xfId="0" applyNumberFormat="1" applyFont="1" applyFill="1" applyBorder="1"/>
    <x:xf numFmtId="0" fontId="34" fillId="61" borderId="28" xfId="0" applyNumberFormat="1" applyFont="1" applyFill="1" applyBorder="1"/>
    <x:xf numFmtId="0" fontId="34" fillId="61" borderId="29" xfId="0" applyNumberFormat="1" applyFont="1" applyFill="1" applyBorder="1"/>
    <x:xf numFmtId="0" fontId="34" fillId="61" borderId="30" xfId="0" applyNumberFormat="1" applyFont="1" applyFill="1" applyBorder="1"/>
    <x:xf numFmtId="0" fontId="34" fillId="61" borderId="31" xfId="0" applyNumberFormat="1" applyFont="1" applyFill="1" applyBorder="1"/>
    <x:xf numFmtId="0" fontId="34" fillId="61" borderId="32" xfId="0" applyNumberFormat="1" applyFont="1" applyFill="1" applyBorder="1"/>
    <x:xf numFmtId="0" fontId="34" fillId="61" borderId="33" xfId="0" applyNumberFormat="1" applyFont="1" applyFill="1" applyBorder="1"/>
    <x:xf numFmtId="0" fontId="34" fillId="61" borderId="34" xfId="0" applyNumberFormat="1" applyFont="1" applyFill="1" applyBorder="1"/>
    <x:xf numFmtId="0" fontId="34" fillId="61" borderId="35" xfId="0" applyNumberFormat="1" applyFont="1" applyFill="1" applyBorder="1"/>
    <x:xf numFmtId="0" fontId="34" fillId="61" borderId="27" xfId="0" applyNumberFormat="1" applyFont="1" applyFill="1" applyBorder="1" applyAlignment="1">
      <x:alignment wrapText="1"/>
    </x:xf>
    <x:xf numFmtId="0" fontId="34" fillId="61" borderId="28" xfId="0" applyNumberFormat="1" applyFont="1" applyFill="1" applyBorder="1" applyAlignment="1">
      <x:alignment wrapText="1"/>
    </x:xf>
    <x:xf numFmtId="0" fontId="34" fillId="61" borderId="29" xfId="0" applyNumberFormat="1" applyFont="1" applyFill="1" applyBorder="1" applyAlignment="1">
      <x:alignment wrapText="1"/>
    </x:xf>
    <x:xf numFmtId="0" fontId="34" fillId="61" borderId="30" xfId="0" applyNumberFormat="1" applyFont="1" applyFill="1" applyBorder="1" applyAlignment="1">
      <x:alignment wrapText="1"/>
    </x:xf>
    <x:xf numFmtId="0" fontId="34" fillId="61" borderId="31" xfId="0" applyNumberFormat="1" applyFont="1" applyFill="1" applyBorder="1" applyAlignment="1">
      <x:alignment wrapText="1"/>
    </x:xf>
    <x:xf numFmtId="0" fontId="34" fillId="61" borderId="32" xfId="0" applyNumberFormat="1" applyFont="1" applyFill="1" applyBorder="1" applyAlignment="1">
      <x:alignment wrapText="1"/>
    </x:xf>
    <x:xf numFmtId="0" fontId="34" fillId="61" borderId="33" xfId="0" applyNumberFormat="1" applyFont="1" applyFill="1" applyBorder="1" applyAlignment="1">
      <x:alignment wrapText="1"/>
    </x:xf>
    <x:xf numFmtId="0" fontId="34" fillId="61" borderId="34" xfId="0" applyNumberFormat="1" applyFont="1" applyFill="1" applyBorder="1" applyAlignment="1">
      <x:alignment wrapText="1"/>
    </x:xf>
    <x:xf numFmtId="0" fontId="34" fillId="61" borderId="35" xfId="0" applyNumberFormat="1" applyFont="1" applyFill="1" applyBorder="1" applyAlignment="1">
      <x:alignment wrapText="1"/>
    </x:xf>
    <x:xf numFmtId="0" fontId="34" fillId="61" borderId="27" xfId="0" applyNumberFormat="1" applyFont="1" applyFill="1" applyBorder="1" applyAlignment="1">
      <x:alignment vertical="top" wrapText="1"/>
    </x:xf>
    <x:xf numFmtId="0" fontId="34" fillId="61" borderId="28" xfId="0" applyNumberFormat="1" applyFont="1" applyFill="1" applyBorder="1" applyAlignment="1">
      <x:alignment vertical="top" wrapText="1"/>
    </x:xf>
    <x:xf numFmtId="0" fontId="34" fillId="61" borderId="29" xfId="0" applyNumberFormat="1" applyFont="1" applyFill="1" applyBorder="1" applyAlignment="1">
      <x:alignment vertical="top" wrapText="1"/>
    </x:xf>
    <x:xf numFmtId="0" fontId="34" fillId="61" borderId="30" xfId="0" applyNumberFormat="1" applyFont="1" applyFill="1" applyBorder="1" applyAlignment="1">
      <x:alignment vertical="top" wrapText="1"/>
    </x:xf>
    <x:xf numFmtId="0" fontId="34" fillId="61" borderId="31" xfId="0" applyNumberFormat="1" applyFont="1" applyFill="1" applyBorder="1" applyAlignment="1">
      <x:alignment vertical="top" wrapText="1"/>
    </x:xf>
    <x:xf numFmtId="0" fontId="34" fillId="61" borderId="32" xfId="0" applyNumberFormat="1" applyFont="1" applyFill="1" applyBorder="1" applyAlignment="1">
      <x:alignment vertical="top" wrapText="1"/>
    </x:xf>
    <x:xf numFmtId="0" fontId="34" fillId="61" borderId="33" xfId="0" applyNumberFormat="1" applyFont="1" applyFill="1" applyBorder="1" applyAlignment="1">
      <x:alignment vertical="top" wrapText="1"/>
    </x:xf>
    <x:xf numFmtId="0" fontId="34" fillId="61" borderId="34" xfId="0" applyNumberFormat="1" applyFont="1" applyFill="1" applyBorder="1" applyAlignment="1">
      <x:alignment vertical="top" wrapText="1"/>
    </x:xf>
    <x:xf numFmtId="0" fontId="34" fillId="61" borderId="35" xfId="0" applyNumberFormat="1" applyFont="1" applyFill="1" applyBorder="1" applyAlignment="1">
      <x:alignment vertical="top" wrapText="1"/>
    </x:xf>
    <x:xf numFmtId="0" fontId="0" fillId="62" borderId="0" xfId="0" applyNumberFormat="1" applyFont="1" applyFill="1" applyBorder="1"/>
    <x:xf numFmtId="0" fontId="24" fillId="62" borderId="0" xfId="0" applyNumberFormat="1" applyFont="1" applyFill="1" applyBorder="1"/>
    <x:xf numFmtId="0" fontId="24" fillId="62" borderId="0" xfId="0" applyNumberFormat="1" applyFont="1" applyFill="1" applyBorder="1" applyAlignment="1">
      <x:alignment horizontal="center"/>
    </x:xf>
    <x:xf numFmtId="0" fontId="24" fillId="62" borderId="0" xfId="0" applyNumberFormat="1" applyFont="1" applyFill="1" applyBorder="1" applyAlignment="1">
      <x:alignment wrapText="1"/>
    </x:xf>
    <x:xf numFmtId="0" fontId="24" fillId="62" borderId="0" xfId="0" applyNumberFormat="1" applyFont="1" applyFill="1" applyBorder="1" applyAlignment="1">
      <x:alignment vertical="center" wrapText="1"/>
    </x:xf>
    <x:xf numFmtId="0" fontId="35" fillId="60" borderId="0" xfId="0" applyNumberFormat="1" applyFont="1" applyFill="1" applyBorder="1"/>
    <x:xf numFmtId="0" fontId="35" fillId="60" borderId="0" xfId="0" applyNumberFormat="1" applyFont="1" applyFill="1" applyBorder="1" applyAlignment="1">
      <x:alignment wrapText="1"/>
    </x:xf>
    <x:xf numFmtId="0" fontId="35" fillId="60" borderId="0" xfId="0" applyNumberFormat="1" applyFont="1" applyFill="1" applyBorder="1" applyAlignment="1">
      <x:alignment horizontal="center" wrapText="1"/>
    </x:xf>
    <x:xf numFmtId="0" fontId="35" fillId="60" borderId="0" xfId="0" applyNumberFormat="1" applyFont="1" applyFill="1" applyBorder="1" applyAlignment="1">
      <x:alignment horizontal="center" vertical="center" wrapText="1"/>
    </x:xf>
    <x:xf numFmtId="0" fontId="36" fillId="61" borderId="0" xfId="0" applyNumberFormat="1" applyFont="1" applyFill="1" applyBorder="1"/>
    <x:xf numFmtId="0" fontId="36" fillId="61" borderId="27" xfId="0" applyNumberFormat="1" applyFont="1" applyFill="1" applyBorder="1"/>
    <x:xf numFmtId="0" fontId="36" fillId="61" borderId="28" xfId="0" applyNumberFormat="1" applyFont="1" applyFill="1" applyBorder="1"/>
    <x:xf numFmtId="0" fontId="36" fillId="61" borderId="29" xfId="0" applyNumberFormat="1" applyFont="1" applyFill="1" applyBorder="1"/>
    <x:xf numFmtId="0" fontId="36" fillId="61" borderId="30" xfId="0" applyNumberFormat="1" applyFont="1" applyFill="1" applyBorder="1"/>
    <x:xf numFmtId="0" fontId="36" fillId="61" borderId="31" xfId="0" applyNumberFormat="1" applyFont="1" applyFill="1" applyBorder="1"/>
    <x:xf numFmtId="0" fontId="36" fillId="61" borderId="32" xfId="0" applyNumberFormat="1" applyFont="1" applyFill="1" applyBorder="1"/>
    <x:xf numFmtId="0" fontId="36" fillId="61" borderId="33" xfId="0" applyNumberFormat="1" applyFont="1" applyFill="1" applyBorder="1"/>
    <x:xf numFmtId="0" fontId="36" fillId="61" borderId="34" xfId="0" applyNumberFormat="1" applyFont="1" applyFill="1" applyBorder="1"/>
    <x:xf numFmtId="0" fontId="36" fillId="61" borderId="35" xfId="0" applyNumberFormat="1" applyFont="1" applyFill="1" applyBorder="1"/>
    <x:xf numFmtId="0" fontId="36" fillId="61" borderId="27" xfId="0" applyNumberFormat="1" applyFont="1" applyFill="1" applyBorder="1" applyAlignment="1">
      <x:alignment wrapText="1"/>
    </x:xf>
    <x:xf numFmtId="0" fontId="36" fillId="61" borderId="28" xfId="0" applyNumberFormat="1" applyFont="1" applyFill="1" applyBorder="1" applyAlignment="1">
      <x:alignment wrapText="1"/>
    </x:xf>
    <x:xf numFmtId="0" fontId="36" fillId="61" borderId="29" xfId="0" applyNumberFormat="1" applyFont="1" applyFill="1" applyBorder="1" applyAlignment="1">
      <x:alignment wrapText="1"/>
    </x:xf>
    <x:xf numFmtId="0" fontId="36" fillId="61" borderId="30" xfId="0" applyNumberFormat="1" applyFont="1" applyFill="1" applyBorder="1" applyAlignment="1">
      <x:alignment wrapText="1"/>
    </x:xf>
    <x:xf numFmtId="0" fontId="36" fillId="61" borderId="31" xfId="0" applyNumberFormat="1" applyFont="1" applyFill="1" applyBorder="1" applyAlignment="1">
      <x:alignment wrapText="1"/>
    </x:xf>
    <x:xf numFmtId="0" fontId="36" fillId="61" borderId="32" xfId="0" applyNumberFormat="1" applyFont="1" applyFill="1" applyBorder="1" applyAlignment="1">
      <x:alignment wrapText="1"/>
    </x:xf>
    <x:xf numFmtId="0" fontId="36" fillId="61" borderId="33" xfId="0" applyNumberFormat="1" applyFont="1" applyFill="1" applyBorder="1" applyAlignment="1">
      <x:alignment wrapText="1"/>
    </x:xf>
    <x:xf numFmtId="0" fontId="36" fillId="61" borderId="34" xfId="0" applyNumberFormat="1" applyFont="1" applyFill="1" applyBorder="1" applyAlignment="1">
      <x:alignment wrapText="1"/>
    </x:xf>
    <x:xf numFmtId="0" fontId="36" fillId="61" borderId="35" xfId="0" applyNumberFormat="1" applyFont="1" applyFill="1" applyBorder="1" applyAlignment="1">
      <x:alignment wrapText="1"/>
    </x:xf>
    <x:xf numFmtId="0" fontId="36" fillId="61" borderId="27" xfId="0" applyNumberFormat="1" applyFont="1" applyFill="1" applyBorder="1" applyAlignment="1">
      <x:alignment vertical="top" wrapText="1"/>
    </x:xf>
    <x:xf numFmtId="0" fontId="36" fillId="61" borderId="28" xfId="0" applyNumberFormat="1" applyFont="1" applyFill="1" applyBorder="1" applyAlignment="1">
      <x:alignment vertical="top" wrapText="1"/>
    </x:xf>
    <x:xf numFmtId="0" fontId="36" fillId="61" borderId="29" xfId="0" applyNumberFormat="1" applyFont="1" applyFill="1" applyBorder="1" applyAlignment="1">
      <x:alignment vertical="top" wrapText="1"/>
    </x:xf>
    <x:xf numFmtId="0" fontId="36" fillId="61" borderId="30" xfId="0" applyNumberFormat="1" applyFont="1" applyFill="1" applyBorder="1" applyAlignment="1">
      <x:alignment vertical="top" wrapText="1"/>
    </x:xf>
    <x:xf numFmtId="0" fontId="36" fillId="61" borderId="31" xfId="0" applyNumberFormat="1" applyFont="1" applyFill="1" applyBorder="1" applyAlignment="1">
      <x:alignment vertical="top" wrapText="1"/>
    </x:xf>
    <x:xf numFmtId="0" fontId="36" fillId="61" borderId="32" xfId="0" applyNumberFormat="1" applyFont="1" applyFill="1" applyBorder="1" applyAlignment="1">
      <x:alignment vertical="top" wrapText="1"/>
    </x:xf>
    <x:xf numFmtId="0" fontId="36" fillId="61" borderId="33" xfId="0" applyNumberFormat="1" applyFont="1" applyFill="1" applyBorder="1" applyAlignment="1">
      <x:alignment vertical="top" wrapText="1"/>
    </x:xf>
    <x:xf numFmtId="0" fontId="36" fillId="61" borderId="34" xfId="0" applyNumberFormat="1" applyFont="1" applyFill="1" applyBorder="1" applyAlignment="1">
      <x:alignment vertical="top" wrapText="1"/>
    </x:xf>
    <x:xf numFmtId="0" fontId="36" fillId="61" borderId="35" xfId="0" applyNumberFormat="1" applyFont="1" applyFill="1" applyBorder="1" applyAlignment="1">
      <x:alignment vertical="top" wrapText="1"/>
    </x:xf>
    <x:xf numFmtId="0" fontId="36" fillId="59" borderId="27" xfId="0" applyNumberFormat="1" applyFont="1" applyFill="1" applyBorder="1" applyAlignment="1">
      <x:alignment vertical="top" wrapText="1"/>
    </x:xf>
    <x:xf numFmtId="0" fontId="36" fillId="59" borderId="28" xfId="0" applyNumberFormat="1" applyFont="1" applyFill="1" applyBorder="1" applyAlignment="1">
      <x:alignment vertical="top" wrapText="1"/>
    </x:xf>
    <x:xf numFmtId="0" fontId="36" fillId="59" borderId="30" xfId="0" applyNumberFormat="1" applyFont="1" applyFill="1" applyBorder="1" applyAlignment="1">
      <x:alignment vertical="top" wrapText="1"/>
    </x:xf>
    <x:xf numFmtId="0" fontId="36" fillId="59" borderId="31" xfId="0" applyNumberFormat="1" applyFont="1" applyFill="1" applyBorder="1" applyAlignment="1">
      <x:alignment vertical="top" wrapText="1"/>
    </x:xf>
    <x:xf numFmtId="0" fontId="36" fillId="59" borderId="33" xfId="0" applyNumberFormat="1" applyFont="1" applyFill="1" applyBorder="1" applyAlignment="1">
      <x:alignment vertical="top" wrapText="1"/>
    </x:xf>
    <x:xf numFmtId="0" fontId="36" fillId="59" borderId="34" xfId="0" applyNumberFormat="1" applyFont="1" applyFill="1" applyBorder="1" applyAlignment="1">
      <x:alignment vertical="top" wrapText="1"/>
    </x:xf>
    <x:xf numFmtId="0" fontId="37" fillId="59" borderId="27" xfId="0" applyNumberFormat="1" applyFont="1" applyFill="1" applyBorder="1" applyAlignment="1">
      <x:alignment vertical="top" wrapText="1"/>
    </x:xf>
    <x:xf numFmtId="0" fontId="37" fillId="59" borderId="28" xfId="0" applyNumberFormat="1" applyFont="1" applyFill="1" applyBorder="1" applyAlignment="1">
      <x:alignment vertical="top" wrapText="1"/>
    </x:xf>
    <x:xf numFmtId="0" fontId="37" fillId="59" borderId="30" xfId="0" applyNumberFormat="1" applyFont="1" applyFill="1" applyBorder="1" applyAlignment="1">
      <x:alignment vertical="top" wrapText="1"/>
    </x:xf>
    <x:xf numFmtId="0" fontId="37" fillId="59" borderId="31" xfId="0" applyNumberFormat="1" applyFont="1" applyFill="1" applyBorder="1" applyAlignment="1">
      <x:alignment vertical="top" wrapText="1"/>
    </x:xf>
    <x:xf numFmtId="0" fontId="37" fillId="59" borderId="33" xfId="0" applyNumberFormat="1" applyFont="1" applyFill="1" applyBorder="1" applyAlignment="1">
      <x:alignment vertical="top" wrapText="1"/>
    </x:xf>
    <x:xf numFmtId="0" fontId="37" fillId="59" borderId="34" xfId="0" applyNumberFormat="1" applyFont="1" applyFill="1" applyBorder="1" applyAlignment="1">
      <x:alignment vertical="top" wrapText="1"/>
    </x:xf>
    <x:xf numFmtId="0" fontId="37" fillId="59" borderId="27" xfId="0" applyNumberFormat="1" applyFont="1" applyFill="1" applyBorder="1" applyAlignment="1">
      <x:alignment vertical="center" wrapText="1"/>
    </x:xf>
    <x:xf numFmtId="0" fontId="37" fillId="59" borderId="28" xfId="0" applyNumberFormat="1" applyFont="1" applyFill="1" applyBorder="1" applyAlignment="1">
      <x:alignment vertical="center" wrapText="1"/>
    </x:xf>
    <x:xf numFmtId="0" fontId="37" fillId="59" borderId="30" xfId="0" applyNumberFormat="1" applyFont="1" applyFill="1" applyBorder="1" applyAlignment="1">
      <x:alignment vertical="center" wrapText="1"/>
    </x:xf>
    <x:xf numFmtId="0" fontId="37" fillId="59" borderId="31" xfId="0" applyNumberFormat="1" applyFont="1" applyFill="1" applyBorder="1" applyAlignment="1">
      <x:alignment vertical="center" wrapText="1"/>
    </x:xf>
    <x:xf numFmtId="0" fontId="37" fillId="59" borderId="33" xfId="0" applyNumberFormat="1" applyFont="1" applyFill="1" applyBorder="1" applyAlignment="1">
      <x:alignment vertical="center" wrapText="1"/>
    </x:xf>
    <x:xf numFmtId="0" fontId="37" fillId="59" borderId="34" xfId="0" applyNumberFormat="1" applyFont="1" applyFill="1" applyBorder="1" applyAlignment="1">
      <x:alignment vertical="center" wrapText="1"/>
    </x:xf>
    <x:xf numFmtId="164" fontId="36" fillId="61" borderId="28" xfId="0" applyNumberFormat="1" applyFont="1" applyFill="1" applyBorder="1" applyAlignment="1">
      <x:alignment vertical="top" wrapText="1"/>
    </x:xf>
    <x:xf numFmtId="164" fontId="36" fillId="61" borderId="31" xfId="0" applyNumberFormat="1" applyFont="1" applyFill="1" applyBorder="1" applyAlignment="1">
      <x:alignment vertical="top" wrapText="1"/>
    </x:xf>
    <x:xf numFmtId="164" fontId="36" fillId="61" borderId="34" xfId="0" applyNumberFormat="1" applyFont="1" applyFill="1" applyBorder="1" applyAlignment="1">
      <x:alignment vertical="top" wrapText="1"/>
    </x:xf>
    <x:xf numFmtId="0" fontId="0" fillId="63" borderId="0" xfId="0" applyNumberFormat="1" applyFont="1" applyFill="1" applyBorder="1"/>
    <x:xf numFmtId="0" fontId="26" fillId="63" borderId="0" xfId="0" applyNumberFormat="1" applyFont="1" applyFill="1" applyBorder="1"/>
    <x:xf numFmtId="0" fontId="26" fillId="63" borderId="0" xfId="0" applyNumberFormat="1" applyFont="1" applyFill="1" applyBorder="1" applyAlignment="1">
      <x:alignment wrapText="1"/>
    </x:xf>
    <x:xf numFmtId="0" fontId="26" fillId="63" borderId="0" xfId="0" applyNumberFormat="1" applyFont="1" applyFill="1" applyBorder="1" applyAlignment="1">
      <x:alignment vertical="center" wrapText="1"/>
    </x:xf>
    <x:xf numFmtId="0" fontId="29" fillId="61" borderId="0" xfId="0" applyNumberFormat="1" applyFont="1" applyFill="1" applyBorder="1"/>
    <x:xf numFmtId="0" fontId="29" fillId="61" borderId="27" xfId="0" applyNumberFormat="1" applyFont="1" applyFill="1" applyBorder="1"/>
    <x:xf numFmtId="0" fontId="29" fillId="61" borderId="28" xfId="0" applyNumberFormat="1" applyFont="1" applyFill="1" applyBorder="1"/>
    <x:xf numFmtId="0" fontId="29" fillId="61" borderId="29" xfId="0" applyNumberFormat="1" applyFont="1" applyFill="1" applyBorder="1"/>
    <x:xf numFmtId="0" fontId="29" fillId="61" borderId="30" xfId="0" applyNumberFormat="1" applyFont="1" applyFill="1" applyBorder="1"/>
    <x:xf numFmtId="0" fontId="29" fillId="61" borderId="31" xfId="0" applyNumberFormat="1" applyFont="1" applyFill="1" applyBorder="1"/>
    <x:xf numFmtId="0" fontId="29" fillId="61" borderId="32" xfId="0" applyNumberFormat="1" applyFont="1" applyFill="1" applyBorder="1"/>
    <x:xf numFmtId="0" fontId="29" fillId="61" borderId="33" xfId="0" applyNumberFormat="1" applyFont="1" applyFill="1" applyBorder="1"/>
    <x:xf numFmtId="0" fontId="29" fillId="61" borderId="34" xfId="0" applyNumberFormat="1" applyFont="1" applyFill="1" applyBorder="1"/>
    <x:xf numFmtId="0" fontId="29" fillId="61" borderId="35" xfId="0" applyNumberFormat="1" applyFont="1" applyFill="1" applyBorder="1"/>
    <x:xf numFmtId="0" fontId="29" fillId="61" borderId="27" xfId="0" applyNumberFormat="1" applyFont="1" applyFill="1" applyBorder="1" applyAlignment="1">
      <x:alignment wrapText="1"/>
    </x:xf>
    <x:xf numFmtId="0" fontId="29" fillId="61" borderId="28" xfId="0" applyNumberFormat="1" applyFont="1" applyFill="1" applyBorder="1" applyAlignment="1">
      <x:alignment wrapText="1"/>
    </x:xf>
    <x:xf numFmtId="0" fontId="29" fillId="61" borderId="29" xfId="0" applyNumberFormat="1" applyFont="1" applyFill="1" applyBorder="1" applyAlignment="1">
      <x:alignment wrapText="1"/>
    </x:xf>
    <x:xf numFmtId="0" fontId="29" fillId="61" borderId="30" xfId="0" applyNumberFormat="1" applyFont="1" applyFill="1" applyBorder="1" applyAlignment="1">
      <x:alignment wrapText="1"/>
    </x:xf>
    <x:xf numFmtId="0" fontId="29" fillId="61" borderId="31" xfId="0" applyNumberFormat="1" applyFont="1" applyFill="1" applyBorder="1" applyAlignment="1">
      <x:alignment wrapText="1"/>
    </x:xf>
    <x:xf numFmtId="0" fontId="29" fillId="61" borderId="32" xfId="0" applyNumberFormat="1" applyFont="1" applyFill="1" applyBorder="1" applyAlignment="1">
      <x:alignment wrapText="1"/>
    </x:xf>
    <x:xf numFmtId="0" fontId="29" fillId="61" borderId="33" xfId="0" applyNumberFormat="1" applyFont="1" applyFill="1" applyBorder="1" applyAlignment="1">
      <x:alignment wrapText="1"/>
    </x:xf>
    <x:xf numFmtId="0" fontId="29" fillId="61" borderId="34" xfId="0" applyNumberFormat="1" applyFont="1" applyFill="1" applyBorder="1" applyAlignment="1">
      <x:alignment wrapText="1"/>
    </x:xf>
    <x:xf numFmtId="0" fontId="29" fillId="61" borderId="35" xfId="0" applyNumberFormat="1" applyFont="1" applyFill="1" applyBorder="1" applyAlignment="1">
      <x:alignment wrapText="1"/>
    </x:xf>
    <x:xf numFmtId="0" fontId="29" fillId="61" borderId="27" xfId="0" applyNumberFormat="1" applyFont="1" applyFill="1" applyBorder="1" applyAlignment="1">
      <x:alignment vertical="top" wrapText="1"/>
    </x:xf>
    <x:xf numFmtId="0" fontId="29" fillId="61" borderId="28" xfId="0" applyNumberFormat="1" applyFont="1" applyFill="1" applyBorder="1" applyAlignment="1">
      <x:alignment vertical="top" wrapText="1"/>
    </x:xf>
    <x:xf numFmtId="0" fontId="29" fillId="61" borderId="29" xfId="0" applyNumberFormat="1" applyFont="1" applyFill="1" applyBorder="1" applyAlignment="1">
      <x:alignment vertical="top" wrapText="1"/>
    </x:xf>
    <x:xf numFmtId="0" fontId="29" fillId="61" borderId="30" xfId="0" applyNumberFormat="1" applyFont="1" applyFill="1" applyBorder="1" applyAlignment="1">
      <x:alignment vertical="top" wrapText="1"/>
    </x:xf>
    <x:xf numFmtId="0" fontId="29" fillId="61" borderId="31" xfId="0" applyNumberFormat="1" applyFont="1" applyFill="1" applyBorder="1" applyAlignment="1">
      <x:alignment vertical="top" wrapText="1"/>
    </x:xf>
    <x:xf numFmtId="0" fontId="29" fillId="61" borderId="32" xfId="0" applyNumberFormat="1" applyFont="1" applyFill="1" applyBorder="1" applyAlignment="1">
      <x:alignment vertical="top" wrapText="1"/>
    </x:xf>
    <x:xf numFmtId="0" fontId="29" fillId="61" borderId="33" xfId="0" applyNumberFormat="1" applyFont="1" applyFill="1" applyBorder="1" applyAlignment="1">
      <x:alignment vertical="top" wrapText="1"/>
    </x:xf>
    <x:xf numFmtId="0" fontId="29" fillId="61" borderId="34" xfId="0" applyNumberFormat="1" applyFont="1" applyFill="1" applyBorder="1" applyAlignment="1">
      <x:alignment vertical="top" wrapText="1"/>
    </x:xf>
    <x:xf numFmtId="0" fontId="29" fillId="61" borderId="35" xfId="0" applyNumberFormat="1" applyFont="1" applyFill="1" applyBorder="1" applyAlignment="1">
      <x:alignment vertical="top" wrapText="1"/>
    </x:xf>
    <x:xf numFmtId="0" fontId="29" fillId="59" borderId="27" xfId="0" applyNumberFormat="1" applyFont="1" applyFill="1" applyBorder="1" applyAlignment="1">
      <x:alignment vertical="top" wrapText="1"/>
    </x:xf>
    <x:xf numFmtId="0" fontId="29" fillId="59" borderId="30" xfId="0" applyNumberFormat="1" applyFont="1" applyFill="1" applyBorder="1" applyAlignment="1">
      <x:alignment vertical="top" wrapText="1"/>
    </x:xf>
    <x:xf numFmtId="0" fontId="29" fillId="59" borderId="33" xfId="0" applyNumberFormat="1" applyFont="1" applyFill="1" applyBorder="1" applyAlignment="1">
      <x:alignment vertical="top" wrapText="1"/>
    </x:xf>
    <x:xf numFmtId="0" fontId="38" fillId="59" borderId="27" xfId="0" applyNumberFormat="1" applyFont="1" applyFill="1" applyBorder="1" applyAlignment="1">
      <x:alignment vertical="top" wrapText="1"/>
    </x:xf>
    <x:xf numFmtId="0" fontId="38" fillId="59" borderId="30" xfId="0" applyNumberFormat="1" applyFont="1" applyFill="1" applyBorder="1" applyAlignment="1">
      <x:alignment vertical="top" wrapText="1"/>
    </x:xf>
    <x:xf numFmtId="0" fontId="38" fillId="59" borderId="33" xfId="0" applyNumberFormat="1" applyFont="1" applyFill="1" applyBorder="1" applyAlignment="1">
      <x:alignment vertical="top" wrapText="1"/>
    </x:xf>
    <x:xf numFmtId="0" fontId="24" fillId="62" borderId="0" xfId="0" applyNumberFormat="1" applyFont="1" applyFill="1" applyBorder="1" applyAlignment="1">
      <x:alignment vertical="center"/>
    </x:xf>
    <x:xf numFmtId="0" fontId="0" fillId="64" borderId="0" xfId="0" applyNumberFormat="1" applyFont="1" applyFill="1" applyBorder="1"/>
    <x:xf numFmtId="0" fontId="25" fillId="64" borderId="0" xfId="0" applyNumberFormat="1" applyFont="1" applyFill="1" applyBorder="1"/>
    <x:xf numFmtId="0" fontId="25" fillId="64" borderId="0" xfId="0" applyNumberFormat="1" applyFont="1" applyFill="1" applyBorder="1" applyAlignment="1">
      <x:alignment wrapText="1"/>
    </x:xf>
    <x:xf numFmtId="0" fontId="25" fillId="64" borderId="0" xfId="0" applyNumberFormat="1" applyFont="1" applyFill="1" applyBorder="1" applyAlignment="1">
      <x:alignment vertical="center" wrapText="1"/>
    </x:xf>
    <x:xf numFmtId="0" fontId="0" fillId="65" borderId="0" xfId="0" applyNumberFormat="1" applyFont="1" applyFill="1" applyBorder="1"/>
    <x:xf numFmtId="0" fontId="28" fillId="65" borderId="0" xfId="0" applyNumberFormat="1" applyFont="1" applyFill="1" applyBorder="1"/>
    <x:xf numFmtId="0" fontId="28" fillId="65" borderId="0" xfId="0" applyNumberFormat="1" applyFont="1" applyFill="1" applyBorder="1" applyAlignment="1">
      <x:alignment horizontal="center"/>
    </x:xf>
    <x:xf numFmtId="0" fontId="28" fillId="65" borderId="0" xfId="0" applyNumberFormat="1" applyFont="1" applyFill="1" applyBorder="1" applyAlignment="1">
      <x:alignment horizontal="center" vertical="center"/>
    </x:xf>
    <x:xf numFmtId="0" fontId="0" fillId="66" borderId="0" xfId="0" applyNumberFormat="1" applyFont="1" applyFill="1" applyBorder="1"/>
    <x:xf numFmtId="0" fontId="28" fillId="66" borderId="0" xfId="0" applyNumberFormat="1" applyFont="1" applyFill="1" applyBorder="1"/>
    <x:xf numFmtId="0" fontId="28" fillId="66" borderId="0" xfId="0" applyNumberFormat="1" applyFont="1" applyFill="1" applyBorder="1" applyAlignment="1">
      <x:alignment horizontal="center"/>
    </x:xf>
    <x:xf numFmtId="0" fontId="28" fillId="66" borderId="0" xfId="0" applyNumberFormat="1" applyFont="1" applyFill="1" applyBorder="1" applyAlignment="1">
      <x:alignment horizontal="center" vertical="center"/>
    </x:xf>
    <x:xf numFmtId="0" fontId="0" fillId="67" borderId="0" xfId="0" applyNumberFormat="1" applyFont="1" applyFill="1" applyBorder="1"/>
    <x:xf numFmtId="0" fontId="28" fillId="67" borderId="0" xfId="0" applyNumberFormat="1" applyFont="1" applyFill="1" applyBorder="1"/>
    <x:xf numFmtId="0" fontId="28" fillId="67" borderId="0" xfId="0" applyNumberFormat="1" applyFont="1" applyFill="1" applyBorder="1" applyAlignment="1">
      <x:alignment horizontal="center"/>
    </x:xf>
    <x:xf numFmtId="0" fontId="28" fillId="67" borderId="0" xfId="0" applyNumberFormat="1" applyFont="1" applyFill="1" applyBorder="1" applyAlignment="1">
      <x:alignment horizontal="center" vertical="center"/>
    </x:xf>
    <x:xf numFmtId="0" fontId="0" fillId="68" borderId="0" xfId="0" applyNumberFormat="1" applyFont="1" applyFill="1" applyBorder="1"/>
    <x:xf numFmtId="0" fontId="28" fillId="68" borderId="0" xfId="0" applyNumberFormat="1" applyFont="1" applyFill="1" applyBorder="1"/>
    <x:xf numFmtId="0" fontId="28" fillId="68" borderId="0" xfId="0" applyNumberFormat="1" applyFont="1" applyFill="1" applyBorder="1" applyAlignment="1">
      <x:alignment horizontal="center"/>
    </x:xf>
    <x:xf numFmtId="0" fontId="28" fillId="68" borderId="0" xfId="0" applyNumberFormat="1" applyFont="1" applyFill="1" applyBorder="1" applyAlignment="1">
      <x:alignment horizontal="center" vertical="center"/>
    </x:xf>
    <x:xf numFmtId="0" fontId="28" fillId="60" borderId="0" xfId="0" applyNumberFormat="1" applyFont="1" applyFill="1" applyBorder="1"/>
    <x:xf numFmtId="0" fontId="28" fillId="60" borderId="15" xfId="0" applyNumberFormat="1" applyFont="1" applyFill="1" applyBorder="1"/>
    <x:xf numFmtId="0" fontId="28" fillId="60" borderId="16" xfId="0" applyNumberFormat="1" applyFont="1" applyFill="1" applyBorder="1"/>
    <x:xf numFmtId="0" fontId="28" fillId="60" borderId="17" xfId="0" applyNumberFormat="1" applyFont="1" applyFill="1" applyBorder="1"/>
    <x:xf numFmtId="0" fontId="28" fillId="60" borderId="15" xfId="0" applyNumberFormat="1" applyFont="1" applyFill="1" applyBorder="1" applyAlignment="1">
      <x:alignment wrapText="1"/>
    </x:xf>
    <x:xf numFmtId="0" fontId="28" fillId="60" borderId="16" xfId="0" applyNumberFormat="1" applyFont="1" applyFill="1" applyBorder="1" applyAlignment="1">
      <x:alignment wrapText="1"/>
    </x:xf>
    <x:xf numFmtId="0" fontId="28" fillId="60" borderId="17" xfId="0" applyNumberFormat="1" applyFont="1" applyFill="1" applyBorder="1" applyAlignment="1">
      <x:alignment wrapText="1"/>
    </x:xf>
    <x:xf numFmtId="0" fontId="28" fillId="60" borderId="15" xfId="0" applyNumberFormat="1" applyFont="1" applyFill="1" applyBorder="1" applyAlignment="1">
      <x:alignment horizontal="center" wrapText="1"/>
    </x:xf>
    <x:xf numFmtId="0" fontId="28" fillId="60" borderId="16" xfId="0" applyNumberFormat="1" applyFont="1" applyFill="1" applyBorder="1" applyAlignment="1">
      <x:alignment horizontal="center" wrapText="1"/>
    </x:xf>
    <x:xf numFmtId="0" fontId="28" fillId="60" borderId="17" xfId="0" applyNumberFormat="1" applyFont="1" applyFill="1" applyBorder="1" applyAlignment="1">
      <x:alignment horizontal="center" wrapText="1"/>
    </x:xf>
    <x:xf numFmtId="0" fontId="28" fillId="60" borderId="15" xfId="0" applyNumberFormat="1" applyFont="1" applyFill="1" applyBorder="1" applyAlignment="1">
      <x:alignment horizontal="center" vertical="center" wrapText="1"/>
    </x:xf>
    <x:xf numFmtId="0" fontId="28" fillId="60" borderId="16" xfId="0" applyNumberFormat="1" applyFont="1" applyFill="1" applyBorder="1" applyAlignment="1">
      <x:alignment horizontal="center" vertical="center" wrapText="1"/>
    </x:xf>
    <x:xf numFmtId="0" fontId="28" fillId="60" borderId="17" xfId="0" applyNumberFormat="1" applyFont="1" applyFill="1" applyBorder="1" applyAlignment="1">
      <x:alignment horizontal="center" vertical="center" wrapText="1"/>
    </x:xf>
    <x:xf numFmtId="0" fontId="29" fillId="61" borderId="18" xfId="0" applyNumberFormat="1" applyFont="1" applyFill="1" applyBorder="1"/>
    <x:xf numFmtId="0" fontId="29" fillId="61" borderId="19" xfId="0" applyNumberFormat="1" applyFont="1" applyFill="1" applyBorder="1"/>
    <x:xf numFmtId="0" fontId="29" fillId="61" borderId="20" xfId="0" applyNumberFormat="1" applyFont="1" applyFill="1" applyBorder="1"/>
    <x:xf numFmtId="0" fontId="29" fillId="61" borderId="21" xfId="0" applyNumberFormat="1" applyFont="1" applyFill="1" applyBorder="1"/>
    <x:xf numFmtId="0" fontId="29" fillId="61" borderId="22" xfId="0" applyNumberFormat="1" applyFont="1" applyFill="1" applyBorder="1"/>
    <x:xf numFmtId="0" fontId="29" fillId="61" borderId="23" xfId="0" applyNumberFormat="1" applyFont="1" applyFill="1" applyBorder="1"/>
    <x:xf numFmtId="0" fontId="29" fillId="61" borderId="24" xfId="0" applyNumberFormat="1" applyFont="1" applyFill="1" applyBorder="1"/>
    <x:xf numFmtId="0" fontId="29" fillId="61" borderId="25" xfId="0" applyNumberFormat="1" applyFont="1" applyFill="1" applyBorder="1"/>
    <x:xf numFmtId="0" fontId="29" fillId="61" borderId="26" xfId="0" applyNumberFormat="1" applyFont="1" applyFill="1" applyBorder="1"/>
    <x:xf numFmtId="0" fontId="29" fillId="61" borderId="18" xfId="0" applyNumberFormat="1" applyFont="1" applyFill="1" applyBorder="1" applyAlignment="1">
      <x:alignment wrapText="1"/>
    </x:xf>
    <x:xf numFmtId="0" fontId="29" fillId="61" borderId="19" xfId="0" applyNumberFormat="1" applyFont="1" applyFill="1" applyBorder="1" applyAlignment="1">
      <x:alignment wrapText="1"/>
    </x:xf>
    <x:xf numFmtId="0" fontId="29" fillId="61" borderId="20" xfId="0" applyNumberFormat="1" applyFont="1" applyFill="1" applyBorder="1" applyAlignment="1">
      <x:alignment wrapText="1"/>
    </x:xf>
    <x:xf numFmtId="0" fontId="29" fillId="61" borderId="21" xfId="0" applyNumberFormat="1" applyFont="1" applyFill="1" applyBorder="1" applyAlignment="1">
      <x:alignment wrapText="1"/>
    </x:xf>
    <x:xf numFmtId="0" fontId="29" fillId="61" borderId="22" xfId="0" applyNumberFormat="1" applyFont="1" applyFill="1" applyBorder="1" applyAlignment="1">
      <x:alignment wrapText="1"/>
    </x:xf>
    <x:xf numFmtId="0" fontId="29" fillId="61" borderId="23" xfId="0" applyNumberFormat="1" applyFont="1" applyFill="1" applyBorder="1" applyAlignment="1">
      <x:alignment wrapText="1"/>
    </x:xf>
    <x:xf numFmtId="0" fontId="29" fillId="61" borderId="24" xfId="0" applyNumberFormat="1" applyFont="1" applyFill="1" applyBorder="1" applyAlignment="1">
      <x:alignment wrapText="1"/>
    </x:xf>
    <x:xf numFmtId="0" fontId="29" fillId="61" borderId="25" xfId="0" applyNumberFormat="1" applyFont="1" applyFill="1" applyBorder="1" applyAlignment="1">
      <x:alignment wrapText="1"/>
    </x:xf>
    <x:xf numFmtId="0" fontId="29" fillId="61" borderId="26" xfId="0" applyNumberFormat="1" applyFont="1" applyFill="1" applyBorder="1" applyAlignment="1">
      <x:alignment wrapText="1"/>
    </x:xf>
    <x:xf numFmtId="0" fontId="29" fillId="61" borderId="18" xfId="0" applyNumberFormat="1" applyFont="1" applyFill="1" applyBorder="1" applyAlignment="1">
      <x:alignment vertical="top" wrapText="1"/>
    </x:xf>
    <x:xf numFmtId="0" fontId="29" fillId="61" borderId="19" xfId="0" applyNumberFormat="1" applyFont="1" applyFill="1" applyBorder="1" applyAlignment="1">
      <x:alignment vertical="top" wrapText="1"/>
    </x:xf>
    <x:xf numFmtId="0" fontId="29" fillId="61" borderId="20" xfId="0" applyNumberFormat="1" applyFont="1" applyFill="1" applyBorder="1" applyAlignment="1">
      <x:alignment vertical="top" wrapText="1"/>
    </x:xf>
    <x:xf numFmtId="0" fontId="29" fillId="61" borderId="21" xfId="0" applyNumberFormat="1" applyFont="1" applyFill="1" applyBorder="1" applyAlignment="1">
      <x:alignment vertical="top" wrapText="1"/>
    </x:xf>
    <x:xf numFmtId="0" fontId="29" fillId="61" borderId="22" xfId="0" applyNumberFormat="1" applyFont="1" applyFill="1" applyBorder="1" applyAlignment="1">
      <x:alignment vertical="top" wrapText="1"/>
    </x:xf>
    <x:xf numFmtId="0" fontId="29" fillId="61" borderId="23" xfId="0" applyNumberFormat="1" applyFont="1" applyFill="1" applyBorder="1" applyAlignment="1">
      <x:alignment vertical="top" wrapText="1"/>
    </x:xf>
    <x:xf numFmtId="0" fontId="29" fillId="61" borderId="24" xfId="0" applyNumberFormat="1" applyFont="1" applyFill="1" applyBorder="1" applyAlignment="1">
      <x:alignment vertical="top" wrapText="1"/>
    </x:xf>
    <x:xf numFmtId="0" fontId="29" fillId="61" borderId="25" xfId="0" applyNumberFormat="1" applyFont="1" applyFill="1" applyBorder="1" applyAlignment="1">
      <x:alignment vertical="top" wrapText="1"/>
    </x:xf>
    <x:xf numFmtId="0" fontId="29" fillId="61" borderId="26" xfId="0" applyNumberFormat="1" applyFont="1" applyFill="1" applyBorder="1" applyAlignment="1">
      <x:alignment vertical="top" wrapText="1"/>
    </x:xf>
    <x:xf numFmtId="0" fontId="29" fillId="59" borderId="18" xfId="0" applyNumberFormat="1" applyFont="1" applyFill="1" applyBorder="1" applyAlignment="1">
      <x:alignment vertical="top" wrapText="1"/>
    </x:xf>
    <x:xf numFmtId="0" fontId="29" fillId="59" borderId="19" xfId="0" applyNumberFormat="1" applyFont="1" applyFill="1" applyBorder="1" applyAlignment="1">
      <x:alignment vertical="top" wrapText="1"/>
    </x:xf>
    <x:xf numFmtId="0" fontId="29" fillId="59" borderId="21" xfId="0" applyNumberFormat="1" applyFont="1" applyFill="1" applyBorder="1" applyAlignment="1">
      <x:alignment vertical="top" wrapText="1"/>
    </x:xf>
    <x:xf numFmtId="0" fontId="29" fillId="59" borderId="22" xfId="0" applyNumberFormat="1" applyFont="1" applyFill="1" applyBorder="1" applyAlignment="1">
      <x:alignment vertical="top" wrapText="1"/>
    </x:xf>
    <x:xf numFmtId="0" fontId="29" fillId="59" borderId="24" xfId="0" applyNumberFormat="1" applyFont="1" applyFill="1" applyBorder="1" applyAlignment="1">
      <x:alignment vertical="top" wrapText="1"/>
    </x:xf>
    <x:xf numFmtId="0" fontId="29" fillId="59" borderId="25" xfId="0" applyNumberFormat="1" applyFont="1" applyFill="1" applyBorder="1" applyAlignment="1">
      <x:alignment vertical="top" wrapText="1"/>
    </x:xf>
    <x:xf numFmtId="0" fontId="29" fillId="69" borderId="19" xfId="0" applyNumberFormat="1" applyFont="1" applyFill="1" applyBorder="1" applyAlignment="1">
      <x:alignment vertical="top" wrapText="1"/>
    </x:xf>
    <x:xf numFmtId="0" fontId="29" fillId="69" borderId="20" xfId="0" applyNumberFormat="1" applyFont="1" applyFill="1" applyBorder="1" applyAlignment="1">
      <x:alignment vertical="top" wrapText="1"/>
    </x:xf>
    <x:xf numFmtId="0" fontId="29" fillId="69" borderId="22" xfId="0" applyNumberFormat="1" applyFont="1" applyFill="1" applyBorder="1" applyAlignment="1">
      <x:alignment vertical="top" wrapText="1"/>
    </x:xf>
    <x:xf numFmtId="0" fontId="29" fillId="69" borderId="23" xfId="0" applyNumberFormat="1" applyFont="1" applyFill="1" applyBorder="1" applyAlignment="1">
      <x:alignment vertical="top" wrapText="1"/>
    </x:xf>
    <x:xf numFmtId="0" fontId="29" fillId="69" borderId="25" xfId="0" applyNumberFormat="1" applyFont="1" applyFill="1" applyBorder="1" applyAlignment="1">
      <x:alignment vertical="top" wrapText="1"/>
    </x:xf>
    <x:xf numFmtId="0" fontId="29" fillId="69" borderId="26" xfId="0" applyNumberFormat="1" applyFont="1" applyFill="1" applyBorder="1" applyAlignment="1">
      <x:alignment vertical="top" wrapText="1"/>
    </x:xf>
    <x:xf numFmtId="164" fontId="29" fillId="59" borderId="19" xfId="0" applyNumberFormat="1" applyFont="1" applyFill="1" applyBorder="1" applyAlignment="1">
      <x:alignment vertical="top" wrapText="1"/>
    </x:xf>
    <x:xf numFmtId="164" fontId="29" fillId="59" borderId="22" xfId="0" applyNumberFormat="1" applyFont="1" applyFill="1" applyBorder="1" applyAlignment="1">
      <x:alignment vertical="top" wrapText="1"/>
    </x:xf>
    <x:xf numFmtId="164" fontId="29" fillId="59" borderId="25" xfId="0" applyNumberFormat="1" applyFont="1" applyFill="1" applyBorder="1" applyAlignment="1">
      <x:alignment vertical="top" wrapText="1"/>
    </x:xf>
    <x:xf numFmtId="200" fontId="29" fillId="59" borderId="19" xfId="0" applyNumberFormat="1" applyFont="1" applyFill="1" applyBorder="1" applyAlignment="1">
      <x:alignment vertical="top" wrapText="1"/>
    </x:xf>
    <x:xf numFmtId="200" fontId="29" fillId="59" borderId="22" xfId="0" applyNumberFormat="1" applyFont="1" applyFill="1" applyBorder="1" applyAlignment="1">
      <x:alignment vertical="top" wrapText="1"/>
    </x:xf>
    <x:xf numFmtId="200" fontId="29" fillId="59" borderId="25" xfId="0" applyNumberFormat="1" applyFont="1" applyFill="1" applyBorder="1" applyAlignment="1">
      <x:alignment vertical="top" wrapText="1"/>
    </x:xf>
    <x:xf numFmtId="0" fontId="0" fillId="70" borderId="0" xfId="0" applyNumberFormat="1" applyFont="1" applyFill="1" applyBorder="1"/>
    <x:xf numFmtId="0" fontId="30" fillId="70" borderId="0" xfId="0" applyNumberFormat="1" applyFont="1" applyFill="1" applyBorder="1"/>
    <x:xf numFmtId="0" fontId="30" fillId="70" borderId="0" xfId="0" applyNumberFormat="1" applyFont="1" applyFill="1" applyBorder="1" applyAlignment="1">
      <x:alignment wrapText="1"/>
    </x:xf>
    <x:xf numFmtId="0" fontId="30" fillId="70" borderId="0" xfId="0" applyNumberFormat="1" applyFont="1" applyFill="1" applyBorder="1" applyAlignment="1">
      <x:alignment vertical="center" wrapText="1"/>
    </x:xf>
    <x:xf numFmtId="200" fontId="29" fillId="61" borderId="19" xfId="0" applyNumberFormat="1" applyFont="1" applyFill="1" applyBorder="1" applyAlignment="1">
      <x:alignment vertical="top" wrapText="1"/>
    </x:xf>
    <x:xf numFmtId="200" fontId="29" fillId="61" borderId="22" xfId="0" applyNumberFormat="1" applyFont="1" applyFill="1" applyBorder="1" applyAlignment="1">
      <x:alignment vertical="top" wrapText="1"/>
    </x:xf>
    <x:xf numFmtId="200" fontId="29" fillId="61" borderId="25" xfId="0" applyNumberFormat="1" applyFont="1" applyFill="1" applyBorder="1" applyAlignment="1">
      <x:alignment vertical="top" wrapText="1"/>
    </x:xf>
    <x:xf numFmtId="0" fontId="0" fillId="71" borderId="0" xfId="0" applyNumberFormat="1" applyFont="1" applyFill="1" applyBorder="1"/>
    <x:xf numFmtId="0" fontId="23" fillId="71" borderId="0" xfId="0" applyNumberFormat="1" applyFont="1" applyFill="1" applyBorder="1"/>
    <x:xf numFmtId="0" fontId="23" fillId="71" borderId="0" xfId="0" applyNumberFormat="1" applyFont="1" applyFill="1" applyBorder="1" applyAlignment="1">
      <x:alignment vertical="center"/>
    </x:xf>
    <x:xf numFmtId="0" fontId="0" fillId="72" borderId="0" xfId="0" applyNumberFormat="1" applyFont="1" applyFill="1" applyBorder="1"/>
    <x:xf numFmtId="0" fontId="27" fillId="72" borderId="0" xfId="0" applyNumberFormat="1" applyFont="1" applyFill="1" applyBorder="1"/>
    <x:xf numFmtId="0" fontId="27" fillId="72" borderId="0" xfId="0" applyNumberFormat="1" applyFont="1" applyFill="1" applyBorder="1" applyAlignment="1">
      <x:alignment wrapText="1"/>
    </x:xf>
    <x:xf numFmtId="0" fontId="27" fillId="72" borderId="0" xfId="0" applyNumberFormat="1" applyFont="1" applyFill="1" applyBorder="1" applyAlignment="1">
      <x:alignment vertical="center" wrapText="1"/>
    </x:xf>
    <x:xf numFmtId="0" fontId="0" fillId="73" borderId="0" xfId="0" applyNumberFormat="1" applyFont="1" applyFill="1" applyBorder="1"/>
    <x:xf numFmtId="0" fontId="32" fillId="73" borderId="0" xfId="0" applyNumberFormat="1" applyFont="1" applyFill="1" applyBorder="1"/>
    <x:xf numFmtId="0" fontId="32" fillId="73" borderId="0" xfId="0" applyNumberFormat="1" applyFont="1" applyFill="1" applyBorder="1" applyAlignment="1">
      <x:alignment wrapText="1"/>
    </x:xf>
    <x:xf numFmtId="0" fontId="32" fillId="73" borderId="0" xfId="0" applyNumberFormat="1" applyFont="1" applyFill="1" applyBorder="1" applyAlignment="1">
      <x:alignment vertical="top" wrapText="1"/>
    </x:xf>
    <x:xf numFmtId="0" fontId="0" fillId="74" borderId="0" xfId="0" applyNumberFormat="1" applyFont="1" applyFill="1" applyBorder="1"/>
    <x:xf numFmtId="0" fontId="33" fillId="74" borderId="0" xfId="0" applyNumberFormat="1" applyFont="1" applyFill="1" applyBorder="1"/>
    <x:xf numFmtId="0" fontId="33" fillId="74" borderId="0" xfId="0" applyNumberFormat="1" applyFont="1" applyFill="1" applyBorder="1" applyAlignment="1">
      <x:alignment wrapText="1"/>
    </x:xf>
    <x:xf numFmtId="0" fontId="33" fillId="74" borderId="0" xfId="0" applyNumberFormat="1" applyFont="1" applyFill="1" applyBorder="1" applyAlignment="1">
      <x:alignment vertical="top" wrapText="1"/>
    </x:xf>
    <x:xf numFmtId="0" fontId="0" fillId="75" borderId="0" xfId="0" applyNumberFormat="1" applyFont="1" applyFill="1" applyBorder="1"/>
    <x:xf numFmtId="0" fontId="32" fillId="75" borderId="0" xfId="0" applyNumberFormat="1" applyFont="1" applyFill="1" applyBorder="1"/>
    <x:xf numFmtId="0" fontId="32" fillId="75" borderId="0" xfId="0" applyNumberFormat="1" applyFont="1" applyFill="1" applyBorder="1" applyAlignment="1">
      <x:alignment wrapText="1"/>
    </x:xf>
    <x:xf numFmtId="0" fontId="32" fillId="75" borderId="0" xfId="0" applyNumberFormat="1" applyFont="1" applyFill="1" applyBorder="1" applyAlignment="1">
      <x:alignment horizontal="center" wrapText="1"/>
    </x:xf>
    <x:xf numFmtId="0" fontId="32" fillId="75" borderId="0" xfId="0" applyNumberFormat="1" applyFont="1" applyFill="1" applyBorder="1" applyAlignment="1">
      <x:alignment horizontal="center" vertical="center" wrapText="1"/>
    </x:xf>
    <x:xf numFmtId="0" fontId="0" fillId="76" borderId="0" xfId="0" applyNumberFormat="1" applyFont="1" applyFill="1" applyBorder="1"/>
    <x:xf numFmtId="0" fontId="34" fillId="76" borderId="0" xfId="0" applyNumberFormat="1" applyFont="1" applyFill="1" applyBorder="1"/>
    <x:xf numFmtId="0" fontId="34" fillId="76" borderId="27" xfId="0" applyNumberFormat="1" applyFont="1" applyFill="1" applyBorder="1"/>
    <x:xf numFmtId="0" fontId="34" fillId="76" borderId="28" xfId="0" applyNumberFormat="1" applyFont="1" applyFill="1" applyBorder="1"/>
    <x:xf numFmtId="0" fontId="34" fillId="76" borderId="29" xfId="0" applyNumberFormat="1" applyFont="1" applyFill="1" applyBorder="1"/>
    <x:xf numFmtId="0" fontId="34" fillId="76" borderId="30" xfId="0" applyNumberFormat="1" applyFont="1" applyFill="1" applyBorder="1"/>
    <x:xf numFmtId="0" fontId="34" fillId="76" borderId="31" xfId="0" applyNumberFormat="1" applyFont="1" applyFill="1" applyBorder="1"/>
    <x:xf numFmtId="0" fontId="34" fillId="76" borderId="32" xfId="0" applyNumberFormat="1" applyFont="1" applyFill="1" applyBorder="1"/>
    <x:xf numFmtId="0" fontId="34" fillId="76" borderId="33" xfId="0" applyNumberFormat="1" applyFont="1" applyFill="1" applyBorder="1"/>
    <x:xf numFmtId="0" fontId="34" fillId="76" borderId="34" xfId="0" applyNumberFormat="1" applyFont="1" applyFill="1" applyBorder="1"/>
    <x:xf numFmtId="0" fontId="34" fillId="76" borderId="35" xfId="0" applyNumberFormat="1" applyFont="1" applyFill="1" applyBorder="1"/>
    <x:xf numFmtId="0" fontId="34" fillId="76" borderId="27" xfId="0" applyNumberFormat="1" applyFont="1" applyFill="1" applyBorder="1" applyAlignment="1">
      <x:alignment wrapText="1"/>
    </x:xf>
    <x:xf numFmtId="0" fontId="34" fillId="76" borderId="28" xfId="0" applyNumberFormat="1" applyFont="1" applyFill="1" applyBorder="1" applyAlignment="1">
      <x:alignment wrapText="1"/>
    </x:xf>
    <x:xf numFmtId="0" fontId="34" fillId="76" borderId="29" xfId="0" applyNumberFormat="1" applyFont="1" applyFill="1" applyBorder="1" applyAlignment="1">
      <x:alignment wrapText="1"/>
    </x:xf>
    <x:xf numFmtId="0" fontId="34" fillId="76" borderId="30" xfId="0" applyNumberFormat="1" applyFont="1" applyFill="1" applyBorder="1" applyAlignment="1">
      <x:alignment wrapText="1"/>
    </x:xf>
    <x:xf numFmtId="0" fontId="34" fillId="76" borderId="31" xfId="0" applyNumberFormat="1" applyFont="1" applyFill="1" applyBorder="1" applyAlignment="1">
      <x:alignment wrapText="1"/>
    </x:xf>
    <x:xf numFmtId="0" fontId="34" fillId="76" borderId="32" xfId="0" applyNumberFormat="1" applyFont="1" applyFill="1" applyBorder="1" applyAlignment="1">
      <x:alignment wrapText="1"/>
    </x:xf>
    <x:xf numFmtId="0" fontId="34" fillId="76" borderId="33" xfId="0" applyNumberFormat="1" applyFont="1" applyFill="1" applyBorder="1" applyAlignment="1">
      <x:alignment wrapText="1"/>
    </x:xf>
    <x:xf numFmtId="0" fontId="34" fillId="76" borderId="34" xfId="0" applyNumberFormat="1" applyFont="1" applyFill="1" applyBorder="1" applyAlignment="1">
      <x:alignment wrapText="1"/>
    </x:xf>
    <x:xf numFmtId="0" fontId="34" fillId="76" borderId="35" xfId="0" applyNumberFormat="1" applyFont="1" applyFill="1" applyBorder="1" applyAlignment="1">
      <x:alignment wrapText="1"/>
    </x:xf>
    <x:xf numFmtId="0" fontId="34" fillId="76" borderId="27" xfId="0" applyNumberFormat="1" applyFont="1" applyFill="1" applyBorder="1" applyAlignment="1">
      <x:alignment vertical="top" wrapText="1"/>
    </x:xf>
    <x:xf numFmtId="0" fontId="34" fillId="76" borderId="28" xfId="0" applyNumberFormat="1" applyFont="1" applyFill="1" applyBorder="1" applyAlignment="1">
      <x:alignment vertical="top" wrapText="1"/>
    </x:xf>
    <x:xf numFmtId="0" fontId="34" fillId="76" borderId="29" xfId="0" applyNumberFormat="1" applyFont="1" applyFill="1" applyBorder="1" applyAlignment="1">
      <x:alignment vertical="top" wrapText="1"/>
    </x:xf>
    <x:xf numFmtId="0" fontId="34" fillId="76" borderId="30" xfId="0" applyNumberFormat="1" applyFont="1" applyFill="1" applyBorder="1" applyAlignment="1">
      <x:alignment vertical="top" wrapText="1"/>
    </x:xf>
    <x:xf numFmtId="0" fontId="34" fillId="76" borderId="31" xfId="0" applyNumberFormat="1" applyFont="1" applyFill="1" applyBorder="1" applyAlignment="1">
      <x:alignment vertical="top" wrapText="1"/>
    </x:xf>
    <x:xf numFmtId="0" fontId="34" fillId="76" borderId="32" xfId="0" applyNumberFormat="1" applyFont="1" applyFill="1" applyBorder="1" applyAlignment="1">
      <x:alignment vertical="top" wrapText="1"/>
    </x:xf>
    <x:xf numFmtId="0" fontId="34" fillId="76" borderId="33" xfId="0" applyNumberFormat="1" applyFont="1" applyFill="1" applyBorder="1" applyAlignment="1">
      <x:alignment vertical="top" wrapText="1"/>
    </x:xf>
    <x:xf numFmtId="0" fontId="34" fillId="76" borderId="34" xfId="0" applyNumberFormat="1" applyFont="1" applyFill="1" applyBorder="1" applyAlignment="1">
      <x:alignment vertical="top" wrapText="1"/>
    </x:xf>
    <x:xf numFmtId="0" fontId="34" fillId="76" borderId="35" xfId="0" applyNumberFormat="1" applyFont="1" applyFill="1" applyBorder="1" applyAlignment="1">
      <x:alignment vertical="top" wrapText="1"/>
    </x:xf>
    <x:xf numFmtId="0" fontId="0" fillId="77" borderId="0" xfId="0" applyNumberFormat="1" applyFont="1" applyFill="1" applyBorder="1"/>
    <x:xf numFmtId="0" fontId="24" fillId="77" borderId="0" xfId="0" applyNumberFormat="1" applyFont="1" applyFill="1" applyBorder="1"/>
    <x:xf numFmtId="0" fontId="24" fillId="77" borderId="0" xfId="0" applyNumberFormat="1" applyFont="1" applyFill="1" applyBorder="1" applyAlignment="1">
      <x:alignment horizontal="center"/>
    </x:xf>
    <x:xf numFmtId="0" fontId="24" fillId="77" borderId="0" xfId="0" applyNumberFormat="1" applyFont="1" applyFill="1" applyBorder="1" applyAlignment="1">
      <x:alignment wrapText="1"/>
    </x:xf>
    <x:xf numFmtId="0" fontId="24" fillId="77" borderId="0" xfId="0" applyNumberFormat="1" applyFont="1" applyFill="1" applyBorder="1" applyAlignment="1">
      <x:alignment vertical="center" wrapText="1"/>
    </x:xf>
    <x:xf numFmtId="0" fontId="35" fillId="75" borderId="0" xfId="0" applyNumberFormat="1" applyFont="1" applyFill="1" applyBorder="1"/>
    <x:xf numFmtId="0" fontId="35" fillId="75" borderId="0" xfId="0" applyNumberFormat="1" applyFont="1" applyFill="1" applyBorder="1" applyAlignment="1">
      <x:alignment wrapText="1"/>
    </x:xf>
    <x:xf numFmtId="0" fontId="35" fillId="75" borderId="0" xfId="0" applyNumberFormat="1" applyFont="1" applyFill="1" applyBorder="1" applyAlignment="1">
      <x:alignment horizontal="center" wrapText="1"/>
    </x:xf>
    <x:xf numFmtId="0" fontId="35" fillId="75" borderId="0" xfId="0" applyNumberFormat="1" applyFont="1" applyFill="1" applyBorder="1" applyAlignment="1">
      <x:alignment horizontal="center" vertical="center" wrapText="1"/>
    </x:xf>
    <x:xf numFmtId="0" fontId="36" fillId="76" borderId="0" xfId="0" applyNumberFormat="1" applyFont="1" applyFill="1" applyBorder="1"/>
    <x:xf numFmtId="0" fontId="36" fillId="76" borderId="27" xfId="0" applyNumberFormat="1" applyFont="1" applyFill="1" applyBorder="1"/>
    <x:xf numFmtId="0" fontId="36" fillId="76" borderId="28" xfId="0" applyNumberFormat="1" applyFont="1" applyFill="1" applyBorder="1"/>
    <x:xf numFmtId="0" fontId="36" fillId="76" borderId="29" xfId="0" applyNumberFormat="1" applyFont="1" applyFill="1" applyBorder="1"/>
    <x:xf numFmtId="0" fontId="36" fillId="76" borderId="30" xfId="0" applyNumberFormat="1" applyFont="1" applyFill="1" applyBorder="1"/>
    <x:xf numFmtId="0" fontId="36" fillId="76" borderId="31" xfId="0" applyNumberFormat="1" applyFont="1" applyFill="1" applyBorder="1"/>
    <x:xf numFmtId="0" fontId="36" fillId="76" borderId="32" xfId="0" applyNumberFormat="1" applyFont="1" applyFill="1" applyBorder="1"/>
    <x:xf numFmtId="0" fontId="36" fillId="76" borderId="33" xfId="0" applyNumberFormat="1" applyFont="1" applyFill="1" applyBorder="1"/>
    <x:xf numFmtId="0" fontId="36" fillId="76" borderId="34" xfId="0" applyNumberFormat="1" applyFont="1" applyFill="1" applyBorder="1"/>
    <x:xf numFmtId="0" fontId="36" fillId="76" borderId="35" xfId="0" applyNumberFormat="1" applyFont="1" applyFill="1" applyBorder="1"/>
    <x:xf numFmtId="0" fontId="36" fillId="76" borderId="27" xfId="0" applyNumberFormat="1" applyFont="1" applyFill="1" applyBorder="1" applyAlignment="1">
      <x:alignment wrapText="1"/>
    </x:xf>
    <x:xf numFmtId="0" fontId="36" fillId="76" borderId="28" xfId="0" applyNumberFormat="1" applyFont="1" applyFill="1" applyBorder="1" applyAlignment="1">
      <x:alignment wrapText="1"/>
    </x:xf>
    <x:xf numFmtId="0" fontId="36" fillId="76" borderId="29" xfId="0" applyNumberFormat="1" applyFont="1" applyFill="1" applyBorder="1" applyAlignment="1">
      <x:alignment wrapText="1"/>
    </x:xf>
    <x:xf numFmtId="0" fontId="36" fillId="76" borderId="30" xfId="0" applyNumberFormat="1" applyFont="1" applyFill="1" applyBorder="1" applyAlignment="1">
      <x:alignment wrapText="1"/>
    </x:xf>
    <x:xf numFmtId="0" fontId="36" fillId="76" borderId="31" xfId="0" applyNumberFormat="1" applyFont="1" applyFill="1" applyBorder="1" applyAlignment="1">
      <x:alignment wrapText="1"/>
    </x:xf>
    <x:xf numFmtId="0" fontId="36" fillId="76" borderId="32" xfId="0" applyNumberFormat="1" applyFont="1" applyFill="1" applyBorder="1" applyAlignment="1">
      <x:alignment wrapText="1"/>
    </x:xf>
    <x:xf numFmtId="0" fontId="36" fillId="76" borderId="33" xfId="0" applyNumberFormat="1" applyFont="1" applyFill="1" applyBorder="1" applyAlignment="1">
      <x:alignment wrapText="1"/>
    </x:xf>
    <x:xf numFmtId="0" fontId="36" fillId="76" borderId="34" xfId="0" applyNumberFormat="1" applyFont="1" applyFill="1" applyBorder="1" applyAlignment="1">
      <x:alignment wrapText="1"/>
    </x:xf>
    <x:xf numFmtId="0" fontId="36" fillId="76" borderId="35" xfId="0" applyNumberFormat="1" applyFont="1" applyFill="1" applyBorder="1" applyAlignment="1">
      <x:alignment wrapText="1"/>
    </x:xf>
    <x:xf numFmtId="0" fontId="36" fillId="76" borderId="27" xfId="0" applyNumberFormat="1" applyFont="1" applyFill="1" applyBorder="1" applyAlignment="1">
      <x:alignment vertical="top" wrapText="1"/>
    </x:xf>
    <x:xf numFmtId="0" fontId="36" fillId="76" borderId="28" xfId="0" applyNumberFormat="1" applyFont="1" applyFill="1" applyBorder="1" applyAlignment="1">
      <x:alignment vertical="top" wrapText="1"/>
    </x:xf>
    <x:xf numFmtId="0" fontId="36" fillId="76" borderId="29" xfId="0" applyNumberFormat="1" applyFont="1" applyFill="1" applyBorder="1" applyAlignment="1">
      <x:alignment vertical="top" wrapText="1"/>
    </x:xf>
    <x:xf numFmtId="0" fontId="36" fillId="76" borderId="30" xfId="0" applyNumberFormat="1" applyFont="1" applyFill="1" applyBorder="1" applyAlignment="1">
      <x:alignment vertical="top" wrapText="1"/>
    </x:xf>
    <x:xf numFmtId="0" fontId="36" fillId="76" borderId="31" xfId="0" applyNumberFormat="1" applyFont="1" applyFill="1" applyBorder="1" applyAlignment="1">
      <x:alignment vertical="top" wrapText="1"/>
    </x:xf>
    <x:xf numFmtId="0" fontId="36" fillId="76" borderId="32" xfId="0" applyNumberFormat="1" applyFont="1" applyFill="1" applyBorder="1" applyAlignment="1">
      <x:alignment vertical="top" wrapText="1"/>
    </x:xf>
    <x:xf numFmtId="0" fontId="36" fillId="76" borderId="33" xfId="0" applyNumberFormat="1" applyFont="1" applyFill="1" applyBorder="1" applyAlignment="1">
      <x:alignment vertical="top" wrapText="1"/>
    </x:xf>
    <x:xf numFmtId="0" fontId="36" fillId="76" borderId="34" xfId="0" applyNumberFormat="1" applyFont="1" applyFill="1" applyBorder="1" applyAlignment="1">
      <x:alignment vertical="top" wrapText="1"/>
    </x:xf>
    <x:xf numFmtId="0" fontId="36" fillId="76" borderId="35" xfId="0" applyNumberFormat="1" applyFont="1" applyFill="1" applyBorder="1" applyAlignment="1">
      <x:alignment vertical="top" wrapText="1"/>
    </x:xf>
    <x:xf numFmtId="0" fontId="36" fillId="74" borderId="27" xfId="0" applyNumberFormat="1" applyFont="1" applyFill="1" applyBorder="1" applyAlignment="1">
      <x:alignment vertical="top" wrapText="1"/>
    </x:xf>
    <x:xf numFmtId="0" fontId="36" fillId="74" borderId="28" xfId="0" applyNumberFormat="1" applyFont="1" applyFill="1" applyBorder="1" applyAlignment="1">
      <x:alignment vertical="top" wrapText="1"/>
    </x:xf>
    <x:xf numFmtId="0" fontId="36" fillId="74" borderId="30" xfId="0" applyNumberFormat="1" applyFont="1" applyFill="1" applyBorder="1" applyAlignment="1">
      <x:alignment vertical="top" wrapText="1"/>
    </x:xf>
    <x:xf numFmtId="0" fontId="36" fillId="74" borderId="31" xfId="0" applyNumberFormat="1" applyFont="1" applyFill="1" applyBorder="1" applyAlignment="1">
      <x:alignment vertical="top" wrapText="1"/>
    </x:xf>
    <x:xf numFmtId="0" fontId="36" fillId="74" borderId="33" xfId="0" applyNumberFormat="1" applyFont="1" applyFill="1" applyBorder="1" applyAlignment="1">
      <x:alignment vertical="top" wrapText="1"/>
    </x:xf>
    <x:xf numFmtId="0" fontId="36" fillId="74" borderId="34" xfId="0" applyNumberFormat="1" applyFont="1" applyFill="1" applyBorder="1" applyAlignment="1">
      <x:alignment vertical="top" wrapText="1"/>
    </x:xf>
    <x:xf numFmtId="0" fontId="37" fillId="74" borderId="27" xfId="0" applyNumberFormat="1" applyFont="1" applyFill="1" applyBorder="1" applyAlignment="1">
      <x:alignment vertical="top" wrapText="1"/>
    </x:xf>
    <x:xf numFmtId="0" fontId="37" fillId="74" borderId="28" xfId="0" applyNumberFormat="1" applyFont="1" applyFill="1" applyBorder="1" applyAlignment="1">
      <x:alignment vertical="top" wrapText="1"/>
    </x:xf>
    <x:xf numFmtId="0" fontId="37" fillId="74" borderId="30" xfId="0" applyNumberFormat="1" applyFont="1" applyFill="1" applyBorder="1" applyAlignment="1">
      <x:alignment vertical="top" wrapText="1"/>
    </x:xf>
    <x:xf numFmtId="0" fontId="37" fillId="74" borderId="31" xfId="0" applyNumberFormat="1" applyFont="1" applyFill="1" applyBorder="1" applyAlignment="1">
      <x:alignment vertical="top" wrapText="1"/>
    </x:xf>
    <x:xf numFmtId="0" fontId="37" fillId="74" borderId="33" xfId="0" applyNumberFormat="1" applyFont="1" applyFill="1" applyBorder="1" applyAlignment="1">
      <x:alignment vertical="top" wrapText="1"/>
    </x:xf>
    <x:xf numFmtId="0" fontId="37" fillId="74" borderId="34" xfId="0" applyNumberFormat="1" applyFont="1" applyFill="1" applyBorder="1" applyAlignment="1">
      <x:alignment vertical="top" wrapText="1"/>
    </x:xf>
    <x:xf numFmtId="0" fontId="37" fillId="74" borderId="27" xfId="0" applyNumberFormat="1" applyFont="1" applyFill="1" applyBorder="1" applyAlignment="1">
      <x:alignment vertical="center" wrapText="1"/>
    </x:xf>
    <x:xf numFmtId="0" fontId="37" fillId="74" borderId="28" xfId="0" applyNumberFormat="1" applyFont="1" applyFill="1" applyBorder="1" applyAlignment="1">
      <x:alignment vertical="center" wrapText="1"/>
    </x:xf>
    <x:xf numFmtId="0" fontId="37" fillId="74" borderId="30" xfId="0" applyNumberFormat="1" applyFont="1" applyFill="1" applyBorder="1" applyAlignment="1">
      <x:alignment vertical="center" wrapText="1"/>
    </x:xf>
    <x:xf numFmtId="0" fontId="37" fillId="74" borderId="31" xfId="0" applyNumberFormat="1" applyFont="1" applyFill="1" applyBorder="1" applyAlignment="1">
      <x:alignment vertical="center" wrapText="1"/>
    </x:xf>
    <x:xf numFmtId="0" fontId="37" fillId="74" borderId="33" xfId="0" applyNumberFormat="1" applyFont="1" applyFill="1" applyBorder="1" applyAlignment="1">
      <x:alignment vertical="center" wrapText="1"/>
    </x:xf>
    <x:xf numFmtId="0" fontId="37" fillId="74" borderId="34" xfId="0" applyNumberFormat="1" applyFont="1" applyFill="1" applyBorder="1" applyAlignment="1">
      <x:alignment vertical="center" wrapText="1"/>
    </x:xf>
    <x:xf numFmtId="164" fontId="36" fillId="76" borderId="28" xfId="0" applyNumberFormat="1" applyFont="1" applyFill="1" applyBorder="1" applyAlignment="1">
      <x:alignment vertical="top" wrapText="1"/>
    </x:xf>
    <x:xf numFmtId="164" fontId="36" fillId="76" borderId="31" xfId="0" applyNumberFormat="1" applyFont="1" applyFill="1" applyBorder="1" applyAlignment="1">
      <x:alignment vertical="top" wrapText="1"/>
    </x:xf>
    <x:xf numFmtId="164" fontId="36" fillId="76" borderId="34" xfId="0" applyNumberFormat="1" applyFont="1" applyFill="1" applyBorder="1" applyAlignment="1">
      <x:alignment vertical="top" wrapText="1"/>
    </x:xf>
    <x:xf numFmtId="0" fontId="0" fillId="78" borderId="0" xfId="0" applyNumberFormat="1" applyFont="1" applyFill="1" applyBorder="1"/>
    <x:xf numFmtId="0" fontId="26" fillId="78" borderId="0" xfId="0" applyNumberFormat="1" applyFont="1" applyFill="1" applyBorder="1"/>
    <x:xf numFmtId="0" fontId="26" fillId="78" borderId="0" xfId="0" applyNumberFormat="1" applyFont="1" applyFill="1" applyBorder="1" applyAlignment="1">
      <x:alignment wrapText="1"/>
    </x:xf>
    <x:xf numFmtId="0" fontId="26" fillId="78" borderId="0" xfId="0" applyNumberFormat="1" applyFont="1" applyFill="1" applyBorder="1" applyAlignment="1">
      <x:alignment vertical="center" wrapText="1"/>
    </x:xf>
    <x:xf numFmtId="0" fontId="29" fillId="76" borderId="0" xfId="0" applyNumberFormat="1" applyFont="1" applyFill="1" applyBorder="1"/>
    <x:xf numFmtId="0" fontId="29" fillId="76" borderId="27" xfId="0" applyNumberFormat="1" applyFont="1" applyFill="1" applyBorder="1"/>
    <x:xf numFmtId="0" fontId="29" fillId="76" borderId="28" xfId="0" applyNumberFormat="1" applyFont="1" applyFill="1" applyBorder="1"/>
    <x:xf numFmtId="0" fontId="29" fillId="76" borderId="29" xfId="0" applyNumberFormat="1" applyFont="1" applyFill="1" applyBorder="1"/>
    <x:xf numFmtId="0" fontId="29" fillId="76" borderId="30" xfId="0" applyNumberFormat="1" applyFont="1" applyFill="1" applyBorder="1"/>
    <x:xf numFmtId="0" fontId="29" fillId="76" borderId="31" xfId="0" applyNumberFormat="1" applyFont="1" applyFill="1" applyBorder="1"/>
    <x:xf numFmtId="0" fontId="29" fillId="76" borderId="32" xfId="0" applyNumberFormat="1" applyFont="1" applyFill="1" applyBorder="1"/>
    <x:xf numFmtId="0" fontId="29" fillId="76" borderId="33" xfId="0" applyNumberFormat="1" applyFont="1" applyFill="1" applyBorder="1"/>
    <x:xf numFmtId="0" fontId="29" fillId="76" borderId="34" xfId="0" applyNumberFormat="1" applyFont="1" applyFill="1" applyBorder="1"/>
    <x:xf numFmtId="0" fontId="29" fillId="76" borderId="35" xfId="0" applyNumberFormat="1" applyFont="1" applyFill="1" applyBorder="1"/>
    <x:xf numFmtId="0" fontId="29" fillId="76" borderId="27" xfId="0" applyNumberFormat="1" applyFont="1" applyFill="1" applyBorder="1" applyAlignment="1">
      <x:alignment wrapText="1"/>
    </x:xf>
    <x:xf numFmtId="0" fontId="29" fillId="76" borderId="28" xfId="0" applyNumberFormat="1" applyFont="1" applyFill="1" applyBorder="1" applyAlignment="1">
      <x:alignment wrapText="1"/>
    </x:xf>
    <x:xf numFmtId="0" fontId="29" fillId="76" borderId="29" xfId="0" applyNumberFormat="1" applyFont="1" applyFill="1" applyBorder="1" applyAlignment="1">
      <x:alignment wrapText="1"/>
    </x:xf>
    <x:xf numFmtId="0" fontId="29" fillId="76" borderId="30" xfId="0" applyNumberFormat="1" applyFont="1" applyFill="1" applyBorder="1" applyAlignment="1">
      <x:alignment wrapText="1"/>
    </x:xf>
    <x:xf numFmtId="0" fontId="29" fillId="76" borderId="31" xfId="0" applyNumberFormat="1" applyFont="1" applyFill="1" applyBorder="1" applyAlignment="1">
      <x:alignment wrapText="1"/>
    </x:xf>
    <x:xf numFmtId="0" fontId="29" fillId="76" borderId="32" xfId="0" applyNumberFormat="1" applyFont="1" applyFill="1" applyBorder="1" applyAlignment="1">
      <x:alignment wrapText="1"/>
    </x:xf>
    <x:xf numFmtId="0" fontId="29" fillId="76" borderId="33" xfId="0" applyNumberFormat="1" applyFont="1" applyFill="1" applyBorder="1" applyAlignment="1">
      <x:alignment wrapText="1"/>
    </x:xf>
    <x:xf numFmtId="0" fontId="29" fillId="76" borderId="34" xfId="0" applyNumberFormat="1" applyFont="1" applyFill="1" applyBorder="1" applyAlignment="1">
      <x:alignment wrapText="1"/>
    </x:xf>
    <x:xf numFmtId="0" fontId="29" fillId="76" borderId="35" xfId="0" applyNumberFormat="1" applyFont="1" applyFill="1" applyBorder="1" applyAlignment="1">
      <x:alignment wrapText="1"/>
    </x:xf>
    <x:xf numFmtId="0" fontId="29" fillId="76" borderId="27" xfId="0" applyNumberFormat="1" applyFont="1" applyFill="1" applyBorder="1" applyAlignment="1">
      <x:alignment vertical="top" wrapText="1"/>
    </x:xf>
    <x:xf numFmtId="0" fontId="29" fillId="76" borderId="28" xfId="0" applyNumberFormat="1" applyFont="1" applyFill="1" applyBorder="1" applyAlignment="1">
      <x:alignment vertical="top" wrapText="1"/>
    </x:xf>
    <x:xf numFmtId="0" fontId="29" fillId="76" borderId="29" xfId="0" applyNumberFormat="1" applyFont="1" applyFill="1" applyBorder="1" applyAlignment="1">
      <x:alignment vertical="top" wrapText="1"/>
    </x:xf>
    <x:xf numFmtId="0" fontId="29" fillId="76" borderId="30" xfId="0" applyNumberFormat="1" applyFont="1" applyFill="1" applyBorder="1" applyAlignment="1">
      <x:alignment vertical="top" wrapText="1"/>
    </x:xf>
    <x:xf numFmtId="0" fontId="29" fillId="76" borderId="31" xfId="0" applyNumberFormat="1" applyFont="1" applyFill="1" applyBorder="1" applyAlignment="1">
      <x:alignment vertical="top" wrapText="1"/>
    </x:xf>
    <x:xf numFmtId="0" fontId="29" fillId="76" borderId="32" xfId="0" applyNumberFormat="1" applyFont="1" applyFill="1" applyBorder="1" applyAlignment="1">
      <x:alignment vertical="top" wrapText="1"/>
    </x:xf>
    <x:xf numFmtId="0" fontId="29" fillId="76" borderId="33" xfId="0" applyNumberFormat="1" applyFont="1" applyFill="1" applyBorder="1" applyAlignment="1">
      <x:alignment vertical="top" wrapText="1"/>
    </x:xf>
    <x:xf numFmtId="0" fontId="29" fillId="76" borderId="34" xfId="0" applyNumberFormat="1" applyFont="1" applyFill="1" applyBorder="1" applyAlignment="1">
      <x:alignment vertical="top" wrapText="1"/>
    </x:xf>
    <x:xf numFmtId="0" fontId="29" fillId="76" borderId="35" xfId="0" applyNumberFormat="1" applyFont="1" applyFill="1" applyBorder="1" applyAlignment="1">
      <x:alignment vertical="top" wrapText="1"/>
    </x:xf>
    <x:xf numFmtId="0" fontId="29" fillId="74" borderId="27" xfId="0" applyNumberFormat="1" applyFont="1" applyFill="1" applyBorder="1" applyAlignment="1">
      <x:alignment vertical="top" wrapText="1"/>
    </x:xf>
    <x:xf numFmtId="0" fontId="29" fillId="74" borderId="30" xfId="0" applyNumberFormat="1" applyFont="1" applyFill="1" applyBorder="1" applyAlignment="1">
      <x:alignment vertical="top" wrapText="1"/>
    </x:xf>
    <x:xf numFmtId="0" fontId="29" fillId="74" borderId="33" xfId="0" applyNumberFormat="1" applyFont="1" applyFill="1" applyBorder="1" applyAlignment="1">
      <x:alignment vertical="top" wrapText="1"/>
    </x:xf>
    <x:xf numFmtId="0" fontId="38" fillId="74" borderId="27" xfId="0" applyNumberFormat="1" applyFont="1" applyFill="1" applyBorder="1" applyAlignment="1">
      <x:alignment vertical="top" wrapText="1"/>
    </x:xf>
    <x:xf numFmtId="0" fontId="38" fillId="74" borderId="30" xfId="0" applyNumberFormat="1" applyFont="1" applyFill="1" applyBorder="1" applyAlignment="1">
      <x:alignment vertical="top" wrapText="1"/>
    </x:xf>
    <x:xf numFmtId="0" fontId="38" fillId="74" borderId="33" xfId="0" applyNumberFormat="1" applyFont="1" applyFill="1" applyBorder="1" applyAlignment="1">
      <x:alignment vertical="top" wrapText="1"/>
    </x:xf>
    <x:xf numFmtId="0" fontId="24" fillId="77" borderId="0" xfId="0" applyNumberFormat="1" applyFont="1" applyFill="1" applyBorder="1" applyAlignment="1">
      <x:alignment vertical="center"/>
    </x:xf>
    <x:xf numFmtId="0" fontId="0" fillId="79" borderId="0" xfId="0" applyNumberFormat="1" applyFont="1" applyFill="1" applyBorder="1"/>
    <x:xf numFmtId="0" fontId="25" fillId="79" borderId="0" xfId="0" applyNumberFormat="1" applyFont="1" applyFill="1" applyBorder="1"/>
    <x:xf numFmtId="0" fontId="25" fillId="79" borderId="0" xfId="0" applyNumberFormat="1" applyFont="1" applyFill="1" applyBorder="1" applyAlignment="1">
      <x:alignment wrapText="1"/>
    </x:xf>
    <x:xf numFmtId="0" fontId="25" fillId="79" borderId="0" xfId="0" applyNumberFormat="1" applyFont="1" applyFill="1" applyBorder="1" applyAlignment="1">
      <x:alignment vertical="center" wrapText="1"/>
    </x:xf>
    <x:xf numFmtId="0" fontId="0" fillId="80" borderId="0" xfId="0" applyNumberFormat="1" applyFont="1" applyFill="1" applyBorder="1"/>
    <x:xf numFmtId="0" fontId="28" fillId="80" borderId="0" xfId="0" applyNumberFormat="1" applyFont="1" applyFill="1" applyBorder="1"/>
    <x:xf numFmtId="0" fontId="28" fillId="80" borderId="0" xfId="0" applyNumberFormat="1" applyFont="1" applyFill="1" applyBorder="1" applyAlignment="1">
      <x:alignment horizontal="center"/>
    </x:xf>
    <x:xf numFmtId="0" fontId="28" fillId="80" borderId="0" xfId="0" applyNumberFormat="1" applyFont="1" applyFill="1" applyBorder="1" applyAlignment="1">
      <x:alignment horizontal="center" vertical="center"/>
    </x:xf>
    <x:xf numFmtId="0" fontId="0" fillId="81" borderId="0" xfId="0" applyNumberFormat="1" applyFont="1" applyFill="1" applyBorder="1"/>
    <x:xf numFmtId="0" fontId="28" fillId="81" borderId="0" xfId="0" applyNumberFormat="1" applyFont="1" applyFill="1" applyBorder="1"/>
    <x:xf numFmtId="0" fontId="28" fillId="81" borderId="0" xfId="0" applyNumberFormat="1" applyFont="1" applyFill="1" applyBorder="1" applyAlignment="1">
      <x:alignment horizontal="center"/>
    </x:xf>
    <x:xf numFmtId="0" fontId="28" fillId="81" borderId="0" xfId="0" applyNumberFormat="1" applyFont="1" applyFill="1" applyBorder="1" applyAlignment="1">
      <x:alignment horizontal="center" vertical="center"/>
    </x:xf>
    <x:xf numFmtId="0" fontId="0" fillId="82" borderId="0" xfId="0" applyNumberFormat="1" applyFont="1" applyFill="1" applyBorder="1"/>
    <x:xf numFmtId="0" fontId="28" fillId="82" borderId="0" xfId="0" applyNumberFormat="1" applyFont="1" applyFill="1" applyBorder="1"/>
    <x:xf numFmtId="0" fontId="28" fillId="82" borderId="0" xfId="0" applyNumberFormat="1" applyFont="1" applyFill="1" applyBorder="1" applyAlignment="1">
      <x:alignment horizontal="center"/>
    </x:xf>
    <x:xf numFmtId="0" fontId="28" fillId="82" borderId="0" xfId="0" applyNumberFormat="1" applyFont="1" applyFill="1" applyBorder="1" applyAlignment="1">
      <x:alignment horizontal="center" vertical="center"/>
    </x:xf>
    <x:xf numFmtId="0" fontId="0" fillId="83" borderId="0" xfId="0" applyNumberFormat="1" applyFont="1" applyFill="1" applyBorder="1"/>
    <x:xf numFmtId="0" fontId="28" fillId="83" borderId="0" xfId="0" applyNumberFormat="1" applyFont="1" applyFill="1" applyBorder="1"/>
    <x:xf numFmtId="0" fontId="28" fillId="83" borderId="0" xfId="0" applyNumberFormat="1" applyFont="1" applyFill="1" applyBorder="1" applyAlignment="1">
      <x:alignment horizontal="center"/>
    </x:xf>
    <x:xf numFmtId="0" fontId="28" fillId="83" borderId="0" xfId="0" applyNumberFormat="1" applyFont="1" applyFill="1" applyBorder="1" applyAlignment="1">
      <x:alignment horizontal="center" vertical="center"/>
    </x:xf>
    <x:xf numFmtId="0" fontId="28" fillId="75" borderId="0" xfId="0" applyNumberFormat="1" applyFont="1" applyFill="1" applyBorder="1"/>
    <x:xf numFmtId="0" fontId="28" fillId="75" borderId="15" xfId="0" applyNumberFormat="1" applyFont="1" applyFill="1" applyBorder="1"/>
    <x:xf numFmtId="0" fontId="28" fillId="75" borderId="16" xfId="0" applyNumberFormat="1" applyFont="1" applyFill="1" applyBorder="1"/>
    <x:xf numFmtId="0" fontId="28" fillId="75" borderId="17" xfId="0" applyNumberFormat="1" applyFont="1" applyFill="1" applyBorder="1"/>
    <x:xf numFmtId="0" fontId="28" fillId="75" borderId="15" xfId="0" applyNumberFormat="1" applyFont="1" applyFill="1" applyBorder="1" applyAlignment="1">
      <x:alignment wrapText="1"/>
    </x:xf>
    <x:xf numFmtId="0" fontId="28" fillId="75" borderId="16" xfId="0" applyNumberFormat="1" applyFont="1" applyFill="1" applyBorder="1" applyAlignment="1">
      <x:alignment wrapText="1"/>
    </x:xf>
    <x:xf numFmtId="0" fontId="28" fillId="75" borderId="17" xfId="0" applyNumberFormat="1" applyFont="1" applyFill="1" applyBorder="1" applyAlignment="1">
      <x:alignment wrapText="1"/>
    </x:xf>
    <x:xf numFmtId="0" fontId="28" fillId="75" borderId="15" xfId="0" applyNumberFormat="1" applyFont="1" applyFill="1" applyBorder="1" applyAlignment="1">
      <x:alignment horizontal="center" wrapText="1"/>
    </x:xf>
    <x:xf numFmtId="0" fontId="28" fillId="75" borderId="16" xfId="0" applyNumberFormat="1" applyFont="1" applyFill="1" applyBorder="1" applyAlignment="1">
      <x:alignment horizontal="center" wrapText="1"/>
    </x:xf>
    <x:xf numFmtId="0" fontId="28" fillId="75" borderId="17" xfId="0" applyNumberFormat="1" applyFont="1" applyFill="1" applyBorder="1" applyAlignment="1">
      <x:alignment horizontal="center" wrapText="1"/>
    </x:xf>
    <x:xf numFmtId="0" fontId="28" fillId="75" borderId="15" xfId="0" applyNumberFormat="1" applyFont="1" applyFill="1" applyBorder="1" applyAlignment="1">
      <x:alignment horizontal="center" vertical="center" wrapText="1"/>
    </x:xf>
    <x:xf numFmtId="0" fontId="28" fillId="75" borderId="16" xfId="0" applyNumberFormat="1" applyFont="1" applyFill="1" applyBorder="1" applyAlignment="1">
      <x:alignment horizontal="center" vertical="center" wrapText="1"/>
    </x:xf>
    <x:xf numFmtId="0" fontId="28" fillId="75" borderId="17" xfId="0" applyNumberFormat="1" applyFont="1" applyFill="1" applyBorder="1" applyAlignment="1">
      <x:alignment horizontal="center" vertical="center" wrapText="1"/>
    </x:xf>
    <x:xf numFmtId="0" fontId="29" fillId="76" borderId="18" xfId="0" applyNumberFormat="1" applyFont="1" applyFill="1" applyBorder="1"/>
    <x:xf numFmtId="0" fontId="29" fillId="76" borderId="19" xfId="0" applyNumberFormat="1" applyFont="1" applyFill="1" applyBorder="1"/>
    <x:xf numFmtId="0" fontId="29" fillId="76" borderId="20" xfId="0" applyNumberFormat="1" applyFont="1" applyFill="1" applyBorder="1"/>
    <x:xf numFmtId="0" fontId="29" fillId="76" borderId="21" xfId="0" applyNumberFormat="1" applyFont="1" applyFill="1" applyBorder="1"/>
    <x:xf numFmtId="0" fontId="29" fillId="76" borderId="22" xfId="0" applyNumberFormat="1" applyFont="1" applyFill="1" applyBorder="1"/>
    <x:xf numFmtId="0" fontId="29" fillId="76" borderId="23" xfId="0" applyNumberFormat="1" applyFont="1" applyFill="1" applyBorder="1"/>
    <x:xf numFmtId="0" fontId="29" fillId="76" borderId="24" xfId="0" applyNumberFormat="1" applyFont="1" applyFill="1" applyBorder="1"/>
    <x:xf numFmtId="0" fontId="29" fillId="76" borderId="25" xfId="0" applyNumberFormat="1" applyFont="1" applyFill="1" applyBorder="1"/>
    <x:xf numFmtId="0" fontId="29" fillId="76" borderId="26" xfId="0" applyNumberFormat="1" applyFont="1" applyFill="1" applyBorder="1"/>
    <x:xf numFmtId="0" fontId="29" fillId="76" borderId="18" xfId="0" applyNumberFormat="1" applyFont="1" applyFill="1" applyBorder="1" applyAlignment="1">
      <x:alignment wrapText="1"/>
    </x:xf>
    <x:xf numFmtId="0" fontId="29" fillId="76" borderId="19" xfId="0" applyNumberFormat="1" applyFont="1" applyFill="1" applyBorder="1" applyAlignment="1">
      <x:alignment wrapText="1"/>
    </x:xf>
    <x:xf numFmtId="0" fontId="29" fillId="76" borderId="20" xfId="0" applyNumberFormat="1" applyFont="1" applyFill="1" applyBorder="1" applyAlignment="1">
      <x:alignment wrapText="1"/>
    </x:xf>
    <x:xf numFmtId="0" fontId="29" fillId="76" borderId="21" xfId="0" applyNumberFormat="1" applyFont="1" applyFill="1" applyBorder="1" applyAlignment="1">
      <x:alignment wrapText="1"/>
    </x:xf>
    <x:xf numFmtId="0" fontId="29" fillId="76" borderId="22" xfId="0" applyNumberFormat="1" applyFont="1" applyFill="1" applyBorder="1" applyAlignment="1">
      <x:alignment wrapText="1"/>
    </x:xf>
    <x:xf numFmtId="0" fontId="29" fillId="76" borderId="23" xfId="0" applyNumberFormat="1" applyFont="1" applyFill="1" applyBorder="1" applyAlignment="1">
      <x:alignment wrapText="1"/>
    </x:xf>
    <x:xf numFmtId="0" fontId="29" fillId="76" borderId="24" xfId="0" applyNumberFormat="1" applyFont="1" applyFill="1" applyBorder="1" applyAlignment="1">
      <x:alignment wrapText="1"/>
    </x:xf>
    <x:xf numFmtId="0" fontId="29" fillId="76" borderId="25" xfId="0" applyNumberFormat="1" applyFont="1" applyFill="1" applyBorder="1" applyAlignment="1">
      <x:alignment wrapText="1"/>
    </x:xf>
    <x:xf numFmtId="0" fontId="29" fillId="76" borderId="26" xfId="0" applyNumberFormat="1" applyFont="1" applyFill="1" applyBorder="1" applyAlignment="1">
      <x:alignment wrapText="1"/>
    </x:xf>
    <x:xf numFmtId="0" fontId="29" fillId="76" borderId="18" xfId="0" applyNumberFormat="1" applyFont="1" applyFill="1" applyBorder="1" applyAlignment="1">
      <x:alignment vertical="top" wrapText="1"/>
    </x:xf>
    <x:xf numFmtId="0" fontId="29" fillId="76" borderId="19" xfId="0" applyNumberFormat="1" applyFont="1" applyFill="1" applyBorder="1" applyAlignment="1">
      <x:alignment vertical="top" wrapText="1"/>
    </x:xf>
    <x:xf numFmtId="0" fontId="29" fillId="76" borderId="20" xfId="0" applyNumberFormat="1" applyFont="1" applyFill="1" applyBorder="1" applyAlignment="1">
      <x:alignment vertical="top" wrapText="1"/>
    </x:xf>
    <x:xf numFmtId="0" fontId="29" fillId="76" borderId="21" xfId="0" applyNumberFormat="1" applyFont="1" applyFill="1" applyBorder="1" applyAlignment="1">
      <x:alignment vertical="top" wrapText="1"/>
    </x:xf>
    <x:xf numFmtId="0" fontId="29" fillId="76" borderId="22" xfId="0" applyNumberFormat="1" applyFont="1" applyFill="1" applyBorder="1" applyAlignment="1">
      <x:alignment vertical="top" wrapText="1"/>
    </x:xf>
    <x:xf numFmtId="0" fontId="29" fillId="76" borderId="23" xfId="0" applyNumberFormat="1" applyFont="1" applyFill="1" applyBorder="1" applyAlignment="1">
      <x:alignment vertical="top" wrapText="1"/>
    </x:xf>
    <x:xf numFmtId="0" fontId="29" fillId="76" borderId="24" xfId="0" applyNumberFormat="1" applyFont="1" applyFill="1" applyBorder="1" applyAlignment="1">
      <x:alignment vertical="top" wrapText="1"/>
    </x:xf>
    <x:xf numFmtId="0" fontId="29" fillId="76" borderId="25" xfId="0" applyNumberFormat="1" applyFont="1" applyFill="1" applyBorder="1" applyAlignment="1">
      <x:alignment vertical="top" wrapText="1"/>
    </x:xf>
    <x:xf numFmtId="0" fontId="29" fillId="76" borderId="26" xfId="0" applyNumberFormat="1" applyFont="1" applyFill="1" applyBorder="1" applyAlignment="1">
      <x:alignment vertical="top" wrapText="1"/>
    </x:xf>
    <x:xf numFmtId="0" fontId="29" fillId="74" borderId="18" xfId="0" applyNumberFormat="1" applyFont="1" applyFill="1" applyBorder="1" applyAlignment="1">
      <x:alignment vertical="top" wrapText="1"/>
    </x:xf>
    <x:xf numFmtId="0" fontId="29" fillId="74" borderId="19" xfId="0" applyNumberFormat="1" applyFont="1" applyFill="1" applyBorder="1" applyAlignment="1">
      <x:alignment vertical="top" wrapText="1"/>
    </x:xf>
    <x:xf numFmtId="0" fontId="29" fillId="74" borderId="21" xfId="0" applyNumberFormat="1" applyFont="1" applyFill="1" applyBorder="1" applyAlignment="1">
      <x:alignment vertical="top" wrapText="1"/>
    </x:xf>
    <x:xf numFmtId="0" fontId="29" fillId="74" borderId="22" xfId="0" applyNumberFormat="1" applyFont="1" applyFill="1" applyBorder="1" applyAlignment="1">
      <x:alignment vertical="top" wrapText="1"/>
    </x:xf>
    <x:xf numFmtId="0" fontId="29" fillId="74" borderId="24" xfId="0" applyNumberFormat="1" applyFont="1" applyFill="1" applyBorder="1" applyAlignment="1">
      <x:alignment vertical="top" wrapText="1"/>
    </x:xf>
    <x:xf numFmtId="0" fontId="29" fillId="74" borderId="25" xfId="0" applyNumberFormat="1" applyFont="1" applyFill="1" applyBorder="1" applyAlignment="1">
      <x:alignment vertical="top" wrapText="1"/>
    </x:xf>
    <x:xf numFmtId="0" fontId="29" fillId="84" borderId="19" xfId="0" applyNumberFormat="1" applyFont="1" applyFill="1" applyBorder="1" applyAlignment="1">
      <x:alignment vertical="top" wrapText="1"/>
    </x:xf>
    <x:xf numFmtId="0" fontId="29" fillId="84" borderId="20" xfId="0" applyNumberFormat="1" applyFont="1" applyFill="1" applyBorder="1" applyAlignment="1">
      <x:alignment vertical="top" wrapText="1"/>
    </x:xf>
    <x:xf numFmtId="0" fontId="29" fillId="84" borderId="22" xfId="0" applyNumberFormat="1" applyFont="1" applyFill="1" applyBorder="1" applyAlignment="1">
      <x:alignment vertical="top" wrapText="1"/>
    </x:xf>
    <x:xf numFmtId="0" fontId="29" fillId="84" borderId="23" xfId="0" applyNumberFormat="1" applyFont="1" applyFill="1" applyBorder="1" applyAlignment="1">
      <x:alignment vertical="top" wrapText="1"/>
    </x:xf>
    <x:xf numFmtId="0" fontId="29" fillId="84" borderId="25" xfId="0" applyNumberFormat="1" applyFont="1" applyFill="1" applyBorder="1" applyAlignment="1">
      <x:alignment vertical="top" wrapText="1"/>
    </x:xf>
    <x:xf numFmtId="0" fontId="29" fillId="84" borderId="26" xfId="0" applyNumberFormat="1" applyFont="1" applyFill="1" applyBorder="1" applyAlignment="1">
      <x:alignment vertical="top" wrapText="1"/>
    </x:xf>
    <x:xf numFmtId="164" fontId="29" fillId="74" borderId="19" xfId="0" applyNumberFormat="1" applyFont="1" applyFill="1" applyBorder="1" applyAlignment="1">
      <x:alignment vertical="top" wrapText="1"/>
    </x:xf>
    <x:xf numFmtId="164" fontId="29" fillId="74" borderId="22" xfId="0" applyNumberFormat="1" applyFont="1" applyFill="1" applyBorder="1" applyAlignment="1">
      <x:alignment vertical="top" wrapText="1"/>
    </x:xf>
    <x:xf numFmtId="164" fontId="29" fillId="74" borderId="25" xfId="0" applyNumberFormat="1" applyFont="1" applyFill="1" applyBorder="1" applyAlignment="1">
      <x:alignment vertical="top" wrapText="1"/>
    </x:xf>
    <x:xf numFmtId="200" fontId="29" fillId="74" borderId="19" xfId="0" applyNumberFormat="1" applyFont="1" applyFill="1" applyBorder="1" applyAlignment="1">
      <x:alignment vertical="top" wrapText="1"/>
    </x:xf>
    <x:xf numFmtId="200" fontId="29" fillId="74" borderId="22" xfId="0" applyNumberFormat="1" applyFont="1" applyFill="1" applyBorder="1" applyAlignment="1">
      <x:alignment vertical="top" wrapText="1"/>
    </x:xf>
    <x:xf numFmtId="200" fontId="29" fillId="74" borderId="25" xfId="0" applyNumberFormat="1" applyFont="1" applyFill="1" applyBorder="1" applyAlignment="1">
      <x:alignment vertical="top" wrapText="1"/>
    </x:xf>
    <x:xf numFmtId="0" fontId="0" fillId="85" borderId="0" xfId="0" applyNumberFormat="1" applyFont="1" applyFill="1" applyBorder="1"/>
    <x:xf numFmtId="0" fontId="30" fillId="85" borderId="0" xfId="0" applyNumberFormat="1" applyFont="1" applyFill="1" applyBorder="1"/>
    <x:xf numFmtId="0" fontId="30" fillId="85" borderId="0" xfId="0" applyNumberFormat="1" applyFont="1" applyFill="1" applyBorder="1" applyAlignment="1">
      <x:alignment wrapText="1"/>
    </x:xf>
    <x:xf numFmtId="0" fontId="30" fillId="85" borderId="0" xfId="0" applyNumberFormat="1" applyFont="1" applyFill="1" applyBorder="1" applyAlignment="1">
      <x:alignment vertical="center" wrapText="1"/>
    </x:xf>
    <x:xf numFmtId="200" fontId="29" fillId="76" borderId="19" xfId="0" applyNumberFormat="1" applyFont="1" applyFill="1" applyBorder="1" applyAlignment="1">
      <x:alignment vertical="top" wrapText="1"/>
    </x:xf>
    <x:xf numFmtId="200" fontId="29" fillId="76" borderId="22" xfId="0" applyNumberFormat="1" applyFont="1" applyFill="1" applyBorder="1" applyAlignment="1">
      <x:alignment vertical="top" wrapText="1"/>
    </x:xf>
    <x:xf numFmtId="200" fontId="29" fillId="76" borderId="25" xfId="0" applyNumberFormat="1" applyFont="1" applyFill="1" applyBorder="1" applyAlignment="1">
      <x:alignment vertical="top" wrapText="1"/>
    </x:xf>
    <x:xf numFmtId="0" fontId="0" fillId="86" borderId="0" xfId="0" applyNumberFormat="1" applyFont="1" applyFill="1" applyBorder="1"/>
    <x:xf numFmtId="0" fontId="23" fillId="86" borderId="0" xfId="0" applyNumberFormat="1" applyFont="1" applyFill="1" applyBorder="1"/>
    <x:xf numFmtId="0" fontId="23" fillId="86" borderId="0" xfId="0" applyNumberFormat="1" applyFont="1" applyFill="1" applyBorder="1" applyAlignment="1">
      <x:alignment vertical="center"/>
    </x:xf>
    <x:xf numFmtId="0" fontId="0" fillId="87" borderId="0" xfId="0" applyNumberFormat="1" applyFont="1" applyFill="1" applyBorder="1"/>
    <x:xf numFmtId="0" fontId="27" fillId="87" borderId="0" xfId="0" applyNumberFormat="1" applyFont="1" applyFill="1" applyBorder="1"/>
    <x:xf numFmtId="0" fontId="27" fillId="87" borderId="0" xfId="0" applyNumberFormat="1" applyFont="1" applyFill="1" applyBorder="1" applyAlignment="1">
      <x:alignment wrapText="1"/>
    </x:xf>
    <x:xf numFmtId="0" fontId="27" fillId="87" borderId="0" xfId="0" applyNumberFormat="1" applyFont="1" applyFill="1" applyBorder="1" applyAlignment="1">
      <x:alignment vertical="center" wrapText="1"/>
    </x:xf>
    <x:xf numFmtId="0" fontId="0" fillId="88" borderId="0" xfId="0" applyNumberFormat="1" applyFont="1" applyFill="1" applyBorder="1"/>
    <x:xf numFmtId="0" fontId="32" fillId="88" borderId="0" xfId="0" applyNumberFormat="1" applyFont="1" applyFill="1" applyBorder="1"/>
    <x:xf numFmtId="0" fontId="32" fillId="88" borderId="0" xfId="0" applyNumberFormat="1" applyFont="1" applyFill="1" applyBorder="1" applyAlignment="1">
      <x:alignment wrapText="1"/>
    </x:xf>
    <x:xf numFmtId="0" fontId="32" fillId="88" borderId="0" xfId="0" applyNumberFormat="1" applyFont="1" applyFill="1" applyBorder="1" applyAlignment="1">
      <x:alignment vertical="top" wrapText="1"/>
    </x:xf>
    <x:xf numFmtId="0" fontId="0" fillId="89" borderId="0" xfId="0" applyNumberFormat="1" applyFont="1" applyFill="1" applyBorder="1"/>
    <x:xf numFmtId="0" fontId="33" fillId="89" borderId="0" xfId="0" applyNumberFormat="1" applyFont="1" applyFill="1" applyBorder="1"/>
    <x:xf numFmtId="0" fontId="33" fillId="89" borderId="0" xfId="0" applyNumberFormat="1" applyFont="1" applyFill="1" applyBorder="1" applyAlignment="1">
      <x:alignment wrapText="1"/>
    </x:xf>
    <x:xf numFmtId="0" fontId="33" fillId="89" borderId="0" xfId="0" applyNumberFormat="1" applyFont="1" applyFill="1" applyBorder="1" applyAlignment="1">
      <x:alignment vertical="top" wrapText="1"/>
    </x:xf>
    <x:xf numFmtId="0" fontId="0" fillId="90" borderId="0" xfId="0" applyNumberFormat="1" applyFont="1" applyFill="1" applyBorder="1"/>
    <x:xf numFmtId="0" fontId="32" fillId="90" borderId="0" xfId="0" applyNumberFormat="1" applyFont="1" applyFill="1" applyBorder="1"/>
    <x:xf numFmtId="0" fontId="32" fillId="90" borderId="0" xfId="0" applyNumberFormat="1" applyFont="1" applyFill="1" applyBorder="1" applyAlignment="1">
      <x:alignment wrapText="1"/>
    </x:xf>
    <x:xf numFmtId="0" fontId="32" fillId="90" borderId="0" xfId="0" applyNumberFormat="1" applyFont="1" applyFill="1" applyBorder="1" applyAlignment="1">
      <x:alignment horizontal="center" wrapText="1"/>
    </x:xf>
    <x:xf numFmtId="0" fontId="32" fillId="90" borderId="0" xfId="0" applyNumberFormat="1" applyFont="1" applyFill="1" applyBorder="1" applyAlignment="1">
      <x:alignment horizontal="center" vertical="center" wrapText="1"/>
    </x:xf>
    <x:xf numFmtId="0" fontId="0" fillId="91" borderId="0" xfId="0" applyNumberFormat="1" applyFont="1" applyFill="1" applyBorder="1"/>
    <x:xf numFmtId="0" fontId="34" fillId="91" borderId="0" xfId="0" applyNumberFormat="1" applyFont="1" applyFill="1" applyBorder="1"/>
    <x:xf numFmtId="0" fontId="34" fillId="91" borderId="27" xfId="0" applyNumberFormat="1" applyFont="1" applyFill="1" applyBorder="1"/>
    <x:xf numFmtId="0" fontId="34" fillId="91" borderId="28" xfId="0" applyNumberFormat="1" applyFont="1" applyFill="1" applyBorder="1"/>
    <x:xf numFmtId="0" fontId="34" fillId="91" borderId="29" xfId="0" applyNumberFormat="1" applyFont="1" applyFill="1" applyBorder="1"/>
    <x:xf numFmtId="0" fontId="34" fillId="91" borderId="30" xfId="0" applyNumberFormat="1" applyFont="1" applyFill="1" applyBorder="1"/>
    <x:xf numFmtId="0" fontId="34" fillId="91" borderId="31" xfId="0" applyNumberFormat="1" applyFont="1" applyFill="1" applyBorder="1"/>
    <x:xf numFmtId="0" fontId="34" fillId="91" borderId="32" xfId="0" applyNumberFormat="1" applyFont="1" applyFill="1" applyBorder="1"/>
    <x:xf numFmtId="0" fontId="34" fillId="91" borderId="33" xfId="0" applyNumberFormat="1" applyFont="1" applyFill="1" applyBorder="1"/>
    <x:xf numFmtId="0" fontId="34" fillId="91" borderId="34" xfId="0" applyNumberFormat="1" applyFont="1" applyFill="1" applyBorder="1"/>
    <x:xf numFmtId="0" fontId="34" fillId="91" borderId="35" xfId="0" applyNumberFormat="1" applyFont="1" applyFill="1" applyBorder="1"/>
    <x:xf numFmtId="0" fontId="34" fillId="91" borderId="27" xfId="0" applyNumberFormat="1" applyFont="1" applyFill="1" applyBorder="1" applyAlignment="1">
      <x:alignment wrapText="1"/>
    </x:xf>
    <x:xf numFmtId="0" fontId="34" fillId="91" borderId="28" xfId="0" applyNumberFormat="1" applyFont="1" applyFill="1" applyBorder="1" applyAlignment="1">
      <x:alignment wrapText="1"/>
    </x:xf>
    <x:xf numFmtId="0" fontId="34" fillId="91" borderId="29" xfId="0" applyNumberFormat="1" applyFont="1" applyFill="1" applyBorder="1" applyAlignment="1">
      <x:alignment wrapText="1"/>
    </x:xf>
    <x:xf numFmtId="0" fontId="34" fillId="91" borderId="30" xfId="0" applyNumberFormat="1" applyFont="1" applyFill="1" applyBorder="1" applyAlignment="1">
      <x:alignment wrapText="1"/>
    </x:xf>
    <x:xf numFmtId="0" fontId="34" fillId="91" borderId="31" xfId="0" applyNumberFormat="1" applyFont="1" applyFill="1" applyBorder="1" applyAlignment="1">
      <x:alignment wrapText="1"/>
    </x:xf>
    <x:xf numFmtId="0" fontId="34" fillId="91" borderId="32" xfId="0" applyNumberFormat="1" applyFont="1" applyFill="1" applyBorder="1" applyAlignment="1">
      <x:alignment wrapText="1"/>
    </x:xf>
    <x:xf numFmtId="0" fontId="34" fillId="91" borderId="33" xfId="0" applyNumberFormat="1" applyFont="1" applyFill="1" applyBorder="1" applyAlignment="1">
      <x:alignment wrapText="1"/>
    </x:xf>
    <x:xf numFmtId="0" fontId="34" fillId="91" borderId="34" xfId="0" applyNumberFormat="1" applyFont="1" applyFill="1" applyBorder="1" applyAlignment="1">
      <x:alignment wrapText="1"/>
    </x:xf>
    <x:xf numFmtId="0" fontId="34" fillId="91" borderId="35" xfId="0" applyNumberFormat="1" applyFont="1" applyFill="1" applyBorder="1" applyAlignment="1">
      <x:alignment wrapText="1"/>
    </x:xf>
    <x:xf numFmtId="0" fontId="34" fillId="91" borderId="27" xfId="0" applyNumberFormat="1" applyFont="1" applyFill="1" applyBorder="1" applyAlignment="1">
      <x:alignment vertical="top" wrapText="1"/>
    </x:xf>
    <x:xf numFmtId="0" fontId="34" fillId="91" borderId="28" xfId="0" applyNumberFormat="1" applyFont="1" applyFill="1" applyBorder="1" applyAlignment="1">
      <x:alignment vertical="top" wrapText="1"/>
    </x:xf>
    <x:xf numFmtId="0" fontId="34" fillId="91" borderId="29" xfId="0" applyNumberFormat="1" applyFont="1" applyFill="1" applyBorder="1" applyAlignment="1">
      <x:alignment vertical="top" wrapText="1"/>
    </x:xf>
    <x:xf numFmtId="0" fontId="34" fillId="91" borderId="30" xfId="0" applyNumberFormat="1" applyFont="1" applyFill="1" applyBorder="1" applyAlignment="1">
      <x:alignment vertical="top" wrapText="1"/>
    </x:xf>
    <x:xf numFmtId="0" fontId="34" fillId="91" borderId="31" xfId="0" applyNumberFormat="1" applyFont="1" applyFill="1" applyBorder="1" applyAlignment="1">
      <x:alignment vertical="top" wrapText="1"/>
    </x:xf>
    <x:xf numFmtId="0" fontId="34" fillId="91" borderId="32" xfId="0" applyNumberFormat="1" applyFont="1" applyFill="1" applyBorder="1" applyAlignment="1">
      <x:alignment vertical="top" wrapText="1"/>
    </x:xf>
    <x:xf numFmtId="0" fontId="34" fillId="91" borderId="33" xfId="0" applyNumberFormat="1" applyFont="1" applyFill="1" applyBorder="1" applyAlignment="1">
      <x:alignment vertical="top" wrapText="1"/>
    </x:xf>
    <x:xf numFmtId="0" fontId="34" fillId="91" borderId="34" xfId="0" applyNumberFormat="1" applyFont="1" applyFill="1" applyBorder="1" applyAlignment="1">
      <x:alignment vertical="top" wrapText="1"/>
    </x:xf>
    <x:xf numFmtId="0" fontId="34" fillId="91" borderId="35" xfId="0" applyNumberFormat="1" applyFont="1" applyFill="1" applyBorder="1" applyAlignment="1">
      <x:alignment vertical="top" wrapText="1"/>
    </x:xf>
    <x:xf numFmtId="0" fontId="0" fillId="92" borderId="0" xfId="0" applyNumberFormat="1" applyFont="1" applyFill="1" applyBorder="1"/>
    <x:xf numFmtId="0" fontId="24" fillId="92" borderId="0" xfId="0" applyNumberFormat="1" applyFont="1" applyFill="1" applyBorder="1"/>
    <x:xf numFmtId="0" fontId="24" fillId="92" borderId="0" xfId="0" applyNumberFormat="1" applyFont="1" applyFill="1" applyBorder="1" applyAlignment="1">
      <x:alignment horizontal="center"/>
    </x:xf>
    <x:xf numFmtId="0" fontId="24" fillId="92" borderId="0" xfId="0" applyNumberFormat="1" applyFont="1" applyFill="1" applyBorder="1" applyAlignment="1">
      <x:alignment wrapText="1"/>
    </x:xf>
    <x:xf numFmtId="0" fontId="24" fillId="92" borderId="0" xfId="0" applyNumberFormat="1" applyFont="1" applyFill="1" applyBorder="1" applyAlignment="1">
      <x:alignment vertical="center" wrapText="1"/>
    </x:xf>
    <x:xf numFmtId="0" fontId="35" fillId="90" borderId="0" xfId="0" applyNumberFormat="1" applyFont="1" applyFill="1" applyBorder="1"/>
    <x:xf numFmtId="0" fontId="35" fillId="90" borderId="0" xfId="0" applyNumberFormat="1" applyFont="1" applyFill="1" applyBorder="1" applyAlignment="1">
      <x:alignment wrapText="1"/>
    </x:xf>
    <x:xf numFmtId="0" fontId="35" fillId="90" borderId="0" xfId="0" applyNumberFormat="1" applyFont="1" applyFill="1" applyBorder="1" applyAlignment="1">
      <x:alignment horizontal="center" wrapText="1"/>
    </x:xf>
    <x:xf numFmtId="0" fontId="35" fillId="90" borderId="0" xfId="0" applyNumberFormat="1" applyFont="1" applyFill="1" applyBorder="1" applyAlignment="1">
      <x:alignment horizontal="center" vertical="center" wrapText="1"/>
    </x:xf>
    <x:xf numFmtId="0" fontId="36" fillId="91" borderId="0" xfId="0" applyNumberFormat="1" applyFont="1" applyFill="1" applyBorder="1"/>
    <x:xf numFmtId="0" fontId="36" fillId="91" borderId="27" xfId="0" applyNumberFormat="1" applyFont="1" applyFill="1" applyBorder="1"/>
    <x:xf numFmtId="0" fontId="36" fillId="91" borderId="28" xfId="0" applyNumberFormat="1" applyFont="1" applyFill="1" applyBorder="1"/>
    <x:xf numFmtId="0" fontId="36" fillId="91" borderId="29" xfId="0" applyNumberFormat="1" applyFont="1" applyFill="1" applyBorder="1"/>
    <x:xf numFmtId="0" fontId="36" fillId="91" borderId="30" xfId="0" applyNumberFormat="1" applyFont="1" applyFill="1" applyBorder="1"/>
    <x:xf numFmtId="0" fontId="36" fillId="91" borderId="31" xfId="0" applyNumberFormat="1" applyFont="1" applyFill="1" applyBorder="1"/>
    <x:xf numFmtId="0" fontId="36" fillId="91" borderId="32" xfId="0" applyNumberFormat="1" applyFont="1" applyFill="1" applyBorder="1"/>
    <x:xf numFmtId="0" fontId="36" fillId="91" borderId="33" xfId="0" applyNumberFormat="1" applyFont="1" applyFill="1" applyBorder="1"/>
    <x:xf numFmtId="0" fontId="36" fillId="91" borderId="34" xfId="0" applyNumberFormat="1" applyFont="1" applyFill="1" applyBorder="1"/>
    <x:xf numFmtId="0" fontId="36" fillId="91" borderId="35" xfId="0" applyNumberFormat="1" applyFont="1" applyFill="1" applyBorder="1"/>
    <x:xf numFmtId="0" fontId="36" fillId="91" borderId="27" xfId="0" applyNumberFormat="1" applyFont="1" applyFill="1" applyBorder="1" applyAlignment="1">
      <x:alignment wrapText="1"/>
    </x:xf>
    <x:xf numFmtId="0" fontId="36" fillId="91" borderId="28" xfId="0" applyNumberFormat="1" applyFont="1" applyFill="1" applyBorder="1" applyAlignment="1">
      <x:alignment wrapText="1"/>
    </x:xf>
    <x:xf numFmtId="0" fontId="36" fillId="91" borderId="29" xfId="0" applyNumberFormat="1" applyFont="1" applyFill="1" applyBorder="1" applyAlignment="1">
      <x:alignment wrapText="1"/>
    </x:xf>
    <x:xf numFmtId="0" fontId="36" fillId="91" borderId="30" xfId="0" applyNumberFormat="1" applyFont="1" applyFill="1" applyBorder="1" applyAlignment="1">
      <x:alignment wrapText="1"/>
    </x:xf>
    <x:xf numFmtId="0" fontId="36" fillId="91" borderId="31" xfId="0" applyNumberFormat="1" applyFont="1" applyFill="1" applyBorder="1" applyAlignment="1">
      <x:alignment wrapText="1"/>
    </x:xf>
    <x:xf numFmtId="0" fontId="36" fillId="91" borderId="32" xfId="0" applyNumberFormat="1" applyFont="1" applyFill="1" applyBorder="1" applyAlignment="1">
      <x:alignment wrapText="1"/>
    </x:xf>
    <x:xf numFmtId="0" fontId="36" fillId="91" borderId="33" xfId="0" applyNumberFormat="1" applyFont="1" applyFill="1" applyBorder="1" applyAlignment="1">
      <x:alignment wrapText="1"/>
    </x:xf>
    <x:xf numFmtId="0" fontId="36" fillId="91" borderId="34" xfId="0" applyNumberFormat="1" applyFont="1" applyFill="1" applyBorder="1" applyAlignment="1">
      <x:alignment wrapText="1"/>
    </x:xf>
    <x:xf numFmtId="0" fontId="36" fillId="91" borderId="35" xfId="0" applyNumberFormat="1" applyFont="1" applyFill="1" applyBorder="1" applyAlignment="1">
      <x:alignment wrapText="1"/>
    </x:xf>
    <x:xf numFmtId="0" fontId="36" fillId="91" borderId="27" xfId="0" applyNumberFormat="1" applyFont="1" applyFill="1" applyBorder="1" applyAlignment="1">
      <x:alignment vertical="top" wrapText="1"/>
    </x:xf>
    <x:xf numFmtId="0" fontId="36" fillId="91" borderId="28" xfId="0" applyNumberFormat="1" applyFont="1" applyFill="1" applyBorder="1" applyAlignment="1">
      <x:alignment vertical="top" wrapText="1"/>
    </x:xf>
    <x:xf numFmtId="0" fontId="36" fillId="91" borderId="29" xfId="0" applyNumberFormat="1" applyFont="1" applyFill="1" applyBorder="1" applyAlignment="1">
      <x:alignment vertical="top" wrapText="1"/>
    </x:xf>
    <x:xf numFmtId="0" fontId="36" fillId="91" borderId="30" xfId="0" applyNumberFormat="1" applyFont="1" applyFill="1" applyBorder="1" applyAlignment="1">
      <x:alignment vertical="top" wrapText="1"/>
    </x:xf>
    <x:xf numFmtId="0" fontId="36" fillId="91" borderId="31" xfId="0" applyNumberFormat="1" applyFont="1" applyFill="1" applyBorder="1" applyAlignment="1">
      <x:alignment vertical="top" wrapText="1"/>
    </x:xf>
    <x:xf numFmtId="0" fontId="36" fillId="91" borderId="32" xfId="0" applyNumberFormat="1" applyFont="1" applyFill="1" applyBorder="1" applyAlignment="1">
      <x:alignment vertical="top" wrapText="1"/>
    </x:xf>
    <x:xf numFmtId="0" fontId="36" fillId="91" borderId="33" xfId="0" applyNumberFormat="1" applyFont="1" applyFill="1" applyBorder="1" applyAlignment="1">
      <x:alignment vertical="top" wrapText="1"/>
    </x:xf>
    <x:xf numFmtId="0" fontId="36" fillId="91" borderId="34" xfId="0" applyNumberFormat="1" applyFont="1" applyFill="1" applyBorder="1" applyAlignment="1">
      <x:alignment vertical="top" wrapText="1"/>
    </x:xf>
    <x:xf numFmtId="0" fontId="36" fillId="91" borderId="35" xfId="0" applyNumberFormat="1" applyFont="1" applyFill="1" applyBorder="1" applyAlignment="1">
      <x:alignment vertical="top" wrapText="1"/>
    </x:xf>
    <x:xf numFmtId="0" fontId="36" fillId="89" borderId="27" xfId="0" applyNumberFormat="1" applyFont="1" applyFill="1" applyBorder="1" applyAlignment="1">
      <x:alignment vertical="top" wrapText="1"/>
    </x:xf>
    <x:xf numFmtId="0" fontId="36" fillId="89" borderId="28" xfId="0" applyNumberFormat="1" applyFont="1" applyFill="1" applyBorder="1" applyAlignment="1">
      <x:alignment vertical="top" wrapText="1"/>
    </x:xf>
    <x:xf numFmtId="0" fontId="36" fillId="89" borderId="30" xfId="0" applyNumberFormat="1" applyFont="1" applyFill="1" applyBorder="1" applyAlignment="1">
      <x:alignment vertical="top" wrapText="1"/>
    </x:xf>
    <x:xf numFmtId="0" fontId="36" fillId="89" borderId="31" xfId="0" applyNumberFormat="1" applyFont="1" applyFill="1" applyBorder="1" applyAlignment="1">
      <x:alignment vertical="top" wrapText="1"/>
    </x:xf>
    <x:xf numFmtId="0" fontId="36" fillId="89" borderId="33" xfId="0" applyNumberFormat="1" applyFont="1" applyFill="1" applyBorder="1" applyAlignment="1">
      <x:alignment vertical="top" wrapText="1"/>
    </x:xf>
    <x:xf numFmtId="0" fontId="36" fillId="89" borderId="34" xfId="0" applyNumberFormat="1" applyFont="1" applyFill="1" applyBorder="1" applyAlignment="1">
      <x:alignment vertical="top" wrapText="1"/>
    </x:xf>
    <x:xf numFmtId="0" fontId="37" fillId="89" borderId="27" xfId="0" applyNumberFormat="1" applyFont="1" applyFill="1" applyBorder="1" applyAlignment="1">
      <x:alignment vertical="top" wrapText="1"/>
    </x:xf>
    <x:xf numFmtId="0" fontId="37" fillId="89" borderId="28" xfId="0" applyNumberFormat="1" applyFont="1" applyFill="1" applyBorder="1" applyAlignment="1">
      <x:alignment vertical="top" wrapText="1"/>
    </x:xf>
    <x:xf numFmtId="0" fontId="37" fillId="89" borderId="30" xfId="0" applyNumberFormat="1" applyFont="1" applyFill="1" applyBorder="1" applyAlignment="1">
      <x:alignment vertical="top" wrapText="1"/>
    </x:xf>
    <x:xf numFmtId="0" fontId="37" fillId="89" borderId="31" xfId="0" applyNumberFormat="1" applyFont="1" applyFill="1" applyBorder="1" applyAlignment="1">
      <x:alignment vertical="top" wrapText="1"/>
    </x:xf>
    <x:xf numFmtId="0" fontId="37" fillId="89" borderId="33" xfId="0" applyNumberFormat="1" applyFont="1" applyFill="1" applyBorder="1" applyAlignment="1">
      <x:alignment vertical="top" wrapText="1"/>
    </x:xf>
    <x:xf numFmtId="0" fontId="37" fillId="89" borderId="34" xfId="0" applyNumberFormat="1" applyFont="1" applyFill="1" applyBorder="1" applyAlignment="1">
      <x:alignment vertical="top" wrapText="1"/>
    </x:xf>
    <x:xf numFmtId="0" fontId="37" fillId="89" borderId="27" xfId="0" applyNumberFormat="1" applyFont="1" applyFill="1" applyBorder="1" applyAlignment="1">
      <x:alignment vertical="center" wrapText="1"/>
    </x:xf>
    <x:xf numFmtId="0" fontId="37" fillId="89" borderId="28" xfId="0" applyNumberFormat="1" applyFont="1" applyFill="1" applyBorder="1" applyAlignment="1">
      <x:alignment vertical="center" wrapText="1"/>
    </x:xf>
    <x:xf numFmtId="0" fontId="37" fillId="89" borderId="30" xfId="0" applyNumberFormat="1" applyFont="1" applyFill="1" applyBorder="1" applyAlignment="1">
      <x:alignment vertical="center" wrapText="1"/>
    </x:xf>
    <x:xf numFmtId="0" fontId="37" fillId="89" borderId="31" xfId="0" applyNumberFormat="1" applyFont="1" applyFill="1" applyBorder="1" applyAlignment="1">
      <x:alignment vertical="center" wrapText="1"/>
    </x:xf>
    <x:xf numFmtId="0" fontId="37" fillId="89" borderId="33" xfId="0" applyNumberFormat="1" applyFont="1" applyFill="1" applyBorder="1" applyAlignment="1">
      <x:alignment vertical="center" wrapText="1"/>
    </x:xf>
    <x:xf numFmtId="0" fontId="37" fillId="89" borderId="34" xfId="0" applyNumberFormat="1" applyFont="1" applyFill="1" applyBorder="1" applyAlignment="1">
      <x:alignment vertical="center" wrapText="1"/>
    </x:xf>
    <x:xf numFmtId="164" fontId="36" fillId="91" borderId="28" xfId="0" applyNumberFormat="1" applyFont="1" applyFill="1" applyBorder="1" applyAlignment="1">
      <x:alignment vertical="top" wrapText="1"/>
    </x:xf>
    <x:xf numFmtId="164" fontId="36" fillId="91" borderId="31" xfId="0" applyNumberFormat="1" applyFont="1" applyFill="1" applyBorder="1" applyAlignment="1">
      <x:alignment vertical="top" wrapText="1"/>
    </x:xf>
    <x:xf numFmtId="164" fontId="36" fillId="91" borderId="34" xfId="0" applyNumberFormat="1" applyFont="1" applyFill="1" applyBorder="1" applyAlignment="1">
      <x:alignment vertical="top" wrapText="1"/>
    </x:xf>
    <x:xf numFmtId="0" fontId="0" fillId="93" borderId="0" xfId="0" applyNumberFormat="1" applyFont="1" applyFill="1" applyBorder="1"/>
    <x:xf numFmtId="0" fontId="26" fillId="93" borderId="0" xfId="0" applyNumberFormat="1" applyFont="1" applyFill="1" applyBorder="1"/>
    <x:xf numFmtId="0" fontId="26" fillId="93" borderId="0" xfId="0" applyNumberFormat="1" applyFont="1" applyFill="1" applyBorder="1" applyAlignment="1">
      <x:alignment wrapText="1"/>
    </x:xf>
    <x:xf numFmtId="0" fontId="26" fillId="93" borderId="0" xfId="0" applyNumberFormat="1" applyFont="1" applyFill="1" applyBorder="1" applyAlignment="1">
      <x:alignment vertical="center" wrapText="1"/>
    </x:xf>
    <x:xf numFmtId="0" fontId="29" fillId="91" borderId="0" xfId="0" applyNumberFormat="1" applyFont="1" applyFill="1" applyBorder="1"/>
    <x:xf numFmtId="0" fontId="29" fillId="91" borderId="27" xfId="0" applyNumberFormat="1" applyFont="1" applyFill="1" applyBorder="1"/>
    <x:xf numFmtId="0" fontId="29" fillId="91" borderId="28" xfId="0" applyNumberFormat="1" applyFont="1" applyFill="1" applyBorder="1"/>
    <x:xf numFmtId="0" fontId="29" fillId="91" borderId="29" xfId="0" applyNumberFormat="1" applyFont="1" applyFill="1" applyBorder="1"/>
    <x:xf numFmtId="0" fontId="29" fillId="91" borderId="30" xfId="0" applyNumberFormat="1" applyFont="1" applyFill="1" applyBorder="1"/>
    <x:xf numFmtId="0" fontId="29" fillId="91" borderId="31" xfId="0" applyNumberFormat="1" applyFont="1" applyFill="1" applyBorder="1"/>
    <x:xf numFmtId="0" fontId="29" fillId="91" borderId="32" xfId="0" applyNumberFormat="1" applyFont="1" applyFill="1" applyBorder="1"/>
    <x:xf numFmtId="0" fontId="29" fillId="91" borderId="33" xfId="0" applyNumberFormat="1" applyFont="1" applyFill="1" applyBorder="1"/>
    <x:xf numFmtId="0" fontId="29" fillId="91" borderId="34" xfId="0" applyNumberFormat="1" applyFont="1" applyFill="1" applyBorder="1"/>
    <x:xf numFmtId="0" fontId="29" fillId="91" borderId="35" xfId="0" applyNumberFormat="1" applyFont="1" applyFill="1" applyBorder="1"/>
    <x:xf numFmtId="0" fontId="29" fillId="91" borderId="27" xfId="0" applyNumberFormat="1" applyFont="1" applyFill="1" applyBorder="1" applyAlignment="1">
      <x:alignment wrapText="1"/>
    </x:xf>
    <x:xf numFmtId="0" fontId="29" fillId="91" borderId="28" xfId="0" applyNumberFormat="1" applyFont="1" applyFill="1" applyBorder="1" applyAlignment="1">
      <x:alignment wrapText="1"/>
    </x:xf>
    <x:xf numFmtId="0" fontId="29" fillId="91" borderId="29" xfId="0" applyNumberFormat="1" applyFont="1" applyFill="1" applyBorder="1" applyAlignment="1">
      <x:alignment wrapText="1"/>
    </x:xf>
    <x:xf numFmtId="0" fontId="29" fillId="91" borderId="30" xfId="0" applyNumberFormat="1" applyFont="1" applyFill="1" applyBorder="1" applyAlignment="1">
      <x:alignment wrapText="1"/>
    </x:xf>
    <x:xf numFmtId="0" fontId="29" fillId="91" borderId="31" xfId="0" applyNumberFormat="1" applyFont="1" applyFill="1" applyBorder="1" applyAlignment="1">
      <x:alignment wrapText="1"/>
    </x:xf>
    <x:xf numFmtId="0" fontId="29" fillId="91" borderId="32" xfId="0" applyNumberFormat="1" applyFont="1" applyFill="1" applyBorder="1" applyAlignment="1">
      <x:alignment wrapText="1"/>
    </x:xf>
    <x:xf numFmtId="0" fontId="29" fillId="91" borderId="33" xfId="0" applyNumberFormat="1" applyFont="1" applyFill="1" applyBorder="1" applyAlignment="1">
      <x:alignment wrapText="1"/>
    </x:xf>
    <x:xf numFmtId="0" fontId="29" fillId="91" borderId="34" xfId="0" applyNumberFormat="1" applyFont="1" applyFill="1" applyBorder="1" applyAlignment="1">
      <x:alignment wrapText="1"/>
    </x:xf>
    <x:xf numFmtId="0" fontId="29" fillId="91" borderId="35" xfId="0" applyNumberFormat="1" applyFont="1" applyFill="1" applyBorder="1" applyAlignment="1">
      <x:alignment wrapText="1"/>
    </x:xf>
    <x:xf numFmtId="0" fontId="29" fillId="91" borderId="27" xfId="0" applyNumberFormat="1" applyFont="1" applyFill="1" applyBorder="1" applyAlignment="1">
      <x:alignment vertical="top" wrapText="1"/>
    </x:xf>
    <x:xf numFmtId="0" fontId="29" fillId="91" borderId="28" xfId="0" applyNumberFormat="1" applyFont="1" applyFill="1" applyBorder="1" applyAlignment="1">
      <x:alignment vertical="top" wrapText="1"/>
    </x:xf>
    <x:xf numFmtId="0" fontId="29" fillId="91" borderId="29" xfId="0" applyNumberFormat="1" applyFont="1" applyFill="1" applyBorder="1" applyAlignment="1">
      <x:alignment vertical="top" wrapText="1"/>
    </x:xf>
    <x:xf numFmtId="0" fontId="29" fillId="91" borderId="30" xfId="0" applyNumberFormat="1" applyFont="1" applyFill="1" applyBorder="1" applyAlignment="1">
      <x:alignment vertical="top" wrapText="1"/>
    </x:xf>
    <x:xf numFmtId="0" fontId="29" fillId="91" borderId="31" xfId="0" applyNumberFormat="1" applyFont="1" applyFill="1" applyBorder="1" applyAlignment="1">
      <x:alignment vertical="top" wrapText="1"/>
    </x:xf>
    <x:xf numFmtId="0" fontId="29" fillId="91" borderId="32" xfId="0" applyNumberFormat="1" applyFont="1" applyFill="1" applyBorder="1" applyAlignment="1">
      <x:alignment vertical="top" wrapText="1"/>
    </x:xf>
    <x:xf numFmtId="0" fontId="29" fillId="91" borderId="33" xfId="0" applyNumberFormat="1" applyFont="1" applyFill="1" applyBorder="1" applyAlignment="1">
      <x:alignment vertical="top" wrapText="1"/>
    </x:xf>
    <x:xf numFmtId="0" fontId="29" fillId="91" borderId="34" xfId="0" applyNumberFormat="1" applyFont="1" applyFill="1" applyBorder="1" applyAlignment="1">
      <x:alignment vertical="top" wrapText="1"/>
    </x:xf>
    <x:xf numFmtId="0" fontId="29" fillId="91" borderId="35" xfId="0" applyNumberFormat="1" applyFont="1" applyFill="1" applyBorder="1" applyAlignment="1">
      <x:alignment vertical="top" wrapText="1"/>
    </x:xf>
    <x:xf numFmtId="0" fontId="29" fillId="89" borderId="27" xfId="0" applyNumberFormat="1" applyFont="1" applyFill="1" applyBorder="1" applyAlignment="1">
      <x:alignment vertical="top" wrapText="1"/>
    </x:xf>
    <x:xf numFmtId="0" fontId="29" fillId="89" borderId="30" xfId="0" applyNumberFormat="1" applyFont="1" applyFill="1" applyBorder="1" applyAlignment="1">
      <x:alignment vertical="top" wrapText="1"/>
    </x:xf>
    <x:xf numFmtId="0" fontId="29" fillId="89" borderId="33" xfId="0" applyNumberFormat="1" applyFont="1" applyFill="1" applyBorder="1" applyAlignment="1">
      <x:alignment vertical="top" wrapText="1"/>
    </x:xf>
    <x:xf numFmtId="0" fontId="38" fillId="89" borderId="27" xfId="0" applyNumberFormat="1" applyFont="1" applyFill="1" applyBorder="1" applyAlignment="1">
      <x:alignment vertical="top" wrapText="1"/>
    </x:xf>
    <x:xf numFmtId="0" fontId="38" fillId="89" borderId="30" xfId="0" applyNumberFormat="1" applyFont="1" applyFill="1" applyBorder="1" applyAlignment="1">
      <x:alignment vertical="top" wrapText="1"/>
    </x:xf>
    <x:xf numFmtId="0" fontId="38" fillId="89" borderId="33" xfId="0" applyNumberFormat="1" applyFont="1" applyFill="1" applyBorder="1" applyAlignment="1">
      <x:alignment vertical="top" wrapText="1"/>
    </x:xf>
    <x:xf numFmtId="0" fontId="24" fillId="92" borderId="0" xfId="0" applyNumberFormat="1" applyFont="1" applyFill="1" applyBorder="1" applyAlignment="1">
      <x:alignment vertical="center"/>
    </x:xf>
    <x:xf numFmtId="0" fontId="0" fillId="94" borderId="0" xfId="0" applyNumberFormat="1" applyFont="1" applyFill="1" applyBorder="1"/>
    <x:xf numFmtId="0" fontId="25" fillId="94" borderId="0" xfId="0" applyNumberFormat="1" applyFont="1" applyFill="1" applyBorder="1"/>
    <x:xf numFmtId="0" fontId="25" fillId="94" borderId="0" xfId="0" applyNumberFormat="1" applyFont="1" applyFill="1" applyBorder="1" applyAlignment="1">
      <x:alignment wrapText="1"/>
    </x:xf>
    <x:xf numFmtId="0" fontId="25" fillId="94" borderId="0" xfId="0" applyNumberFormat="1" applyFont="1" applyFill="1" applyBorder="1" applyAlignment="1">
      <x:alignment vertical="center" wrapText="1"/>
    </x:xf>
    <x:xf numFmtId="0" fontId="0" fillId="95" borderId="0" xfId="0" applyNumberFormat="1" applyFont="1" applyFill="1" applyBorder="1"/>
    <x:xf numFmtId="0" fontId="28" fillId="95" borderId="0" xfId="0" applyNumberFormat="1" applyFont="1" applyFill="1" applyBorder="1"/>
    <x:xf numFmtId="0" fontId="28" fillId="95" borderId="0" xfId="0" applyNumberFormat="1" applyFont="1" applyFill="1" applyBorder="1" applyAlignment="1">
      <x:alignment horizontal="center"/>
    </x:xf>
    <x:xf numFmtId="0" fontId="28" fillId="95" borderId="0" xfId="0" applyNumberFormat="1" applyFont="1" applyFill="1" applyBorder="1" applyAlignment="1">
      <x:alignment horizontal="center" vertical="center"/>
    </x:xf>
    <x:xf numFmtId="0" fontId="0" fillId="96" borderId="0" xfId="0" applyNumberFormat="1" applyFont="1" applyFill="1" applyBorder="1"/>
    <x:xf numFmtId="0" fontId="28" fillId="96" borderId="0" xfId="0" applyNumberFormat="1" applyFont="1" applyFill="1" applyBorder="1"/>
    <x:xf numFmtId="0" fontId="28" fillId="96" borderId="0" xfId="0" applyNumberFormat="1" applyFont="1" applyFill="1" applyBorder="1" applyAlignment="1">
      <x:alignment horizontal="center"/>
    </x:xf>
    <x:xf numFmtId="0" fontId="28" fillId="96" borderId="0" xfId="0" applyNumberFormat="1" applyFont="1" applyFill="1" applyBorder="1" applyAlignment="1">
      <x:alignment horizontal="center" vertical="center"/>
    </x:xf>
    <x:xf numFmtId="0" fontId="0" fillId="97" borderId="0" xfId="0" applyNumberFormat="1" applyFont="1" applyFill="1" applyBorder="1"/>
    <x:xf numFmtId="0" fontId="28" fillId="97" borderId="0" xfId="0" applyNumberFormat="1" applyFont="1" applyFill="1" applyBorder="1"/>
    <x:xf numFmtId="0" fontId="28" fillId="97" borderId="0" xfId="0" applyNumberFormat="1" applyFont="1" applyFill="1" applyBorder="1" applyAlignment="1">
      <x:alignment horizontal="center"/>
    </x:xf>
    <x:xf numFmtId="0" fontId="28" fillId="97" borderId="0" xfId="0" applyNumberFormat="1" applyFont="1" applyFill="1" applyBorder="1" applyAlignment="1">
      <x:alignment horizontal="center" vertical="center"/>
    </x:xf>
    <x:xf numFmtId="0" fontId="0" fillId="98" borderId="0" xfId="0" applyNumberFormat="1" applyFont="1" applyFill="1" applyBorder="1"/>
    <x:xf numFmtId="0" fontId="28" fillId="98" borderId="0" xfId="0" applyNumberFormat="1" applyFont="1" applyFill="1" applyBorder="1"/>
    <x:xf numFmtId="0" fontId="28" fillId="98" borderId="0" xfId="0" applyNumberFormat="1" applyFont="1" applyFill="1" applyBorder="1" applyAlignment="1">
      <x:alignment horizontal="center"/>
    </x:xf>
    <x:xf numFmtId="0" fontId="28" fillId="98" borderId="0" xfId="0" applyNumberFormat="1" applyFont="1" applyFill="1" applyBorder="1" applyAlignment="1">
      <x:alignment horizontal="center" vertical="center"/>
    </x:xf>
    <x:xf numFmtId="0" fontId="28" fillId="90" borderId="0" xfId="0" applyNumberFormat="1" applyFont="1" applyFill="1" applyBorder="1"/>
    <x:xf numFmtId="0" fontId="28" fillId="90" borderId="15" xfId="0" applyNumberFormat="1" applyFont="1" applyFill="1" applyBorder="1"/>
    <x:xf numFmtId="0" fontId="28" fillId="90" borderId="16" xfId="0" applyNumberFormat="1" applyFont="1" applyFill="1" applyBorder="1"/>
    <x:xf numFmtId="0" fontId="28" fillId="90" borderId="17" xfId="0" applyNumberFormat="1" applyFont="1" applyFill="1" applyBorder="1"/>
    <x:xf numFmtId="0" fontId="28" fillId="90" borderId="15" xfId="0" applyNumberFormat="1" applyFont="1" applyFill="1" applyBorder="1" applyAlignment="1">
      <x:alignment wrapText="1"/>
    </x:xf>
    <x:xf numFmtId="0" fontId="28" fillId="90" borderId="16" xfId="0" applyNumberFormat="1" applyFont="1" applyFill="1" applyBorder="1" applyAlignment="1">
      <x:alignment wrapText="1"/>
    </x:xf>
    <x:xf numFmtId="0" fontId="28" fillId="90" borderId="17" xfId="0" applyNumberFormat="1" applyFont="1" applyFill="1" applyBorder="1" applyAlignment="1">
      <x:alignment wrapText="1"/>
    </x:xf>
    <x:xf numFmtId="0" fontId="28" fillId="90" borderId="15" xfId="0" applyNumberFormat="1" applyFont="1" applyFill="1" applyBorder="1" applyAlignment="1">
      <x:alignment horizontal="center" wrapText="1"/>
    </x:xf>
    <x:xf numFmtId="0" fontId="28" fillId="90" borderId="16" xfId="0" applyNumberFormat="1" applyFont="1" applyFill="1" applyBorder="1" applyAlignment="1">
      <x:alignment horizontal="center" wrapText="1"/>
    </x:xf>
    <x:xf numFmtId="0" fontId="28" fillId="90" borderId="17" xfId="0" applyNumberFormat="1" applyFont="1" applyFill="1" applyBorder="1" applyAlignment="1">
      <x:alignment horizontal="center" wrapText="1"/>
    </x:xf>
    <x:xf numFmtId="0" fontId="28" fillId="90" borderId="15" xfId="0" applyNumberFormat="1" applyFont="1" applyFill="1" applyBorder="1" applyAlignment="1">
      <x:alignment horizontal="center" vertical="center" wrapText="1"/>
    </x:xf>
    <x:xf numFmtId="0" fontId="28" fillId="90" borderId="16" xfId="0" applyNumberFormat="1" applyFont="1" applyFill="1" applyBorder="1" applyAlignment="1">
      <x:alignment horizontal="center" vertical="center" wrapText="1"/>
    </x:xf>
    <x:xf numFmtId="0" fontId="28" fillId="90" borderId="17" xfId="0" applyNumberFormat="1" applyFont="1" applyFill="1" applyBorder="1" applyAlignment="1">
      <x:alignment horizontal="center" vertical="center" wrapText="1"/>
    </x:xf>
    <x:xf numFmtId="0" fontId="29" fillId="91" borderId="18" xfId="0" applyNumberFormat="1" applyFont="1" applyFill="1" applyBorder="1"/>
    <x:xf numFmtId="0" fontId="29" fillId="91" borderId="19" xfId="0" applyNumberFormat="1" applyFont="1" applyFill="1" applyBorder="1"/>
    <x:xf numFmtId="0" fontId="29" fillId="91" borderId="20" xfId="0" applyNumberFormat="1" applyFont="1" applyFill="1" applyBorder="1"/>
    <x:xf numFmtId="0" fontId="29" fillId="91" borderId="21" xfId="0" applyNumberFormat="1" applyFont="1" applyFill="1" applyBorder="1"/>
    <x:xf numFmtId="0" fontId="29" fillId="91" borderId="22" xfId="0" applyNumberFormat="1" applyFont="1" applyFill="1" applyBorder="1"/>
    <x:xf numFmtId="0" fontId="29" fillId="91" borderId="23" xfId="0" applyNumberFormat="1" applyFont="1" applyFill="1" applyBorder="1"/>
    <x:xf numFmtId="0" fontId="29" fillId="91" borderId="24" xfId="0" applyNumberFormat="1" applyFont="1" applyFill="1" applyBorder="1"/>
    <x:xf numFmtId="0" fontId="29" fillId="91" borderId="25" xfId="0" applyNumberFormat="1" applyFont="1" applyFill="1" applyBorder="1"/>
    <x:xf numFmtId="0" fontId="29" fillId="91" borderId="26" xfId="0" applyNumberFormat="1" applyFont="1" applyFill="1" applyBorder="1"/>
    <x:xf numFmtId="0" fontId="29" fillId="91" borderId="18" xfId="0" applyNumberFormat="1" applyFont="1" applyFill="1" applyBorder="1" applyAlignment="1">
      <x:alignment wrapText="1"/>
    </x:xf>
    <x:xf numFmtId="0" fontId="29" fillId="91" borderId="19" xfId="0" applyNumberFormat="1" applyFont="1" applyFill="1" applyBorder="1" applyAlignment="1">
      <x:alignment wrapText="1"/>
    </x:xf>
    <x:xf numFmtId="0" fontId="29" fillId="91" borderId="20" xfId="0" applyNumberFormat="1" applyFont="1" applyFill="1" applyBorder="1" applyAlignment="1">
      <x:alignment wrapText="1"/>
    </x:xf>
    <x:xf numFmtId="0" fontId="29" fillId="91" borderId="21" xfId="0" applyNumberFormat="1" applyFont="1" applyFill="1" applyBorder="1" applyAlignment="1">
      <x:alignment wrapText="1"/>
    </x:xf>
    <x:xf numFmtId="0" fontId="29" fillId="91" borderId="22" xfId="0" applyNumberFormat="1" applyFont="1" applyFill="1" applyBorder="1" applyAlignment="1">
      <x:alignment wrapText="1"/>
    </x:xf>
    <x:xf numFmtId="0" fontId="29" fillId="91" borderId="23" xfId="0" applyNumberFormat="1" applyFont="1" applyFill="1" applyBorder="1" applyAlignment="1">
      <x:alignment wrapText="1"/>
    </x:xf>
    <x:xf numFmtId="0" fontId="29" fillId="91" borderId="24" xfId="0" applyNumberFormat="1" applyFont="1" applyFill="1" applyBorder="1" applyAlignment="1">
      <x:alignment wrapText="1"/>
    </x:xf>
    <x:xf numFmtId="0" fontId="29" fillId="91" borderId="25" xfId="0" applyNumberFormat="1" applyFont="1" applyFill="1" applyBorder="1" applyAlignment="1">
      <x:alignment wrapText="1"/>
    </x:xf>
    <x:xf numFmtId="0" fontId="29" fillId="91" borderId="26" xfId="0" applyNumberFormat="1" applyFont="1" applyFill="1" applyBorder="1" applyAlignment="1">
      <x:alignment wrapText="1"/>
    </x:xf>
    <x:xf numFmtId="0" fontId="29" fillId="91" borderId="18" xfId="0" applyNumberFormat="1" applyFont="1" applyFill="1" applyBorder="1" applyAlignment="1">
      <x:alignment vertical="top" wrapText="1"/>
    </x:xf>
    <x:xf numFmtId="0" fontId="29" fillId="91" borderId="19" xfId="0" applyNumberFormat="1" applyFont="1" applyFill="1" applyBorder="1" applyAlignment="1">
      <x:alignment vertical="top" wrapText="1"/>
    </x:xf>
    <x:xf numFmtId="0" fontId="29" fillId="91" borderId="20" xfId="0" applyNumberFormat="1" applyFont="1" applyFill="1" applyBorder="1" applyAlignment="1">
      <x:alignment vertical="top" wrapText="1"/>
    </x:xf>
    <x:xf numFmtId="0" fontId="29" fillId="91" borderId="21" xfId="0" applyNumberFormat="1" applyFont="1" applyFill="1" applyBorder="1" applyAlignment="1">
      <x:alignment vertical="top" wrapText="1"/>
    </x:xf>
    <x:xf numFmtId="0" fontId="29" fillId="91" borderId="22" xfId="0" applyNumberFormat="1" applyFont="1" applyFill="1" applyBorder="1" applyAlignment="1">
      <x:alignment vertical="top" wrapText="1"/>
    </x:xf>
    <x:xf numFmtId="0" fontId="29" fillId="91" borderId="23" xfId="0" applyNumberFormat="1" applyFont="1" applyFill="1" applyBorder="1" applyAlignment="1">
      <x:alignment vertical="top" wrapText="1"/>
    </x:xf>
    <x:xf numFmtId="0" fontId="29" fillId="91" borderId="24" xfId="0" applyNumberFormat="1" applyFont="1" applyFill="1" applyBorder="1" applyAlignment="1">
      <x:alignment vertical="top" wrapText="1"/>
    </x:xf>
    <x:xf numFmtId="0" fontId="29" fillId="91" borderId="25" xfId="0" applyNumberFormat="1" applyFont="1" applyFill="1" applyBorder="1" applyAlignment="1">
      <x:alignment vertical="top" wrapText="1"/>
    </x:xf>
    <x:xf numFmtId="0" fontId="29" fillId="91" borderId="26" xfId="0" applyNumberFormat="1" applyFont="1" applyFill="1" applyBorder="1" applyAlignment="1">
      <x:alignment vertical="top" wrapText="1"/>
    </x:xf>
    <x:xf numFmtId="0" fontId="29" fillId="89" borderId="18" xfId="0" applyNumberFormat="1" applyFont="1" applyFill="1" applyBorder="1" applyAlignment="1">
      <x:alignment vertical="top" wrapText="1"/>
    </x:xf>
    <x:xf numFmtId="0" fontId="29" fillId="89" borderId="19" xfId="0" applyNumberFormat="1" applyFont="1" applyFill="1" applyBorder="1" applyAlignment="1">
      <x:alignment vertical="top" wrapText="1"/>
    </x:xf>
    <x:xf numFmtId="0" fontId="29" fillId="89" borderId="21" xfId="0" applyNumberFormat="1" applyFont="1" applyFill="1" applyBorder="1" applyAlignment="1">
      <x:alignment vertical="top" wrapText="1"/>
    </x:xf>
    <x:xf numFmtId="0" fontId="29" fillId="89" borderId="22" xfId="0" applyNumberFormat="1" applyFont="1" applyFill="1" applyBorder="1" applyAlignment="1">
      <x:alignment vertical="top" wrapText="1"/>
    </x:xf>
    <x:xf numFmtId="0" fontId="29" fillId="89" borderId="24" xfId="0" applyNumberFormat="1" applyFont="1" applyFill="1" applyBorder="1" applyAlignment="1">
      <x:alignment vertical="top" wrapText="1"/>
    </x:xf>
    <x:xf numFmtId="0" fontId="29" fillId="89" borderId="25" xfId="0" applyNumberFormat="1" applyFont="1" applyFill="1" applyBorder="1" applyAlignment="1">
      <x:alignment vertical="top" wrapText="1"/>
    </x:xf>
    <x:xf numFmtId="0" fontId="29" fillId="99" borderId="19" xfId="0" applyNumberFormat="1" applyFont="1" applyFill="1" applyBorder="1" applyAlignment="1">
      <x:alignment vertical="top" wrapText="1"/>
    </x:xf>
    <x:xf numFmtId="0" fontId="29" fillId="99" borderId="20" xfId="0" applyNumberFormat="1" applyFont="1" applyFill="1" applyBorder="1" applyAlignment="1">
      <x:alignment vertical="top" wrapText="1"/>
    </x:xf>
    <x:xf numFmtId="0" fontId="29" fillId="99" borderId="22" xfId="0" applyNumberFormat="1" applyFont="1" applyFill="1" applyBorder="1" applyAlignment="1">
      <x:alignment vertical="top" wrapText="1"/>
    </x:xf>
    <x:xf numFmtId="0" fontId="29" fillId="99" borderId="23" xfId="0" applyNumberFormat="1" applyFont="1" applyFill="1" applyBorder="1" applyAlignment="1">
      <x:alignment vertical="top" wrapText="1"/>
    </x:xf>
    <x:xf numFmtId="0" fontId="29" fillId="99" borderId="25" xfId="0" applyNumberFormat="1" applyFont="1" applyFill="1" applyBorder="1" applyAlignment="1">
      <x:alignment vertical="top" wrapText="1"/>
    </x:xf>
    <x:xf numFmtId="0" fontId="29" fillId="99" borderId="26" xfId="0" applyNumberFormat="1" applyFont="1" applyFill="1" applyBorder="1" applyAlignment="1">
      <x:alignment vertical="top" wrapText="1"/>
    </x:xf>
    <x:xf numFmtId="164" fontId="29" fillId="89" borderId="19" xfId="0" applyNumberFormat="1" applyFont="1" applyFill="1" applyBorder="1" applyAlignment="1">
      <x:alignment vertical="top" wrapText="1"/>
    </x:xf>
    <x:xf numFmtId="164" fontId="29" fillId="89" borderId="22" xfId="0" applyNumberFormat="1" applyFont="1" applyFill="1" applyBorder="1" applyAlignment="1">
      <x:alignment vertical="top" wrapText="1"/>
    </x:xf>
    <x:xf numFmtId="164" fontId="29" fillId="89" borderId="25" xfId="0" applyNumberFormat="1" applyFont="1" applyFill="1" applyBorder="1" applyAlignment="1">
      <x:alignment vertical="top" wrapText="1"/>
    </x:xf>
    <x:xf numFmtId="200" fontId="29" fillId="89" borderId="19" xfId="0" applyNumberFormat="1" applyFont="1" applyFill="1" applyBorder="1" applyAlignment="1">
      <x:alignment vertical="top" wrapText="1"/>
    </x:xf>
    <x:xf numFmtId="200" fontId="29" fillId="89" borderId="22" xfId="0" applyNumberFormat="1" applyFont="1" applyFill="1" applyBorder="1" applyAlignment="1">
      <x:alignment vertical="top" wrapText="1"/>
    </x:xf>
    <x:xf numFmtId="200" fontId="29" fillId="89" borderId="25" xfId="0" applyNumberFormat="1" applyFont="1" applyFill="1" applyBorder="1" applyAlignment="1">
      <x:alignment vertical="top" wrapText="1"/>
    </x:xf>
    <x:xf numFmtId="0" fontId="0" fillId="100" borderId="0" xfId="0" applyNumberFormat="1" applyFont="1" applyFill="1" applyBorder="1"/>
    <x:xf numFmtId="0" fontId="30" fillId="100" borderId="0" xfId="0" applyNumberFormat="1" applyFont="1" applyFill="1" applyBorder="1"/>
    <x:xf numFmtId="0" fontId="30" fillId="100" borderId="0" xfId="0" applyNumberFormat="1" applyFont="1" applyFill="1" applyBorder="1" applyAlignment="1">
      <x:alignment wrapText="1"/>
    </x:xf>
    <x:xf numFmtId="0" fontId="30" fillId="100" borderId="0" xfId="0" applyNumberFormat="1" applyFont="1" applyFill="1" applyBorder="1" applyAlignment="1">
      <x:alignment vertical="center" wrapText="1"/>
    </x:xf>
    <x:xf numFmtId="200" fontId="29" fillId="91" borderId="19" xfId="0" applyNumberFormat="1" applyFont="1" applyFill="1" applyBorder="1" applyAlignment="1">
      <x:alignment vertical="top" wrapText="1"/>
    </x:xf>
    <x:xf numFmtId="200" fontId="29" fillId="91" borderId="22" xfId="0" applyNumberFormat="1" applyFont="1" applyFill="1" applyBorder="1" applyAlignment="1">
      <x:alignment vertical="top" wrapText="1"/>
    </x:xf>
    <x:xf numFmtId="200" fontId="29" fillId="91" borderId="25" xfId="0" applyNumberFormat="1" applyFont="1" applyFill="1" applyBorder="1" applyAlignment="1">
      <x:alignment vertical="top" wrapText="1"/>
    </x:xf>
    <x:xf numFmtId="0" fontId="0" fillId="101" borderId="0" xfId="0" applyNumberFormat="1" applyFont="1" applyFill="1" applyBorder="1"/>
    <x:xf numFmtId="0" fontId="23" fillId="101" borderId="0" xfId="0" applyNumberFormat="1" applyFont="1" applyFill="1" applyBorder="1"/>
    <x:xf numFmtId="0" fontId="23" fillId="101" borderId="0" xfId="0" applyNumberFormat="1" applyFont="1" applyFill="1" applyBorder="1" applyAlignment="1">
      <x:alignment vertical="center"/>
    </x:xf>
    <x:xf numFmtId="0" fontId="0" fillId="102" borderId="0" xfId="0" applyNumberFormat="1" applyFont="1" applyFill="1" applyBorder="1"/>
    <x:xf numFmtId="0" fontId="27" fillId="102" borderId="0" xfId="0" applyNumberFormat="1" applyFont="1" applyFill="1" applyBorder="1"/>
    <x:xf numFmtId="0" fontId="27" fillId="102" borderId="0" xfId="0" applyNumberFormat="1" applyFont="1" applyFill="1" applyBorder="1" applyAlignment="1">
      <x:alignment wrapText="1"/>
    </x:xf>
    <x:xf numFmtId="0" fontId="27" fillId="102" borderId="0" xfId="0" applyNumberFormat="1" applyFont="1" applyFill="1" applyBorder="1" applyAlignment="1">
      <x:alignment vertical="center" wrapText="1"/>
    </x:xf>
    <x:xf numFmtId="0" fontId="0" fillId="103" borderId="0" xfId="0" applyNumberFormat="1" applyFont="1" applyFill="1" applyBorder="1"/>
    <x:xf numFmtId="0" fontId="32" fillId="103" borderId="0" xfId="0" applyNumberFormat="1" applyFont="1" applyFill="1" applyBorder="1"/>
    <x:xf numFmtId="0" fontId="32" fillId="103" borderId="0" xfId="0" applyNumberFormat="1" applyFont="1" applyFill="1" applyBorder="1" applyAlignment="1">
      <x:alignment wrapText="1"/>
    </x:xf>
    <x:xf numFmtId="0" fontId="32" fillId="103" borderId="0" xfId="0" applyNumberFormat="1" applyFont="1" applyFill="1" applyBorder="1" applyAlignment="1">
      <x:alignment vertical="top" wrapText="1"/>
    </x:xf>
    <x:xf numFmtId="0" fontId="0" fillId="104" borderId="0" xfId="0" applyNumberFormat="1" applyFont="1" applyFill="1" applyBorder="1"/>
    <x:xf numFmtId="0" fontId="33" fillId="104" borderId="0" xfId="0" applyNumberFormat="1" applyFont="1" applyFill="1" applyBorder="1"/>
    <x:xf numFmtId="0" fontId="33" fillId="104" borderId="0" xfId="0" applyNumberFormat="1" applyFont="1" applyFill="1" applyBorder="1" applyAlignment="1">
      <x:alignment wrapText="1"/>
    </x:xf>
    <x:xf numFmtId="0" fontId="33" fillId="104" borderId="0" xfId="0" applyNumberFormat="1" applyFont="1" applyFill="1" applyBorder="1" applyAlignment="1">
      <x:alignment vertical="top" wrapText="1"/>
    </x:xf>
    <x:xf numFmtId="0" fontId="0" fillId="105" borderId="0" xfId="0" applyNumberFormat="1" applyFont="1" applyFill="1" applyBorder="1"/>
    <x:xf numFmtId="0" fontId="32" fillId="105" borderId="0" xfId="0" applyNumberFormat="1" applyFont="1" applyFill="1" applyBorder="1"/>
    <x:xf numFmtId="0" fontId="32" fillId="105" borderId="0" xfId="0" applyNumberFormat="1" applyFont="1" applyFill="1" applyBorder="1" applyAlignment="1">
      <x:alignment wrapText="1"/>
    </x:xf>
    <x:xf numFmtId="0" fontId="32" fillId="105" borderId="0" xfId="0" applyNumberFormat="1" applyFont="1" applyFill="1" applyBorder="1" applyAlignment="1">
      <x:alignment horizontal="center" wrapText="1"/>
    </x:xf>
    <x:xf numFmtId="0" fontId="32" fillId="105" borderId="0" xfId="0" applyNumberFormat="1" applyFont="1" applyFill="1" applyBorder="1" applyAlignment="1">
      <x:alignment horizontal="center" vertical="center" wrapText="1"/>
    </x:xf>
    <x:xf numFmtId="0" fontId="0" fillId="106" borderId="0" xfId="0" applyNumberFormat="1" applyFont="1" applyFill="1" applyBorder="1"/>
    <x:xf numFmtId="0" fontId="34" fillId="106" borderId="0" xfId="0" applyNumberFormat="1" applyFont="1" applyFill="1" applyBorder="1"/>
    <x:xf numFmtId="0" fontId="34" fillId="106" borderId="27" xfId="0" applyNumberFormat="1" applyFont="1" applyFill="1" applyBorder="1"/>
    <x:xf numFmtId="0" fontId="34" fillId="106" borderId="28" xfId="0" applyNumberFormat="1" applyFont="1" applyFill="1" applyBorder="1"/>
    <x:xf numFmtId="0" fontId="34" fillId="106" borderId="29" xfId="0" applyNumberFormat="1" applyFont="1" applyFill="1" applyBorder="1"/>
    <x:xf numFmtId="0" fontId="34" fillId="106" borderId="30" xfId="0" applyNumberFormat="1" applyFont="1" applyFill="1" applyBorder="1"/>
    <x:xf numFmtId="0" fontId="34" fillId="106" borderId="31" xfId="0" applyNumberFormat="1" applyFont="1" applyFill="1" applyBorder="1"/>
    <x:xf numFmtId="0" fontId="34" fillId="106" borderId="32" xfId="0" applyNumberFormat="1" applyFont="1" applyFill="1" applyBorder="1"/>
    <x:xf numFmtId="0" fontId="34" fillId="106" borderId="33" xfId="0" applyNumberFormat="1" applyFont="1" applyFill="1" applyBorder="1"/>
    <x:xf numFmtId="0" fontId="34" fillId="106" borderId="34" xfId="0" applyNumberFormat="1" applyFont="1" applyFill="1" applyBorder="1"/>
    <x:xf numFmtId="0" fontId="34" fillId="106" borderId="35" xfId="0" applyNumberFormat="1" applyFont="1" applyFill="1" applyBorder="1"/>
    <x:xf numFmtId="0" fontId="34" fillId="106" borderId="27" xfId="0" applyNumberFormat="1" applyFont="1" applyFill="1" applyBorder="1" applyAlignment="1">
      <x:alignment wrapText="1"/>
    </x:xf>
    <x:xf numFmtId="0" fontId="34" fillId="106" borderId="28" xfId="0" applyNumberFormat="1" applyFont="1" applyFill="1" applyBorder="1" applyAlignment="1">
      <x:alignment wrapText="1"/>
    </x:xf>
    <x:xf numFmtId="0" fontId="34" fillId="106" borderId="29" xfId="0" applyNumberFormat="1" applyFont="1" applyFill="1" applyBorder="1" applyAlignment="1">
      <x:alignment wrapText="1"/>
    </x:xf>
    <x:xf numFmtId="0" fontId="34" fillId="106" borderId="30" xfId="0" applyNumberFormat="1" applyFont="1" applyFill="1" applyBorder="1" applyAlignment="1">
      <x:alignment wrapText="1"/>
    </x:xf>
    <x:xf numFmtId="0" fontId="34" fillId="106" borderId="31" xfId="0" applyNumberFormat="1" applyFont="1" applyFill="1" applyBorder="1" applyAlignment="1">
      <x:alignment wrapText="1"/>
    </x:xf>
    <x:xf numFmtId="0" fontId="34" fillId="106" borderId="32" xfId="0" applyNumberFormat="1" applyFont="1" applyFill="1" applyBorder="1" applyAlignment="1">
      <x:alignment wrapText="1"/>
    </x:xf>
    <x:xf numFmtId="0" fontId="34" fillId="106" borderId="33" xfId="0" applyNumberFormat="1" applyFont="1" applyFill="1" applyBorder="1" applyAlignment="1">
      <x:alignment wrapText="1"/>
    </x:xf>
    <x:xf numFmtId="0" fontId="34" fillId="106" borderId="34" xfId="0" applyNumberFormat="1" applyFont="1" applyFill="1" applyBorder="1" applyAlignment="1">
      <x:alignment wrapText="1"/>
    </x:xf>
    <x:xf numFmtId="0" fontId="34" fillId="106" borderId="35" xfId="0" applyNumberFormat="1" applyFont="1" applyFill="1" applyBorder="1" applyAlignment="1">
      <x:alignment wrapText="1"/>
    </x:xf>
    <x:xf numFmtId="0" fontId="34" fillId="106" borderId="27" xfId="0" applyNumberFormat="1" applyFont="1" applyFill="1" applyBorder="1" applyAlignment="1">
      <x:alignment vertical="top" wrapText="1"/>
    </x:xf>
    <x:xf numFmtId="0" fontId="34" fillId="106" borderId="28" xfId="0" applyNumberFormat="1" applyFont="1" applyFill="1" applyBorder="1" applyAlignment="1">
      <x:alignment vertical="top" wrapText="1"/>
    </x:xf>
    <x:xf numFmtId="0" fontId="34" fillId="106" borderId="29" xfId="0" applyNumberFormat="1" applyFont="1" applyFill="1" applyBorder="1" applyAlignment="1">
      <x:alignment vertical="top" wrapText="1"/>
    </x:xf>
    <x:xf numFmtId="0" fontId="34" fillId="106" borderId="30" xfId="0" applyNumberFormat="1" applyFont="1" applyFill="1" applyBorder="1" applyAlignment="1">
      <x:alignment vertical="top" wrapText="1"/>
    </x:xf>
    <x:xf numFmtId="0" fontId="34" fillId="106" borderId="31" xfId="0" applyNumberFormat="1" applyFont="1" applyFill="1" applyBorder="1" applyAlignment="1">
      <x:alignment vertical="top" wrapText="1"/>
    </x:xf>
    <x:xf numFmtId="0" fontId="34" fillId="106" borderId="32" xfId="0" applyNumberFormat="1" applyFont="1" applyFill="1" applyBorder="1" applyAlignment="1">
      <x:alignment vertical="top" wrapText="1"/>
    </x:xf>
    <x:xf numFmtId="0" fontId="34" fillId="106" borderId="33" xfId="0" applyNumberFormat="1" applyFont="1" applyFill="1" applyBorder="1" applyAlignment="1">
      <x:alignment vertical="top" wrapText="1"/>
    </x:xf>
    <x:xf numFmtId="0" fontId="34" fillId="106" borderId="34" xfId="0" applyNumberFormat="1" applyFont="1" applyFill="1" applyBorder="1" applyAlignment="1">
      <x:alignment vertical="top" wrapText="1"/>
    </x:xf>
    <x:xf numFmtId="0" fontId="34" fillId="106" borderId="35" xfId="0" applyNumberFormat="1" applyFont="1" applyFill="1" applyBorder="1" applyAlignment="1">
      <x:alignment vertical="top" wrapText="1"/>
    </x:xf>
    <x:xf numFmtId="0" fontId="0" fillId="107" borderId="0" xfId="0" applyNumberFormat="1" applyFont="1" applyFill="1" applyBorder="1"/>
    <x:xf numFmtId="0" fontId="24" fillId="107" borderId="0" xfId="0" applyNumberFormat="1" applyFont="1" applyFill="1" applyBorder="1"/>
    <x:xf numFmtId="0" fontId="24" fillId="107" borderId="0" xfId="0" applyNumberFormat="1" applyFont="1" applyFill="1" applyBorder="1" applyAlignment="1">
      <x:alignment horizontal="center"/>
    </x:xf>
    <x:xf numFmtId="0" fontId="24" fillId="107" borderId="0" xfId="0" applyNumberFormat="1" applyFont="1" applyFill="1" applyBorder="1" applyAlignment="1">
      <x:alignment wrapText="1"/>
    </x:xf>
    <x:xf numFmtId="0" fontId="24" fillId="107" borderId="0" xfId="0" applyNumberFormat="1" applyFont="1" applyFill="1" applyBorder="1" applyAlignment="1">
      <x:alignment vertical="center" wrapText="1"/>
    </x:xf>
    <x:xf numFmtId="0" fontId="35" fillId="105" borderId="0" xfId="0" applyNumberFormat="1" applyFont="1" applyFill="1" applyBorder="1"/>
    <x:xf numFmtId="0" fontId="35" fillId="105" borderId="0" xfId="0" applyNumberFormat="1" applyFont="1" applyFill="1" applyBorder="1" applyAlignment="1">
      <x:alignment wrapText="1"/>
    </x:xf>
    <x:xf numFmtId="0" fontId="35" fillId="105" borderId="0" xfId="0" applyNumberFormat="1" applyFont="1" applyFill="1" applyBorder="1" applyAlignment="1">
      <x:alignment horizontal="center" wrapText="1"/>
    </x:xf>
    <x:xf numFmtId="0" fontId="35" fillId="105" borderId="0" xfId="0" applyNumberFormat="1" applyFont="1" applyFill="1" applyBorder="1" applyAlignment="1">
      <x:alignment horizontal="center" vertical="center" wrapText="1"/>
    </x:xf>
    <x:xf numFmtId="0" fontId="36" fillId="106" borderId="0" xfId="0" applyNumberFormat="1" applyFont="1" applyFill="1" applyBorder="1"/>
    <x:xf numFmtId="0" fontId="36" fillId="106" borderId="27" xfId="0" applyNumberFormat="1" applyFont="1" applyFill="1" applyBorder="1"/>
    <x:xf numFmtId="0" fontId="36" fillId="106" borderId="28" xfId="0" applyNumberFormat="1" applyFont="1" applyFill="1" applyBorder="1"/>
    <x:xf numFmtId="0" fontId="36" fillId="106" borderId="29" xfId="0" applyNumberFormat="1" applyFont="1" applyFill="1" applyBorder="1"/>
    <x:xf numFmtId="0" fontId="36" fillId="106" borderId="30" xfId="0" applyNumberFormat="1" applyFont="1" applyFill="1" applyBorder="1"/>
    <x:xf numFmtId="0" fontId="36" fillId="106" borderId="31" xfId="0" applyNumberFormat="1" applyFont="1" applyFill="1" applyBorder="1"/>
    <x:xf numFmtId="0" fontId="36" fillId="106" borderId="32" xfId="0" applyNumberFormat="1" applyFont="1" applyFill="1" applyBorder="1"/>
    <x:xf numFmtId="0" fontId="36" fillId="106" borderId="33" xfId="0" applyNumberFormat="1" applyFont="1" applyFill="1" applyBorder="1"/>
    <x:xf numFmtId="0" fontId="36" fillId="106" borderId="34" xfId="0" applyNumberFormat="1" applyFont="1" applyFill="1" applyBorder="1"/>
    <x:xf numFmtId="0" fontId="36" fillId="106" borderId="35" xfId="0" applyNumberFormat="1" applyFont="1" applyFill="1" applyBorder="1"/>
    <x:xf numFmtId="0" fontId="36" fillId="106" borderId="27" xfId="0" applyNumberFormat="1" applyFont="1" applyFill="1" applyBorder="1" applyAlignment="1">
      <x:alignment wrapText="1"/>
    </x:xf>
    <x:xf numFmtId="0" fontId="36" fillId="106" borderId="28" xfId="0" applyNumberFormat="1" applyFont="1" applyFill="1" applyBorder="1" applyAlignment="1">
      <x:alignment wrapText="1"/>
    </x:xf>
    <x:xf numFmtId="0" fontId="36" fillId="106" borderId="29" xfId="0" applyNumberFormat="1" applyFont="1" applyFill="1" applyBorder="1" applyAlignment="1">
      <x:alignment wrapText="1"/>
    </x:xf>
    <x:xf numFmtId="0" fontId="36" fillId="106" borderId="30" xfId="0" applyNumberFormat="1" applyFont="1" applyFill="1" applyBorder="1" applyAlignment="1">
      <x:alignment wrapText="1"/>
    </x:xf>
    <x:xf numFmtId="0" fontId="36" fillId="106" borderId="31" xfId="0" applyNumberFormat="1" applyFont="1" applyFill="1" applyBorder="1" applyAlignment="1">
      <x:alignment wrapText="1"/>
    </x:xf>
    <x:xf numFmtId="0" fontId="36" fillId="106" borderId="32" xfId="0" applyNumberFormat="1" applyFont="1" applyFill="1" applyBorder="1" applyAlignment="1">
      <x:alignment wrapText="1"/>
    </x:xf>
    <x:xf numFmtId="0" fontId="36" fillId="106" borderId="33" xfId="0" applyNumberFormat="1" applyFont="1" applyFill="1" applyBorder="1" applyAlignment="1">
      <x:alignment wrapText="1"/>
    </x:xf>
    <x:xf numFmtId="0" fontId="36" fillId="106" borderId="34" xfId="0" applyNumberFormat="1" applyFont="1" applyFill="1" applyBorder="1" applyAlignment="1">
      <x:alignment wrapText="1"/>
    </x:xf>
    <x:xf numFmtId="0" fontId="36" fillId="106" borderId="35" xfId="0" applyNumberFormat="1" applyFont="1" applyFill="1" applyBorder="1" applyAlignment="1">
      <x:alignment wrapText="1"/>
    </x:xf>
    <x:xf numFmtId="0" fontId="36" fillId="106" borderId="27" xfId="0" applyNumberFormat="1" applyFont="1" applyFill="1" applyBorder="1" applyAlignment="1">
      <x:alignment vertical="top" wrapText="1"/>
    </x:xf>
    <x:xf numFmtId="0" fontId="36" fillId="106" borderId="28" xfId="0" applyNumberFormat="1" applyFont="1" applyFill="1" applyBorder="1" applyAlignment="1">
      <x:alignment vertical="top" wrapText="1"/>
    </x:xf>
    <x:xf numFmtId="0" fontId="36" fillId="106" borderId="29" xfId="0" applyNumberFormat="1" applyFont="1" applyFill="1" applyBorder="1" applyAlignment="1">
      <x:alignment vertical="top" wrapText="1"/>
    </x:xf>
    <x:xf numFmtId="0" fontId="36" fillId="106" borderId="30" xfId="0" applyNumberFormat="1" applyFont="1" applyFill="1" applyBorder="1" applyAlignment="1">
      <x:alignment vertical="top" wrapText="1"/>
    </x:xf>
    <x:xf numFmtId="0" fontId="36" fillId="106" borderId="31" xfId="0" applyNumberFormat="1" applyFont="1" applyFill="1" applyBorder="1" applyAlignment="1">
      <x:alignment vertical="top" wrapText="1"/>
    </x:xf>
    <x:xf numFmtId="0" fontId="36" fillId="106" borderId="32" xfId="0" applyNumberFormat="1" applyFont="1" applyFill="1" applyBorder="1" applyAlignment="1">
      <x:alignment vertical="top" wrapText="1"/>
    </x:xf>
    <x:xf numFmtId="0" fontId="36" fillId="106" borderId="33" xfId="0" applyNumberFormat="1" applyFont="1" applyFill="1" applyBorder="1" applyAlignment="1">
      <x:alignment vertical="top" wrapText="1"/>
    </x:xf>
    <x:xf numFmtId="0" fontId="36" fillId="106" borderId="34" xfId="0" applyNumberFormat="1" applyFont="1" applyFill="1" applyBorder="1" applyAlignment="1">
      <x:alignment vertical="top" wrapText="1"/>
    </x:xf>
    <x:xf numFmtId="0" fontId="36" fillId="106" borderId="35" xfId="0" applyNumberFormat="1" applyFont="1" applyFill="1" applyBorder="1" applyAlignment="1">
      <x:alignment vertical="top" wrapText="1"/>
    </x:xf>
    <x:xf numFmtId="0" fontId="36" fillId="104" borderId="27" xfId="0" applyNumberFormat="1" applyFont="1" applyFill="1" applyBorder="1" applyAlignment="1">
      <x:alignment vertical="top" wrapText="1"/>
    </x:xf>
    <x:xf numFmtId="0" fontId="36" fillId="104" borderId="28" xfId="0" applyNumberFormat="1" applyFont="1" applyFill="1" applyBorder="1" applyAlignment="1">
      <x:alignment vertical="top" wrapText="1"/>
    </x:xf>
    <x:xf numFmtId="0" fontId="36" fillId="104" borderId="30" xfId="0" applyNumberFormat="1" applyFont="1" applyFill="1" applyBorder="1" applyAlignment="1">
      <x:alignment vertical="top" wrapText="1"/>
    </x:xf>
    <x:xf numFmtId="0" fontId="36" fillId="104" borderId="31" xfId="0" applyNumberFormat="1" applyFont="1" applyFill="1" applyBorder="1" applyAlignment="1">
      <x:alignment vertical="top" wrapText="1"/>
    </x:xf>
    <x:xf numFmtId="0" fontId="36" fillId="104" borderId="33" xfId="0" applyNumberFormat="1" applyFont="1" applyFill="1" applyBorder="1" applyAlignment="1">
      <x:alignment vertical="top" wrapText="1"/>
    </x:xf>
    <x:xf numFmtId="0" fontId="36" fillId="104" borderId="34" xfId="0" applyNumberFormat="1" applyFont="1" applyFill="1" applyBorder="1" applyAlignment="1">
      <x:alignment vertical="top" wrapText="1"/>
    </x:xf>
    <x:xf numFmtId="0" fontId="37" fillId="104" borderId="27" xfId="0" applyNumberFormat="1" applyFont="1" applyFill="1" applyBorder="1" applyAlignment="1">
      <x:alignment vertical="top" wrapText="1"/>
    </x:xf>
    <x:xf numFmtId="0" fontId="37" fillId="104" borderId="28" xfId="0" applyNumberFormat="1" applyFont="1" applyFill="1" applyBorder="1" applyAlignment="1">
      <x:alignment vertical="top" wrapText="1"/>
    </x:xf>
    <x:xf numFmtId="0" fontId="37" fillId="104" borderId="30" xfId="0" applyNumberFormat="1" applyFont="1" applyFill="1" applyBorder="1" applyAlignment="1">
      <x:alignment vertical="top" wrapText="1"/>
    </x:xf>
    <x:xf numFmtId="0" fontId="37" fillId="104" borderId="31" xfId="0" applyNumberFormat="1" applyFont="1" applyFill="1" applyBorder="1" applyAlignment="1">
      <x:alignment vertical="top" wrapText="1"/>
    </x:xf>
    <x:xf numFmtId="0" fontId="37" fillId="104" borderId="33" xfId="0" applyNumberFormat="1" applyFont="1" applyFill="1" applyBorder="1" applyAlignment="1">
      <x:alignment vertical="top" wrapText="1"/>
    </x:xf>
    <x:xf numFmtId="0" fontId="37" fillId="104" borderId="34" xfId="0" applyNumberFormat="1" applyFont="1" applyFill="1" applyBorder="1" applyAlignment="1">
      <x:alignment vertical="top" wrapText="1"/>
    </x:xf>
    <x:xf numFmtId="0" fontId="37" fillId="104" borderId="27" xfId="0" applyNumberFormat="1" applyFont="1" applyFill="1" applyBorder="1" applyAlignment="1">
      <x:alignment vertical="center" wrapText="1"/>
    </x:xf>
    <x:xf numFmtId="0" fontId="37" fillId="104" borderId="28" xfId="0" applyNumberFormat="1" applyFont="1" applyFill="1" applyBorder="1" applyAlignment="1">
      <x:alignment vertical="center" wrapText="1"/>
    </x:xf>
    <x:xf numFmtId="0" fontId="37" fillId="104" borderId="30" xfId="0" applyNumberFormat="1" applyFont="1" applyFill="1" applyBorder="1" applyAlignment="1">
      <x:alignment vertical="center" wrapText="1"/>
    </x:xf>
    <x:xf numFmtId="0" fontId="37" fillId="104" borderId="31" xfId="0" applyNumberFormat="1" applyFont="1" applyFill="1" applyBorder="1" applyAlignment="1">
      <x:alignment vertical="center" wrapText="1"/>
    </x:xf>
    <x:xf numFmtId="0" fontId="37" fillId="104" borderId="33" xfId="0" applyNumberFormat="1" applyFont="1" applyFill="1" applyBorder="1" applyAlignment="1">
      <x:alignment vertical="center" wrapText="1"/>
    </x:xf>
    <x:xf numFmtId="0" fontId="37" fillId="104" borderId="34" xfId="0" applyNumberFormat="1" applyFont="1" applyFill="1" applyBorder="1" applyAlignment="1">
      <x:alignment vertical="center" wrapText="1"/>
    </x:xf>
    <x:xf numFmtId="164" fontId="36" fillId="106" borderId="28" xfId="0" applyNumberFormat="1" applyFont="1" applyFill="1" applyBorder="1" applyAlignment="1">
      <x:alignment vertical="top" wrapText="1"/>
    </x:xf>
    <x:xf numFmtId="164" fontId="36" fillId="106" borderId="31" xfId="0" applyNumberFormat="1" applyFont="1" applyFill="1" applyBorder="1" applyAlignment="1">
      <x:alignment vertical="top" wrapText="1"/>
    </x:xf>
    <x:xf numFmtId="164" fontId="36" fillId="106" borderId="34" xfId="0" applyNumberFormat="1" applyFont="1" applyFill="1" applyBorder="1" applyAlignment="1">
      <x:alignment vertical="top" wrapText="1"/>
    </x:xf>
    <x:xf numFmtId="0" fontId="0" fillId="108" borderId="0" xfId="0" applyNumberFormat="1" applyFont="1" applyFill="1" applyBorder="1"/>
    <x:xf numFmtId="0" fontId="26" fillId="108" borderId="0" xfId="0" applyNumberFormat="1" applyFont="1" applyFill="1" applyBorder="1"/>
    <x:xf numFmtId="0" fontId="26" fillId="108" borderId="0" xfId="0" applyNumberFormat="1" applyFont="1" applyFill="1" applyBorder="1" applyAlignment="1">
      <x:alignment wrapText="1"/>
    </x:xf>
    <x:xf numFmtId="0" fontId="26" fillId="108" borderId="0" xfId="0" applyNumberFormat="1" applyFont="1" applyFill="1" applyBorder="1" applyAlignment="1">
      <x:alignment vertical="center" wrapText="1"/>
    </x:xf>
    <x:xf numFmtId="0" fontId="29" fillId="106" borderId="0" xfId="0" applyNumberFormat="1" applyFont="1" applyFill="1" applyBorder="1"/>
    <x:xf numFmtId="0" fontId="29" fillId="106" borderId="27" xfId="0" applyNumberFormat="1" applyFont="1" applyFill="1" applyBorder="1"/>
    <x:xf numFmtId="0" fontId="29" fillId="106" borderId="28" xfId="0" applyNumberFormat="1" applyFont="1" applyFill="1" applyBorder="1"/>
    <x:xf numFmtId="0" fontId="29" fillId="106" borderId="29" xfId="0" applyNumberFormat="1" applyFont="1" applyFill="1" applyBorder="1"/>
    <x:xf numFmtId="0" fontId="29" fillId="106" borderId="30" xfId="0" applyNumberFormat="1" applyFont="1" applyFill="1" applyBorder="1"/>
    <x:xf numFmtId="0" fontId="29" fillId="106" borderId="31" xfId="0" applyNumberFormat="1" applyFont="1" applyFill="1" applyBorder="1"/>
    <x:xf numFmtId="0" fontId="29" fillId="106" borderId="32" xfId="0" applyNumberFormat="1" applyFont="1" applyFill="1" applyBorder="1"/>
    <x:xf numFmtId="0" fontId="29" fillId="106" borderId="33" xfId="0" applyNumberFormat="1" applyFont="1" applyFill="1" applyBorder="1"/>
    <x:xf numFmtId="0" fontId="29" fillId="106" borderId="34" xfId="0" applyNumberFormat="1" applyFont="1" applyFill="1" applyBorder="1"/>
    <x:xf numFmtId="0" fontId="29" fillId="106" borderId="35" xfId="0" applyNumberFormat="1" applyFont="1" applyFill="1" applyBorder="1"/>
    <x:xf numFmtId="0" fontId="29" fillId="106" borderId="27" xfId="0" applyNumberFormat="1" applyFont="1" applyFill="1" applyBorder="1" applyAlignment="1">
      <x:alignment wrapText="1"/>
    </x:xf>
    <x:xf numFmtId="0" fontId="29" fillId="106" borderId="28" xfId="0" applyNumberFormat="1" applyFont="1" applyFill="1" applyBorder="1" applyAlignment="1">
      <x:alignment wrapText="1"/>
    </x:xf>
    <x:xf numFmtId="0" fontId="29" fillId="106" borderId="29" xfId="0" applyNumberFormat="1" applyFont="1" applyFill="1" applyBorder="1" applyAlignment="1">
      <x:alignment wrapText="1"/>
    </x:xf>
    <x:xf numFmtId="0" fontId="29" fillId="106" borderId="30" xfId="0" applyNumberFormat="1" applyFont="1" applyFill="1" applyBorder="1" applyAlignment="1">
      <x:alignment wrapText="1"/>
    </x:xf>
    <x:xf numFmtId="0" fontId="29" fillId="106" borderId="31" xfId="0" applyNumberFormat="1" applyFont="1" applyFill="1" applyBorder="1" applyAlignment="1">
      <x:alignment wrapText="1"/>
    </x:xf>
    <x:xf numFmtId="0" fontId="29" fillId="106" borderId="32" xfId="0" applyNumberFormat="1" applyFont="1" applyFill="1" applyBorder="1" applyAlignment="1">
      <x:alignment wrapText="1"/>
    </x:xf>
    <x:xf numFmtId="0" fontId="29" fillId="106" borderId="33" xfId="0" applyNumberFormat="1" applyFont="1" applyFill="1" applyBorder="1" applyAlignment="1">
      <x:alignment wrapText="1"/>
    </x:xf>
    <x:xf numFmtId="0" fontId="29" fillId="106" borderId="34" xfId="0" applyNumberFormat="1" applyFont="1" applyFill="1" applyBorder="1" applyAlignment="1">
      <x:alignment wrapText="1"/>
    </x:xf>
    <x:xf numFmtId="0" fontId="29" fillId="106" borderId="35" xfId="0" applyNumberFormat="1" applyFont="1" applyFill="1" applyBorder="1" applyAlignment="1">
      <x:alignment wrapText="1"/>
    </x:xf>
    <x:xf numFmtId="0" fontId="29" fillId="106" borderId="27" xfId="0" applyNumberFormat="1" applyFont="1" applyFill="1" applyBorder="1" applyAlignment="1">
      <x:alignment vertical="top" wrapText="1"/>
    </x:xf>
    <x:xf numFmtId="0" fontId="29" fillId="106" borderId="28" xfId="0" applyNumberFormat="1" applyFont="1" applyFill="1" applyBorder="1" applyAlignment="1">
      <x:alignment vertical="top" wrapText="1"/>
    </x:xf>
    <x:xf numFmtId="0" fontId="29" fillId="106" borderId="29" xfId="0" applyNumberFormat="1" applyFont="1" applyFill="1" applyBorder="1" applyAlignment="1">
      <x:alignment vertical="top" wrapText="1"/>
    </x:xf>
    <x:xf numFmtId="0" fontId="29" fillId="106" borderId="30" xfId="0" applyNumberFormat="1" applyFont="1" applyFill="1" applyBorder="1" applyAlignment="1">
      <x:alignment vertical="top" wrapText="1"/>
    </x:xf>
    <x:xf numFmtId="0" fontId="29" fillId="106" borderId="31" xfId="0" applyNumberFormat="1" applyFont="1" applyFill="1" applyBorder="1" applyAlignment="1">
      <x:alignment vertical="top" wrapText="1"/>
    </x:xf>
    <x:xf numFmtId="0" fontId="29" fillId="106" borderId="32" xfId="0" applyNumberFormat="1" applyFont="1" applyFill="1" applyBorder="1" applyAlignment="1">
      <x:alignment vertical="top" wrapText="1"/>
    </x:xf>
    <x:xf numFmtId="0" fontId="29" fillId="106" borderId="33" xfId="0" applyNumberFormat="1" applyFont="1" applyFill="1" applyBorder="1" applyAlignment="1">
      <x:alignment vertical="top" wrapText="1"/>
    </x:xf>
    <x:xf numFmtId="0" fontId="29" fillId="106" borderId="34" xfId="0" applyNumberFormat="1" applyFont="1" applyFill="1" applyBorder="1" applyAlignment="1">
      <x:alignment vertical="top" wrapText="1"/>
    </x:xf>
    <x:xf numFmtId="0" fontId="29" fillId="106" borderId="35" xfId="0" applyNumberFormat="1" applyFont="1" applyFill="1" applyBorder="1" applyAlignment="1">
      <x:alignment vertical="top" wrapText="1"/>
    </x:xf>
    <x:xf numFmtId="0" fontId="29" fillId="104" borderId="27" xfId="0" applyNumberFormat="1" applyFont="1" applyFill="1" applyBorder="1" applyAlignment="1">
      <x:alignment vertical="top" wrapText="1"/>
    </x:xf>
    <x:xf numFmtId="0" fontId="29" fillId="104" borderId="30" xfId="0" applyNumberFormat="1" applyFont="1" applyFill="1" applyBorder="1" applyAlignment="1">
      <x:alignment vertical="top" wrapText="1"/>
    </x:xf>
    <x:xf numFmtId="0" fontId="29" fillId="104" borderId="33" xfId="0" applyNumberFormat="1" applyFont="1" applyFill="1" applyBorder="1" applyAlignment="1">
      <x:alignment vertical="top" wrapText="1"/>
    </x:xf>
    <x:xf numFmtId="0" fontId="38" fillId="104" borderId="27" xfId="0" applyNumberFormat="1" applyFont="1" applyFill="1" applyBorder="1" applyAlignment="1">
      <x:alignment vertical="top" wrapText="1"/>
    </x:xf>
    <x:xf numFmtId="0" fontId="38" fillId="104" borderId="30" xfId="0" applyNumberFormat="1" applyFont="1" applyFill="1" applyBorder="1" applyAlignment="1">
      <x:alignment vertical="top" wrapText="1"/>
    </x:xf>
    <x:xf numFmtId="0" fontId="38" fillId="104" borderId="33" xfId="0" applyNumberFormat="1" applyFont="1" applyFill="1" applyBorder="1" applyAlignment="1">
      <x:alignment vertical="top" wrapText="1"/>
    </x:xf>
    <x:xf numFmtId="0" fontId="24" fillId="107" borderId="0" xfId="0" applyNumberFormat="1" applyFont="1" applyFill="1" applyBorder="1" applyAlignment="1">
      <x:alignment vertical="center"/>
    </x:xf>
    <x:xf numFmtId="0" fontId="0" fillId="109" borderId="0" xfId="0" applyNumberFormat="1" applyFont="1" applyFill="1" applyBorder="1"/>
    <x:xf numFmtId="0" fontId="25" fillId="109" borderId="0" xfId="0" applyNumberFormat="1" applyFont="1" applyFill="1" applyBorder="1"/>
    <x:xf numFmtId="0" fontId="25" fillId="109" borderId="0" xfId="0" applyNumberFormat="1" applyFont="1" applyFill="1" applyBorder="1" applyAlignment="1">
      <x:alignment wrapText="1"/>
    </x:xf>
    <x:xf numFmtId="0" fontId="25" fillId="109" borderId="0" xfId="0" applyNumberFormat="1" applyFont="1" applyFill="1" applyBorder="1" applyAlignment="1">
      <x:alignment vertical="center" wrapText="1"/>
    </x:xf>
    <x:xf numFmtId="0" fontId="0" fillId="110" borderId="0" xfId="0" applyNumberFormat="1" applyFont="1" applyFill="1" applyBorder="1"/>
    <x:xf numFmtId="0" fontId="28" fillId="110" borderId="0" xfId="0" applyNumberFormat="1" applyFont="1" applyFill="1" applyBorder="1"/>
    <x:xf numFmtId="0" fontId="28" fillId="110" borderId="0" xfId="0" applyNumberFormat="1" applyFont="1" applyFill="1" applyBorder="1" applyAlignment="1">
      <x:alignment horizontal="center"/>
    </x:xf>
    <x:xf numFmtId="0" fontId="28" fillId="110" borderId="0" xfId="0" applyNumberFormat="1" applyFont="1" applyFill="1" applyBorder="1" applyAlignment="1">
      <x:alignment horizontal="center" vertical="center"/>
    </x:xf>
    <x:xf numFmtId="0" fontId="0" fillId="111" borderId="0" xfId="0" applyNumberFormat="1" applyFont="1" applyFill="1" applyBorder="1"/>
    <x:xf numFmtId="0" fontId="28" fillId="111" borderId="0" xfId="0" applyNumberFormat="1" applyFont="1" applyFill="1" applyBorder="1"/>
    <x:xf numFmtId="0" fontId="28" fillId="111" borderId="0" xfId="0" applyNumberFormat="1" applyFont="1" applyFill="1" applyBorder="1" applyAlignment="1">
      <x:alignment horizontal="center"/>
    </x:xf>
    <x:xf numFmtId="0" fontId="28" fillId="111" borderId="0" xfId="0" applyNumberFormat="1" applyFont="1" applyFill="1" applyBorder="1" applyAlignment="1">
      <x:alignment horizontal="center" vertical="center"/>
    </x:xf>
    <x:xf numFmtId="0" fontId="0" fillId="112" borderId="0" xfId="0" applyNumberFormat="1" applyFont="1" applyFill="1" applyBorder="1"/>
    <x:xf numFmtId="0" fontId="28" fillId="112" borderId="0" xfId="0" applyNumberFormat="1" applyFont="1" applyFill="1" applyBorder="1"/>
    <x:xf numFmtId="0" fontId="28" fillId="112" borderId="0" xfId="0" applyNumberFormat="1" applyFont="1" applyFill="1" applyBorder="1" applyAlignment="1">
      <x:alignment horizontal="center"/>
    </x:xf>
    <x:xf numFmtId="0" fontId="28" fillId="112" borderId="0" xfId="0" applyNumberFormat="1" applyFont="1" applyFill="1" applyBorder="1" applyAlignment="1">
      <x:alignment horizontal="center" vertical="center"/>
    </x:xf>
    <x:xf numFmtId="0" fontId="0" fillId="113" borderId="0" xfId="0" applyNumberFormat="1" applyFont="1" applyFill="1" applyBorder="1"/>
    <x:xf numFmtId="0" fontId="28" fillId="113" borderId="0" xfId="0" applyNumberFormat="1" applyFont="1" applyFill="1" applyBorder="1"/>
    <x:xf numFmtId="0" fontId="28" fillId="113" borderId="0" xfId="0" applyNumberFormat="1" applyFont="1" applyFill="1" applyBorder="1" applyAlignment="1">
      <x:alignment horizontal="center"/>
    </x:xf>
    <x:xf numFmtId="0" fontId="28" fillId="113" borderId="0" xfId="0" applyNumberFormat="1" applyFont="1" applyFill="1" applyBorder="1" applyAlignment="1">
      <x:alignment horizontal="center" vertical="center"/>
    </x:xf>
    <x:xf numFmtId="0" fontId="28" fillId="105" borderId="0" xfId="0" applyNumberFormat="1" applyFont="1" applyFill="1" applyBorder="1"/>
    <x:xf numFmtId="0" fontId="28" fillId="105" borderId="15" xfId="0" applyNumberFormat="1" applyFont="1" applyFill="1" applyBorder="1"/>
    <x:xf numFmtId="0" fontId="28" fillId="105" borderId="16" xfId="0" applyNumberFormat="1" applyFont="1" applyFill="1" applyBorder="1"/>
    <x:xf numFmtId="0" fontId="28" fillId="105" borderId="17" xfId="0" applyNumberFormat="1" applyFont="1" applyFill="1" applyBorder="1"/>
    <x:xf numFmtId="0" fontId="28" fillId="105" borderId="15" xfId="0" applyNumberFormat="1" applyFont="1" applyFill="1" applyBorder="1" applyAlignment="1">
      <x:alignment wrapText="1"/>
    </x:xf>
    <x:xf numFmtId="0" fontId="28" fillId="105" borderId="16" xfId="0" applyNumberFormat="1" applyFont="1" applyFill="1" applyBorder="1" applyAlignment="1">
      <x:alignment wrapText="1"/>
    </x:xf>
    <x:xf numFmtId="0" fontId="28" fillId="105" borderId="17" xfId="0" applyNumberFormat="1" applyFont="1" applyFill="1" applyBorder="1" applyAlignment="1">
      <x:alignment wrapText="1"/>
    </x:xf>
    <x:xf numFmtId="0" fontId="28" fillId="105" borderId="15" xfId="0" applyNumberFormat="1" applyFont="1" applyFill="1" applyBorder="1" applyAlignment="1">
      <x:alignment horizontal="center" wrapText="1"/>
    </x:xf>
    <x:xf numFmtId="0" fontId="28" fillId="105" borderId="16" xfId="0" applyNumberFormat="1" applyFont="1" applyFill="1" applyBorder="1" applyAlignment="1">
      <x:alignment horizontal="center" wrapText="1"/>
    </x:xf>
    <x:xf numFmtId="0" fontId="28" fillId="105" borderId="17" xfId="0" applyNumberFormat="1" applyFont="1" applyFill="1" applyBorder="1" applyAlignment="1">
      <x:alignment horizontal="center" wrapText="1"/>
    </x:xf>
    <x:xf numFmtId="0" fontId="28" fillId="105" borderId="15" xfId="0" applyNumberFormat="1" applyFont="1" applyFill="1" applyBorder="1" applyAlignment="1">
      <x:alignment horizontal="center" vertical="center" wrapText="1"/>
    </x:xf>
    <x:xf numFmtId="0" fontId="28" fillId="105" borderId="16" xfId="0" applyNumberFormat="1" applyFont="1" applyFill="1" applyBorder="1" applyAlignment="1">
      <x:alignment horizontal="center" vertical="center" wrapText="1"/>
    </x:xf>
    <x:xf numFmtId="0" fontId="28" fillId="105" borderId="17" xfId="0" applyNumberFormat="1" applyFont="1" applyFill="1" applyBorder="1" applyAlignment="1">
      <x:alignment horizontal="center" vertical="center" wrapText="1"/>
    </x:xf>
    <x:xf numFmtId="0" fontId="29" fillId="106" borderId="18" xfId="0" applyNumberFormat="1" applyFont="1" applyFill="1" applyBorder="1"/>
    <x:xf numFmtId="0" fontId="29" fillId="106" borderId="19" xfId="0" applyNumberFormat="1" applyFont="1" applyFill="1" applyBorder="1"/>
    <x:xf numFmtId="0" fontId="29" fillId="106" borderId="20" xfId="0" applyNumberFormat="1" applyFont="1" applyFill="1" applyBorder="1"/>
    <x:xf numFmtId="0" fontId="29" fillId="106" borderId="21" xfId="0" applyNumberFormat="1" applyFont="1" applyFill="1" applyBorder="1"/>
    <x:xf numFmtId="0" fontId="29" fillId="106" borderId="22" xfId="0" applyNumberFormat="1" applyFont="1" applyFill="1" applyBorder="1"/>
    <x:xf numFmtId="0" fontId="29" fillId="106" borderId="23" xfId="0" applyNumberFormat="1" applyFont="1" applyFill="1" applyBorder="1"/>
    <x:xf numFmtId="0" fontId="29" fillId="106" borderId="24" xfId="0" applyNumberFormat="1" applyFont="1" applyFill="1" applyBorder="1"/>
    <x:xf numFmtId="0" fontId="29" fillId="106" borderId="25" xfId="0" applyNumberFormat="1" applyFont="1" applyFill="1" applyBorder="1"/>
    <x:xf numFmtId="0" fontId="29" fillId="106" borderId="26" xfId="0" applyNumberFormat="1" applyFont="1" applyFill="1" applyBorder="1"/>
    <x:xf numFmtId="0" fontId="29" fillId="106" borderId="18" xfId="0" applyNumberFormat="1" applyFont="1" applyFill="1" applyBorder="1" applyAlignment="1">
      <x:alignment wrapText="1"/>
    </x:xf>
    <x:xf numFmtId="0" fontId="29" fillId="106" borderId="19" xfId="0" applyNumberFormat="1" applyFont="1" applyFill="1" applyBorder="1" applyAlignment="1">
      <x:alignment wrapText="1"/>
    </x:xf>
    <x:xf numFmtId="0" fontId="29" fillId="106" borderId="20" xfId="0" applyNumberFormat="1" applyFont="1" applyFill="1" applyBorder="1" applyAlignment="1">
      <x:alignment wrapText="1"/>
    </x:xf>
    <x:xf numFmtId="0" fontId="29" fillId="106" borderId="21" xfId="0" applyNumberFormat="1" applyFont="1" applyFill="1" applyBorder="1" applyAlignment="1">
      <x:alignment wrapText="1"/>
    </x:xf>
    <x:xf numFmtId="0" fontId="29" fillId="106" borderId="22" xfId="0" applyNumberFormat="1" applyFont="1" applyFill="1" applyBorder="1" applyAlignment="1">
      <x:alignment wrapText="1"/>
    </x:xf>
    <x:xf numFmtId="0" fontId="29" fillId="106" borderId="23" xfId="0" applyNumberFormat="1" applyFont="1" applyFill="1" applyBorder="1" applyAlignment="1">
      <x:alignment wrapText="1"/>
    </x:xf>
    <x:xf numFmtId="0" fontId="29" fillId="106" borderId="24" xfId="0" applyNumberFormat="1" applyFont="1" applyFill="1" applyBorder="1" applyAlignment="1">
      <x:alignment wrapText="1"/>
    </x:xf>
    <x:xf numFmtId="0" fontId="29" fillId="106" borderId="25" xfId="0" applyNumberFormat="1" applyFont="1" applyFill="1" applyBorder="1" applyAlignment="1">
      <x:alignment wrapText="1"/>
    </x:xf>
    <x:xf numFmtId="0" fontId="29" fillId="106" borderId="26" xfId="0" applyNumberFormat="1" applyFont="1" applyFill="1" applyBorder="1" applyAlignment="1">
      <x:alignment wrapText="1"/>
    </x:xf>
    <x:xf numFmtId="0" fontId="29" fillId="106" borderId="18" xfId="0" applyNumberFormat="1" applyFont="1" applyFill="1" applyBorder="1" applyAlignment="1">
      <x:alignment vertical="top" wrapText="1"/>
    </x:xf>
    <x:xf numFmtId="0" fontId="29" fillId="106" borderId="19" xfId="0" applyNumberFormat="1" applyFont="1" applyFill="1" applyBorder="1" applyAlignment="1">
      <x:alignment vertical="top" wrapText="1"/>
    </x:xf>
    <x:xf numFmtId="0" fontId="29" fillId="106" borderId="20" xfId="0" applyNumberFormat="1" applyFont="1" applyFill="1" applyBorder="1" applyAlignment="1">
      <x:alignment vertical="top" wrapText="1"/>
    </x:xf>
    <x:xf numFmtId="0" fontId="29" fillId="106" borderId="21" xfId="0" applyNumberFormat="1" applyFont="1" applyFill="1" applyBorder="1" applyAlignment="1">
      <x:alignment vertical="top" wrapText="1"/>
    </x:xf>
    <x:xf numFmtId="0" fontId="29" fillId="106" borderId="22" xfId="0" applyNumberFormat="1" applyFont="1" applyFill="1" applyBorder="1" applyAlignment="1">
      <x:alignment vertical="top" wrapText="1"/>
    </x:xf>
    <x:xf numFmtId="0" fontId="29" fillId="106" borderId="23" xfId="0" applyNumberFormat="1" applyFont="1" applyFill="1" applyBorder="1" applyAlignment="1">
      <x:alignment vertical="top" wrapText="1"/>
    </x:xf>
    <x:xf numFmtId="0" fontId="29" fillId="106" borderId="24" xfId="0" applyNumberFormat="1" applyFont="1" applyFill="1" applyBorder="1" applyAlignment="1">
      <x:alignment vertical="top" wrapText="1"/>
    </x:xf>
    <x:xf numFmtId="0" fontId="29" fillId="106" borderId="25" xfId="0" applyNumberFormat="1" applyFont="1" applyFill="1" applyBorder="1" applyAlignment="1">
      <x:alignment vertical="top" wrapText="1"/>
    </x:xf>
    <x:xf numFmtId="0" fontId="29" fillId="106" borderId="26" xfId="0" applyNumberFormat="1" applyFont="1" applyFill="1" applyBorder="1" applyAlignment="1">
      <x:alignment vertical="top" wrapText="1"/>
    </x:xf>
    <x:xf numFmtId="0" fontId="29" fillId="104" borderId="18" xfId="0" applyNumberFormat="1" applyFont="1" applyFill="1" applyBorder="1" applyAlignment="1">
      <x:alignment vertical="top" wrapText="1"/>
    </x:xf>
    <x:xf numFmtId="0" fontId="29" fillId="104" borderId="19" xfId="0" applyNumberFormat="1" applyFont="1" applyFill="1" applyBorder="1" applyAlignment="1">
      <x:alignment vertical="top" wrapText="1"/>
    </x:xf>
    <x:xf numFmtId="0" fontId="29" fillId="104" borderId="21" xfId="0" applyNumberFormat="1" applyFont="1" applyFill="1" applyBorder="1" applyAlignment="1">
      <x:alignment vertical="top" wrapText="1"/>
    </x:xf>
    <x:xf numFmtId="0" fontId="29" fillId="104" borderId="22" xfId="0" applyNumberFormat="1" applyFont="1" applyFill="1" applyBorder="1" applyAlignment="1">
      <x:alignment vertical="top" wrapText="1"/>
    </x:xf>
    <x:xf numFmtId="0" fontId="29" fillId="104" borderId="24" xfId="0" applyNumberFormat="1" applyFont="1" applyFill="1" applyBorder="1" applyAlignment="1">
      <x:alignment vertical="top" wrapText="1"/>
    </x:xf>
    <x:xf numFmtId="0" fontId="29" fillId="104" borderId="25" xfId="0" applyNumberFormat="1" applyFont="1" applyFill="1" applyBorder="1" applyAlignment="1">
      <x:alignment vertical="top" wrapText="1"/>
    </x:xf>
    <x:xf numFmtId="0" fontId="29" fillId="114" borderId="19" xfId="0" applyNumberFormat="1" applyFont="1" applyFill="1" applyBorder="1" applyAlignment="1">
      <x:alignment vertical="top" wrapText="1"/>
    </x:xf>
    <x:xf numFmtId="0" fontId="29" fillId="114" borderId="20" xfId="0" applyNumberFormat="1" applyFont="1" applyFill="1" applyBorder="1" applyAlignment="1">
      <x:alignment vertical="top" wrapText="1"/>
    </x:xf>
    <x:xf numFmtId="0" fontId="29" fillId="114" borderId="22" xfId="0" applyNumberFormat="1" applyFont="1" applyFill="1" applyBorder="1" applyAlignment="1">
      <x:alignment vertical="top" wrapText="1"/>
    </x:xf>
    <x:xf numFmtId="0" fontId="29" fillId="114" borderId="23" xfId="0" applyNumberFormat="1" applyFont="1" applyFill="1" applyBorder="1" applyAlignment="1">
      <x:alignment vertical="top" wrapText="1"/>
    </x:xf>
    <x:xf numFmtId="0" fontId="29" fillId="114" borderId="25" xfId="0" applyNumberFormat="1" applyFont="1" applyFill="1" applyBorder="1" applyAlignment="1">
      <x:alignment vertical="top" wrapText="1"/>
    </x:xf>
    <x:xf numFmtId="0" fontId="29" fillId="114" borderId="26" xfId="0" applyNumberFormat="1" applyFont="1" applyFill="1" applyBorder="1" applyAlignment="1">
      <x:alignment vertical="top" wrapText="1"/>
    </x:xf>
    <x:xf numFmtId="164" fontId="29" fillId="104" borderId="19" xfId="0" applyNumberFormat="1" applyFont="1" applyFill="1" applyBorder="1" applyAlignment="1">
      <x:alignment vertical="top" wrapText="1"/>
    </x:xf>
    <x:xf numFmtId="164" fontId="29" fillId="104" borderId="22" xfId="0" applyNumberFormat="1" applyFont="1" applyFill="1" applyBorder="1" applyAlignment="1">
      <x:alignment vertical="top" wrapText="1"/>
    </x:xf>
    <x:xf numFmtId="164" fontId="29" fillId="104" borderId="25" xfId="0" applyNumberFormat="1" applyFont="1" applyFill="1" applyBorder="1" applyAlignment="1">
      <x:alignment vertical="top" wrapText="1"/>
    </x:xf>
    <x:xf numFmtId="200" fontId="29" fillId="104" borderId="19" xfId="0" applyNumberFormat="1" applyFont="1" applyFill="1" applyBorder="1" applyAlignment="1">
      <x:alignment vertical="top" wrapText="1"/>
    </x:xf>
    <x:xf numFmtId="200" fontId="29" fillId="104" borderId="22" xfId="0" applyNumberFormat="1" applyFont="1" applyFill="1" applyBorder="1" applyAlignment="1">
      <x:alignment vertical="top" wrapText="1"/>
    </x:xf>
    <x:xf numFmtId="200" fontId="29" fillId="104" borderId="25" xfId="0" applyNumberFormat="1" applyFont="1" applyFill="1" applyBorder="1" applyAlignment="1">
      <x:alignment vertical="top" wrapText="1"/>
    </x:xf>
    <x:xf numFmtId="0" fontId="0" fillId="115" borderId="0" xfId="0" applyNumberFormat="1" applyFont="1" applyFill="1" applyBorder="1"/>
    <x:xf numFmtId="0" fontId="30" fillId="115" borderId="0" xfId="0" applyNumberFormat="1" applyFont="1" applyFill="1" applyBorder="1"/>
    <x:xf numFmtId="0" fontId="30" fillId="115" borderId="0" xfId="0" applyNumberFormat="1" applyFont="1" applyFill="1" applyBorder="1" applyAlignment="1">
      <x:alignment wrapText="1"/>
    </x:xf>
    <x:xf numFmtId="0" fontId="30" fillId="115" borderId="0" xfId="0" applyNumberFormat="1" applyFont="1" applyFill="1" applyBorder="1" applyAlignment="1">
      <x:alignment vertical="center" wrapText="1"/>
    </x:xf>
    <x:xf numFmtId="200" fontId="29" fillId="106" borderId="19" xfId="0" applyNumberFormat="1" applyFont="1" applyFill="1" applyBorder="1" applyAlignment="1">
      <x:alignment vertical="top" wrapText="1"/>
    </x:xf>
    <x:xf numFmtId="200" fontId="29" fillId="106" borderId="22" xfId="0" applyNumberFormat="1" applyFont="1" applyFill="1" applyBorder="1" applyAlignment="1">
      <x:alignment vertical="top" wrapText="1"/>
    </x:xf>
    <x:xf numFmtId="200" fontId="29" fillId="106" borderId="25" xfId="0" applyNumberFormat="1" applyFont="1" applyFill="1" applyBorder="1" applyAlignment="1">
      <x:alignment vertical="top" wrapText="1"/>
    </x:xf>
  </x:cellXfs>
  <x:cellStyles count="6">
    <x:cellStyle name="Comma" xfId="1"/>
    <x:cellStyle name="Comma [0]" xfId="2"/>
    <x:cellStyle name="Currency" xfId="3"/>
    <x:cellStyle name="Currency [0]" xfId="4"/>
    <x:cellStyle name="Normal" xfId="0"/>
    <x:cellStyle name="Percent" xfId="5"/>
  </x:cellStyles>
  <x:dxfs count="18">
    <x:dxf>
      <x:font>
        <x:b/>
        <x:color rgb="FF155724"/>
        <x:name val="Arial"/>
      </x:font>
      <x:fill>
        <x:patternFill>
          <x:bgColor rgb="FFD4EDDA"/>
        </x:patternFill>
      </x:fill>
    </x:dxf>
    <x:dxf>
      <x:font>
        <x:b/>
        <x:color rgb="FF721C24"/>
        <x:name val="Arial"/>
      </x:font>
      <x:fill>
        <x:patternFill>
          <x:bgColor rgb="FFF8D7DA"/>
        </x:patternFill>
      </x:fill>
    </x:dxf>
    <x:dxf>
      <x:font>
        <x:b/>
        <x:color rgb="FF721C24"/>
        <x:name val="Arial"/>
      </x:font>
      <x:fill>
        <x:patternFill>
          <x:bgColor rgb="FFF8D7DA"/>
        </x:patternFill>
      </x:fill>
    </x:dxf>
    <x:dxf>
      <x:font>
        <x:b/>
        <x:color rgb="FF155724"/>
        <x:name val="Arial"/>
      </x:font>
      <x:fill>
        <x:patternFill>
          <x:bgColor rgb="FFD4EDDA"/>
        </x:patternFill>
      </x:fill>
    </x:dxf>
    <x:dxf>
      <x:font>
        <x:b/>
        <x:color rgb="FF155724"/>
        <x:name val="Arial"/>
      </x:font>
      <x:fill>
        <x:patternFill>
          <x:bgColor rgb="FFD4EDDA"/>
        </x:patternFill>
      </x:fill>
    </x:dxf>
    <x:dxf>
      <x:font>
        <x:b/>
        <x:color rgb="FF721C24"/>
        <x:name val="Arial"/>
      </x:font>
      <x:fill>
        <x:patternFill>
          <x:bgColor rgb="FFF8D7DA"/>
        </x:patternFill>
      </x:fill>
    </x:dxf>
    <x:dxf>
      <x:font>
        <x:b/>
        <x:color rgb="FF721C24"/>
        <x:name val="Arial"/>
      </x:font>
      <x:fill>
        <x:patternFill>
          <x:bgColor rgb="FFF8D7DA"/>
        </x:patternFill>
      </x:fill>
    </x:dxf>
    <x:dxf>
      <x:font>
        <x:b/>
        <x:color rgb="FF155724"/>
        <x:name val="Arial"/>
      </x:font>
      <x:fill>
        <x:patternFill>
          <x:bgColor rgb="FFD4EDDA"/>
        </x:patternFill>
      </x:fill>
    </x:dxf>
    <x:dxf>
      <x:font>
        <x:b/>
        <x:color rgb="FF155724"/>
        <x:name val="Arial"/>
      </x:font>
      <x:fill>
        <x:patternFill>
          <x:bgColor rgb="FFD4EDDA"/>
        </x:patternFill>
      </x:fill>
    </x:dxf>
    <x:dxf>
      <x:font>
        <x:b/>
        <x:color rgb="FF721C24"/>
        <x:name val="Arial"/>
      </x:font>
      <x:fill>
        <x:patternFill>
          <x:bgColor rgb="FFF8D7DA"/>
        </x:patternFill>
      </x:fill>
    </x:dxf>
    <x:dxf>
      <x:font>
        <x:b/>
        <x:color rgb="FF721C24"/>
        <x:name val="Arial"/>
      </x:font>
      <x:fill>
        <x:patternFill>
          <x:bgColor rgb="FFF8D7DA"/>
        </x:patternFill>
      </x:fill>
    </x:dxf>
    <x:dxf>
      <x:font>
        <x:b/>
        <x:color rgb="FF155724"/>
        <x:name val="Arial"/>
      </x:font>
      <x:fill>
        <x:patternFill>
          <x:bgColor rgb="FFD4EDDA"/>
        </x:patternFill>
      </x:fill>
    </x:dxf>
    <x:dxf>
      <x:font>
        <x:b/>
        <x:color rgb="FF721C24"/>
        <x:name val="Arial"/>
      </x:font>
      <x:fill>
        <x:patternFill>
          <x:bgColor rgb="FFF8D7DA"/>
        </x:patternFill>
      </x:fill>
    </x:dxf>
    <x:dxf>
      <x:font>
        <x:b/>
        <x:color rgb="FF155724"/>
        <x:name val="Arial"/>
      </x:font>
      <x:fill>
        <x:patternFill>
          <x:bgColor rgb="FFD4EDDA"/>
        </x:patternFill>
      </x:fill>
    </x:dxf>
    <x:dxf>
      <x:font>
        <x:b/>
        <x:color rgb="FF721C24"/>
        <x:name val="Arial"/>
      </x:font>
      <x:fill>
        <x:patternFill>
          <x:bgColor rgb="FFF8D7DA"/>
        </x:patternFill>
      </x:fill>
    </x:dxf>
    <x:dxf>
      <x:font>
        <x:b/>
        <x:color rgb="FF155724"/>
        <x:name val="Arial"/>
      </x:font>
      <x:fill>
        <x:patternFill>
          <x:bgColor rgb="FFD4EDDA"/>
        </x:patternFill>
      </x:fill>
    </x:dxf>
    <x:dxf>
      <x:font>
        <x:b/>
        <x:color rgb="FF721C24"/>
        <x:name val="Arial"/>
      </x:font>
      <x:fill>
        <x:patternFill>
          <x:bgColor rgb="FFF8D7DA"/>
        </x:patternFill>
      </x:fill>
    </x:dxf>
    <x:dxf>
      <x:font>
        <x:b/>
        <x:color rgb="FF155724"/>
        <x:name val="Arial"/>
      </x:font>
      <x:fill>
        <x:patternFill>
          <x:bgColor rgb="FFD4EDDA"/>
        </x:patternFill>
      </x:fill>
    </x:dxf>
  </x:dxfs>
  <x:colors>
    <x:indexedColors>
      <x:rgbColor rgb="FF000000"/>
      <x:rgbColor rgb="FFFFFFFF"/>
      <x:rgbColor rgb="FFFF0000"/>
      <x:rgbColor rgb="FF00FF00"/>
      <x:rgbColor rgb="FF0000FF"/>
      <x:rgbColor rgb="FFFFFF00"/>
      <x:rgbColor rgb="FFFF00FF"/>
      <x:rgbColor rgb="FF00FFFF"/>
      <x:rgbColor rgb="FF721C24"/>
      <x:rgbColor rgb="FF008000"/>
      <x:rgbColor rgb="FF000080"/>
      <x:rgbColor rgb="FF856404"/>
      <x:rgbColor rgb="FF800080"/>
      <x:rgbColor rgb="FF1F6B3A"/>
      <x:rgbColor rgb="FFF4F7FB"/>
      <x:rgbColor rgb="FF808080"/>
      <x:rgbColor rgb="FF9999FF"/>
      <x:rgbColor rgb="FF993366"/>
      <x:rgbColor rgb="FFFFFDE7"/>
      <x:rgbColor rgb="FFEBF3FA"/>
      <x:rgbColor rgb="FF660066"/>
      <x:rgbColor rgb="FFFF8080"/>
      <x:rgbColor rgb="FF0066CC"/>
      <x:rgbColor rgb="FFCBD8E8"/>
      <x:rgbColor rgb="FF000080"/>
      <x:rgbColor rgb="FFFF00FF"/>
      <x:rgbColor rgb="FFFFFF00"/>
      <x:rgbColor rgb="FF00FFFF"/>
      <x:rgbColor rgb="FF800080"/>
      <x:rgbColor rgb="FF800000"/>
      <x:rgbColor rgb="FF008080"/>
      <x:rgbColor rgb="FF0000FF"/>
      <x:rgbColor rgb="FF00CCFF"/>
      <x:rgbColor rgb="FFD6E4F0"/>
      <x:rgbColor rgb="FFD4EDDA"/>
      <x:rgbColor rgb="FFFFF3CD"/>
      <x:rgbColor rgb="FF99CCFF"/>
      <x:rgbColor rgb="FFFF99CC"/>
      <x:rgbColor rgb="FFCC99FF"/>
      <x:rgbColor rgb="FFF8D7DA"/>
      <x:rgbColor rgb="FF3366FF"/>
      <x:rgbColor rgb="FF33CCCC"/>
      <x:rgbColor rgb="FF99CC00"/>
      <x:rgbColor rgb="FFFFCC00"/>
      <x:rgbColor rgb="FFFF9900"/>
      <x:rgbColor rgb="FFFF6600"/>
      <x:rgbColor rgb="FF5A6A7E"/>
      <x:rgbColor rgb="FFC9A84C"/>
      <x:rgbColor rgb="FF003366"/>
      <x:rgbColor rgb="FF339966"/>
      <x:rgbColor rgb="FF0A1628"/>
      <x:rgbColor rgb="FF155724"/>
      <x:rgbColor rgb="FF8B1A1A"/>
      <x:rgbColor rgb="FF993366"/>
      <x:rgbColor rgb="FF1A3A8B"/>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7633d5884547c8" /><Relationship Type="http://schemas.openxmlformats.org/officeDocument/2006/relationships/theme" Target="/xl/theme/theme1.xml" Id="Rde41918b93934bc3" /><Relationship Type="http://schemas.openxmlformats.org/officeDocument/2006/relationships/sheetMetadata" Target="/xl/metadata1.xml" Id="R376b6b9a2ae84a92" /><Relationship Type="http://schemas.openxmlformats.org/officeDocument/2006/relationships/sharedStrings" Target="/xl/sharedStrings.xml" Id="R1eca3036e4a3427c" /><Relationship Type="http://schemas.openxmlformats.org/officeDocument/2006/relationships/worksheet" Target="/xl/worksheets/sheet1.xml" Id="R86c26a47aaf64cbb" /><Relationship Type="http://schemas.openxmlformats.org/officeDocument/2006/relationships/worksheet" Target="/xl/worksheets/sheet2.xml" Id="R4133d0e5f37f45d8" /><Relationship Type="http://schemas.openxmlformats.org/officeDocument/2006/relationships/worksheet" Target="/xl/worksheets/sheet3.xml" Id="R3843816438664f16" /><Relationship Type="http://schemas.openxmlformats.org/officeDocument/2006/relationships/worksheet" Target="/xl/worksheets/sheet4.xml" Id="R15ae31f71bf64b2f" /><Relationship Type="http://schemas.openxmlformats.org/officeDocument/2006/relationships/worksheet" Target="/xl/worksheets/sheet5.xml" Id="R5fb1bbd37c9e4ee0" /><Relationship Type="http://schemas.openxmlformats.org/officeDocument/2006/relationships/worksheet" Target="/xl/worksheets/sheet6.xml" Id="R0d983ea7cd204f5b" /><Relationship Type="http://schemas.openxmlformats.org/officeDocument/2006/relationships/worksheet" Target="/xl/worksheets/sheet7.xml" Id="R3f3dea96c4484a50" /><Relationship Type="http://schemas.openxmlformats.org/officeDocument/2006/relationships/worksheet" Target="/xl/worksheets/sheet8.xml" Id="R66da0ddfc1884919" /><Relationship Type="http://schemas.openxmlformats.org/officeDocument/2006/relationships/worksheet" Target="/xl/worksheets/sheet9.xml" Id="R2c003040c1aa4106" /><Relationship Type="http://schemas.openxmlformats.org/officeDocument/2006/relationships/worksheet" Target="/xl/worksheets/sheet10.xml" Id="R96a562bea56c4b0a" /><Relationship Type="http://schemas.microsoft.com/office/2017/10/relationships/person" Target="/xl/persons/person.xml" Id="R656cc1016bdf4ea7" /></Relationships>
</file>

<file path=xl/persons/person.xml><?xml version="1.0" encoding="utf-8"?>
<xltc:personList xmlns:xltc="http://schemas.microsoft.com/office/spreadsheetml/2018/threadedcomments">
  <xltc:person displayName="Unknown Author" id="{01FFA9AD-F842-1D06-6F3D-9B9A0B69F134}"/>
  <xltc:person displayName="Unknown Author" id="{B54671D9-040F-CDF4-0468-1B285072D4C0}"/>
  <xltc:person displayName="Unknown Author" id="{80F95E9A-21AA-62F7-F0B5-9DAB0CE3ED06}"/>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61e6203757ba4caf" /><Relationship Type="http://schemas.openxmlformats.org/officeDocument/2006/relationships/vmlDrawing" Target="/xl/drawings/vmldrawing.vml" Id="R18ff83f62ed04556" /></Relationships>
</file>

<file path=xl/worksheets/_rels/sheet4.xml.rels>&#65279;<?xml version="1.0" encoding="utf-8"?><Relationships xmlns="http://schemas.openxmlformats.org/package/2006/relationships"><Relationship Type="http://schemas.openxmlformats.org/officeDocument/2006/relationships/comments" Target="/xl/comments2.xml" Id="Ra076f79924e44a64" /><Relationship Type="http://schemas.openxmlformats.org/officeDocument/2006/relationships/vmlDrawing" Target="/xl/drawings/vmldrawing2.vml" Id="R36873e0686004a90" /></Relationships>
</file>

<file path=xl/worksheets/_rels/sheet5.xml.rels>&#65279;<?xml version="1.0" encoding="utf-8"?><Relationships xmlns="http://schemas.openxmlformats.org/package/2006/relationships"><Relationship Type="http://schemas.openxmlformats.org/officeDocument/2006/relationships/comments" Target="/xl/comments3.xml" Id="Rc3f7208681b94cb7" /><Relationship Type="http://schemas.openxmlformats.org/officeDocument/2006/relationships/vmlDrawing" Target="/xl/drawings/vmldrawing3.vml" Id="Rad61774c6b024380" /></Relationships>
</file>

<file path=xl/worksheets/sheet1.xml><?xml version="1.0" encoding="utf-8"?>
<x:worksheet xmlns:x="http://schemas.openxmlformats.org/spreadsheetml/2006/main">
  <x:sheetPr>
    <x:tabColor rgb="FF0A1628"/>
  </x:sheetPr>
  <x:sheetViews>
    <x:sheetView showGridLines="0" workbookViewId="0"/>
  </x:sheetViews>
  <x:sheetFormatPr baseColWidth="10" defaultColWidth="8.6640625" defaultRowHeight="15"/>
  <x:cols>
    <x:col min="1" max="1" width="2" customWidth="1"/>
    <x:col min="2" max="2" width="32" customWidth="1"/>
    <x:col min="3" max="3" width="52" customWidth="1"/>
    <x:col min="4" max="4" width="2" customWidth="1"/>
  </x:cols>
  <x:sheetData>
    <x:row r="1" ht="6" customHeight="1">
      <x:c r="A1" s="86"/>
      <x:c r="B1" s="86"/>
      <x:c r="C1" s="86"/>
      <x:c r="D1" s="86"/>
      <x:c r="E1" s="86"/>
      <x:c r="F1" s="86"/>
      <x:c r="G1" s="86"/>
      <x:c r="H1" s="86"/>
      <x:c r="I1" s="86"/>
      <x:c r="J1" s="86"/>
      <x:c r="K1" s="86"/>
    </x:row>
    <x:row r="2" ht="37.5" customHeight="1">
      <x:c r="A2" s="87" t="str">
        <x:v>BUS 331 — Phase 2: Security Analysis &amp; Selection</x:v>
      </x:c>
      <x:c r="B2" s="87"/>
      <x:c r="C2" s="87"/>
      <x:c r="D2" s="86"/>
      <x:c r="E2" s="86"/>
      <x:c r="F2" s="86"/>
      <x:c r="G2" s="86"/>
      <x:c r="H2" s="86"/>
      <x:c r="I2" s="86"/>
      <x:c r="J2" s="86"/>
      <x:c r="K2" s="86"/>
    </x:row>
    <x:row r="3" ht="18" customHeight="1">
      <x:c r="A3" s="88" t="s">
        <x:v>0</x:v>
      </x:c>
      <x:c r="B3" s="88"/>
      <x:c r="C3" s="88"/>
      <x:c r="D3" s="86"/>
      <x:c r="E3" s="86"/>
      <x:c r="F3" s="86"/>
      <x:c r="G3" s="86"/>
      <x:c r="H3" s="86"/>
      <x:c r="I3" s="86"/>
      <x:c r="J3" s="86"/>
      <x:c r="K3" s="86"/>
    </x:row>
    <x:row r="4" ht="7.5" customHeight="1">
      <x:c r="A4" s="86"/>
      <x:c r="B4" s="86"/>
      <x:c r="C4" s="86"/>
      <x:c r="D4" s="86"/>
      <x:c r="E4" s="86"/>
      <x:c r="F4" s="86"/>
      <x:c r="G4" s="86"/>
      <x:c r="H4" s="86"/>
      <x:c r="I4" s="86"/>
      <x:c r="J4" s="86"/>
      <x:c r="K4" s="86"/>
    </x:row>
    <x:row r="5" ht="19.5" customHeight="1">
      <x:c r="A5" s="86"/>
      <x:c r="B5" s="89" t="s">
        <x:v>1</x:v>
      </x:c>
      <x:c r="C5" s="86"/>
      <x:c r="D5" s="86"/>
      <x:c r="E5" s="86"/>
      <x:c r="F5" s="86"/>
      <x:c r="G5" s="86"/>
      <x:c r="H5" s="86"/>
      <x:c r="I5" s="86"/>
      <x:c r="J5" s="86"/>
      <x:c r="K5" s="86"/>
    </x:row>
    <x:row r="6" ht="45.75" customHeight="1">
      <x:c r="A6" s="86"/>
      <x:c r="B6" s="90" t="str">
        <x:v>Use the client tabs for candidate work, FINAL SCORECARDS for the 8–10 final holdings per client, RISK &amp; HEDGE for the residual-risk conclusion, ISSUER CHECK only where required, and EVIDENCE LOG for licensed-source research. Never exceed 10 holdings; do not fill a slot without a purpose.</x:v>
      </x:c>
      <x:c r="C6" s="90"/>
      <x:c r="D6" s="86"/>
      <x:c r="E6" s="86"/>
      <x:c r="F6" s="86"/>
      <x:c r="G6" s="86"/>
      <x:c r="H6" s="86"/>
      <x:c r="I6" s="86"/>
      <x:c r="J6" s="86"/>
      <x:c r="K6" s="86"/>
    </x:row>
    <x:row r="7" ht="7.5" customHeight="1">
      <x:c r="A7" s="86"/>
      <x:c r="B7" s="86"/>
      <x:c r="C7" s="86"/>
      <x:c r="D7" s="86"/>
      <x:c r="E7" s="86"/>
      <x:c r="F7" s="86"/>
      <x:c r="G7" s="86"/>
      <x:c r="H7" s="86"/>
      <x:c r="I7" s="86"/>
      <x:c r="J7" s="86"/>
      <x:c r="K7" s="86"/>
    </x:row>
    <x:row r="8" ht="19.5" customHeight="1">
      <x:c r="A8" s="86"/>
      <x:c r="B8" s="89" t="str">
        <x:v>  Before You Start — Complete Phase 1 First</x:v>
      </x:c>
      <x:c r="C8" s="86"/>
      <x:c r="D8" s="86"/>
      <x:c r="E8" s="86"/>
      <x:c r="F8" s="86"/>
      <x:c r="G8" s="86"/>
      <x:c r="H8" s="86"/>
      <x:c r="I8" s="86"/>
      <x:c r="J8" s="86"/>
      <x:c r="K8" s="86"/>
    </x:row>
    <x:row r="9" ht="45.75" customHeight="1">
      <x:c r="A9" s="86"/>
      <x:c r="B9" s="90" t="str">
        <x:v>Your Phase 1 market view, client IPS, unresolved information gaps, and downstream guardrails must be approved before security research begins. Every candidate and Issuer Reality Check must trace to that mandate; the macro filter on each client tab must pass before selection.</x:v>
      </x:c>
      <x:c r="C9" s="90"/>
      <x:c r="D9" s="86"/>
      <x:c r="E9" s="86"/>
      <x:c r="F9" s="86"/>
      <x:c r="G9" s="86"/>
      <x:c r="H9" s="86"/>
      <x:c r="I9" s="86"/>
      <x:c r="J9" s="86"/>
      <x:c r="K9" s="86"/>
    </x:row>
    <x:row r="10" ht="7.5" customHeight="1">
      <x:c r="A10" s="86"/>
      <x:c r="B10" s="86"/>
      <x:c r="C10" s="86"/>
      <x:c r="D10" s="86"/>
      <x:c r="E10" s="86"/>
      <x:c r="F10" s="86"/>
      <x:c r="G10" s="86"/>
      <x:c r="H10" s="86"/>
      <x:c r="I10" s="86"/>
      <x:c r="J10" s="86"/>
      <x:c r="K10" s="86"/>
    </x:row>
    <x:row r="11" ht="34" customHeight="1">
      <x:c r="A11" s="86"/>
      <x:c r="B11" s="89" t="str">
        <x:v>  Section 1 — Candidate Research and Final Scorecards</x:v>
      </x:c>
      <x:c r="C11" s="86"/>
      <x:c r="D11" s="86"/>
      <x:c r="E11" s="86"/>
      <x:c r="F11" s="86"/>
      <x:c r="G11" s="86"/>
      <x:c r="H11" s="86"/>
      <x:c r="I11" s="86"/>
      <x:c r="J11" s="86"/>
      <x:c r="K11" s="86"/>
    </x:row>
    <x:row r="12" ht="45.75" customHeight="1">
      <x:c r="A12" s="86"/>
      <x:c r="B12" s="90" t="str">
        <x:v>Use the client tabs for focused candidate research. Compare realistic alternatives concisely, then record only the 8–10 final holdings per client in FINAL SCORECARDS. Never exceed 10, do not fill an unused slot, keep funds and ETFs primary, and limit individual securities to two or three total.</x:v>
      </x:c>
      <x:c r="C12" s="90"/>
      <x:c r="D12" s="86"/>
      <x:c r="E12" s="86"/>
      <x:c r="F12" s="86"/>
      <x:c r="G12" s="86"/>
      <x:c r="H12" s="86"/>
      <x:c r="I12" s="86"/>
      <x:c r="J12" s="86"/>
      <x:c r="K12" s="86"/>
    </x:row>
    <x:row r="13" ht="7.5" customHeight="1">
      <x:c r="A13" s="86"/>
      <x:c r="B13" s="86"/>
      <x:c r="C13" s="86"/>
      <x:c r="D13" s="86"/>
      <x:c r="E13" s="86"/>
      <x:c r="F13" s="86"/>
      <x:c r="G13" s="86"/>
      <x:c r="H13" s="86"/>
      <x:c r="I13" s="86"/>
      <x:c r="J13" s="86"/>
      <x:c r="K13" s="86"/>
    </x:row>
    <x:row r="14" ht="34" customHeight="1">
      <x:c r="A14" s="86"/>
      <x:c r="B14" s="89" t="str">
        <x:v>  Section 2 — Residual Risk and Hedge / No-Hedge Decision</x:v>
      </x:c>
      <x:c r="C14" s="86"/>
      <x:c r="D14" s="86"/>
      <x:c r="E14" s="86"/>
      <x:c r="F14" s="86"/>
      <x:c r="G14" s="86"/>
      <x:c r="H14" s="86"/>
      <x:c r="I14" s="86"/>
      <x:c r="J14" s="86"/>
      <x:c r="K14" s="86"/>
    </x:row>
    <x:row r="15" ht="45.75" customHeight="1">
      <x:c r="A15" s="86"/>
      <x:c r="B15" s="90" t="str">
        <x:v>Use RISK &amp; HEDGE after portfolio-level stress testing. At most one targeted derivative hedge may be proposed when it solves an identified residual risk. A supported no-hedge conclusion is fully valid; do not add a derivative merely to fill a requirement.</x:v>
      </x:c>
      <x:c r="C15" s="90"/>
      <x:c r="D15" s="86"/>
      <x:c r="E15" s="86"/>
      <x:c r="F15" s="86"/>
      <x:c r="G15" s="86"/>
      <x:c r="H15" s="86"/>
      <x:c r="I15" s="86"/>
      <x:c r="J15" s="86"/>
      <x:c r="K15" s="86"/>
    </x:row>
    <x:row r="16" ht="7.5" customHeight="1">
      <x:c r="A16" s="86"/>
      <x:c r="B16" s="86"/>
      <x:c r="C16" s="86"/>
      <x:c r="D16" s="86"/>
      <x:c r="E16" s="86"/>
      <x:c r="F16" s="86"/>
      <x:c r="G16" s="86"/>
      <x:c r="H16" s="86"/>
      <x:c r="I16" s="86"/>
      <x:c r="J16" s="86"/>
      <x:c r="K16" s="86"/>
    </x:row>
    <x:row r="17" ht="34" customHeight="1">
      <x:c r="A17" s="86"/>
      <x:c r="B17" s="89" t="str">
        <x:v>  Section 3 — Final-Holding Evidence and Decision Log</x:v>
      </x:c>
      <x:c r="C17" s="86"/>
      <x:c r="D17" s="86"/>
      <x:c r="E17" s="86"/>
      <x:c r="F17" s="86"/>
      <x:c r="G17" s="86"/>
      <x:c r="H17" s="86"/>
      <x:c r="I17" s="86"/>
      <x:c r="J17" s="86"/>
      <x:c r="K17" s="86"/>
    </x:row>
    <x:row r="18" ht="45.75" customHeight="1">
      <x:c r="A18" s="86"/>
      <x:c r="B18" s="90" t="str">
        <x:v>Complete one concise scorecard for every final holding and record the recommendation, strongest alternative rejected, and key trade-off in the Analyst Decision Log. Full analysis is not required for every screened candidate.</x:v>
      </x:c>
      <x:c r="C18" s="90"/>
      <x:c r="D18" s="86"/>
      <x:c r="E18" s="86"/>
      <x:c r="F18" s="86"/>
      <x:c r="G18" s="86"/>
      <x:c r="H18" s="86"/>
      <x:c r="I18" s="86"/>
      <x:c r="J18" s="86"/>
      <x:c r="K18" s="86"/>
    </x:row>
    <x:row r="19" ht="7.5" customHeight="1">
      <x:c r="A19" s="86"/>
      <x:c r="B19" s="86"/>
      <x:c r="C19" s="86"/>
      <x:c r="D19" s="86"/>
      <x:c r="E19" s="86"/>
      <x:c r="F19" s="86"/>
      <x:c r="G19" s="86"/>
      <x:c r="H19" s="86"/>
      <x:c r="I19" s="86"/>
      <x:c r="J19" s="86"/>
      <x:c r="K19" s="86"/>
    </x:row>
    <x:row r="20" ht="19.5" customHeight="1">
      <x:c r="A20" s="86"/>
      <x:c r="B20" s="89" t="s">
        <x:v>2</x:v>
      </x:c>
      <x:c r="C20" s="86"/>
      <x:c r="D20" s="86"/>
      <x:c r="E20" s="86"/>
      <x:c r="F20" s="86"/>
      <x:c r="G20" s="86"/>
      <x:c r="H20" s="86"/>
      <x:c r="I20" s="86"/>
      <x:c r="J20" s="86"/>
      <x:c r="K20" s="86"/>
    </x:row>
    <x:row r="21" ht="45.75" customHeight="1">
      <x:c r="A21" s="86"/>
      <x:c r="B21" s="90" t="s">
        <x:v>3</x:v>
      </x:c>
      <x:c r="C21" s="90"/>
      <x:c r="D21" s="86"/>
      <x:c r="E21" s="86"/>
      <x:c r="F21" s="86"/>
      <x:c r="G21" s="86"/>
      <x:c r="H21" s="86"/>
      <x:c r="I21" s="86"/>
      <x:c r="J21" s="86"/>
      <x:c r="K21" s="86"/>
    </x:row>
    <x:row r="22" ht="7.5" customHeight="1">
      <x:c r="A22" s="86"/>
      <x:c r="B22" s="86"/>
      <x:c r="C22" s="86"/>
      <x:c r="D22" s="86"/>
      <x:c r="E22" s="86"/>
      <x:c r="F22" s="86"/>
      <x:c r="G22" s="86"/>
      <x:c r="H22" s="86"/>
      <x:c r="I22" s="86"/>
      <x:c r="J22" s="86"/>
      <x:c r="K22" s="86"/>
    </x:row>
    <x:row r="23" ht="19.5" customHeight="1">
      <x:c r="A23" s="86"/>
      <x:c r="B23" s="89" t="s">
        <x:v>4</x:v>
      </x:c>
      <x:c r="C23" s="86"/>
      <x:c r="D23" s="86"/>
      <x:c r="E23" s="86"/>
      <x:c r="F23" s="86"/>
      <x:c r="G23" s="86"/>
      <x:c r="H23" s="86"/>
      <x:c r="I23" s="86"/>
      <x:c r="J23" s="86"/>
      <x:c r="K23" s="86"/>
    </x:row>
    <x:row r="24" ht="45.75" customHeight="1">
      <x:c r="A24" s="86"/>
      <x:c r="B24" s="90" t="str">
        <x:v>Reviewers will check: (1) each client has 8–10 final holdings and never more than 10, (2) funds and ETFs are primary and individual securities total no more than two or three, (3) every final holding has a concise scorecard and a purpose, (4) rejected alternatives are concise, (5) overlap and concentration are resolved, (6) sources and as-of dates are complete, and (7) residual risk supports one targeted hedge or a fully valid no-hedge conclusion.</x:v>
      </x:c>
      <x:c r="C24" s="90"/>
      <x:c r="D24" s="86"/>
      <x:c r="E24" s="86"/>
      <x:c r="F24" s="86"/>
      <x:c r="G24" s="86"/>
      <x:c r="H24" s="86"/>
      <x:c r="I24" s="86"/>
      <x:c r="J24" s="86"/>
      <x:c r="K24" s="86"/>
    </x:row>
    <x:row r="25">
      <x:c r="A25" s="86"/>
      <x:c r="B25" s="86"/>
      <x:c r="C25" s="86"/>
      <x:c r="D25" s="86"/>
      <x:c r="E25" s="86"/>
      <x:c r="F25" s="86"/>
      <x:c r="G25" s="86"/>
      <x:c r="H25" s="86"/>
      <x:c r="I25" s="86"/>
      <x:c r="J25" s="86"/>
      <x:c r="K25" s="86"/>
    </x:row>
    <x:row r="26" ht="19.5" customHeight="1">
      <x:c r="A26" s="86"/>
      <x:c r="B26" s="91" t="s">
        <x:v>5</x:v>
      </x:c>
      <x:c r="C26" s="86"/>
      <x:c r="D26" s="86"/>
      <x:c r="E26" s="86"/>
      <x:c r="F26" s="86"/>
      <x:c r="G26" s="86"/>
      <x:c r="H26" s="86"/>
      <x:c r="I26" s="86"/>
      <x:c r="J26" s="86"/>
      <x:c r="K26" s="86"/>
    </x:row>
    <x:row r="27" ht="58" customHeight="1">
      <x:c r="A27" s="86"/>
      <x:c r="B27" s="92" t="str">
        <x:v>☐  Weights sum to 100% for each client</x:v>
      </x:c>
      <x:c r="C27" s="92"/>
      <x:c r="D27" s="86"/>
      <x:c r="E27" s="86"/>
      <x:c r="F27" s="86"/>
      <x:c r="G27" s="86"/>
      <x:c r="H27" s="86"/>
      <x:c r="I27" s="86"/>
      <x:c r="J27" s="86"/>
      <x:c r="K27" s="86"/>
    </x:row>
    <x:row r="28" ht="58" customHeight="1">
      <x:c r="A28" s="86"/>
      <x:c r="B28" s="92" t="str">
        <x:v>☐  Approved allocation and Phase 1 guardrails are visible</x:v>
      </x:c>
      <x:c r="C28" s="92"/>
      <x:c r="D28" s="86"/>
      <x:c r="E28" s="86"/>
      <x:c r="F28" s="86"/>
      <x:c r="G28" s="86"/>
      <x:c r="H28" s="86"/>
      <x:c r="I28" s="86"/>
      <x:c r="J28" s="86"/>
      <x:c r="K28" s="86"/>
    </x:row>
    <x:row r="29" ht="58" customHeight="1">
      <x:c r="A29" s="86"/>
      <x:c r="B29" s="92" t="str">
        <x:v>☐  8–10 final holdings per client; never more than 10; no unused slot filled</x:v>
      </x:c>
      <x:c r="C29" s="92"/>
      <x:c r="D29" s="86"/>
      <x:c r="E29" s="86"/>
      <x:c r="F29" s="86"/>
      <x:c r="G29" s="86"/>
      <x:c r="H29" s="86"/>
      <x:c r="I29" s="86"/>
      <x:c r="J29" s="86"/>
      <x:c r="K29" s="86"/>
    </x:row>
    <x:row r="30" ht="58" customHeight="1">
      <x:c r="A30" s="86"/>
      <x:c r="B30" s="92" t="str">
        <x:v>☐  Funds/ETFs are primary; individual securities total no more than two or three; individual bonds are not required</x:v>
      </x:c>
      <x:c r="C30" s="92"/>
      <x:c r="D30" s="86"/>
      <x:c r="E30" s="86"/>
      <x:c r="F30" s="86"/>
      <x:c r="G30" s="86"/>
      <x:c r="H30" s="86"/>
      <x:c r="I30" s="86"/>
      <x:c r="J30" s="86"/>
      <x:c r="K30" s="86"/>
    </x:row>
    <x:row r="31" ht="58" customHeight="1">
      <x:c r="A31" s="86"/>
      <x:c r="B31" s="92" t="str">
        <x:v>☐  Final scorecard complete for every final holding</x:v>
      </x:c>
      <x:c r="C31" s="92"/>
      <x:c r="D31" s="86"/>
      <x:c r="E31" s="86"/>
      <x:c r="F31" s="86"/>
      <x:c r="G31" s="86"/>
      <x:c r="H31" s="86"/>
      <x:c r="I31" s="86"/>
      <x:c r="J31" s="86"/>
      <x:c r="K31" s="86"/>
    </x:row>
    <x:row r="32" ht="58" customHeight="1">
      <x:c r="A32" s="86"/>
      <x:c r="B32" s="92" t="str">
        <x:v>☐  Individual-security rationale, idiosyncratic risk, and position size complete where applicable</x:v>
      </x:c>
      <x:c r="C32" s="92"/>
      <x:c r="D32" s="86"/>
      <x:c r="E32" s="86"/>
      <x:c r="F32" s="86"/>
      <x:c r="G32" s="86"/>
      <x:c r="H32" s="86"/>
      <x:c r="I32" s="86"/>
      <x:c r="J32" s="86"/>
      <x:c r="K32" s="86"/>
    </x:row>
    <x:row r="33" ht="58" customHeight="1">
      <x:c r="A33" s="86"/>
      <x:c r="B33" s="92" t="str">
        <x:v>☐  Realistic alternatives rejected concisely; key trade-off recorded</x:v>
      </x:c>
      <x:c r="C33" s="92"/>
      <x:c r="D33" s="86"/>
      <x:c r="E33" s="86"/>
      <x:c r="F33" s="86"/>
      <x:c r="G33" s="86"/>
      <x:c r="H33" s="86"/>
      <x:c r="I33" s="86"/>
      <x:c r="J33" s="86"/>
      <x:c r="K33" s="86"/>
    </x:row>
    <x:row r="34" ht="58" customHeight="1">
      <x:c r="A34" s="86"/>
      <x:c r="B34" s="92" t="str">
        <x:v>☐  Portfolio Manager resolved overlap, concentration, final selection, and weights</x:v>
      </x:c>
      <x:c r="C34" s="92"/>
      <x:c r="D34" s="86"/>
      <x:c r="E34" s="86"/>
      <x:c r="F34" s="86"/>
      <x:c r="G34" s="86"/>
      <x:c r="H34" s="86"/>
      <x:c r="I34" s="86"/>
      <x:c r="J34" s="86"/>
      <x:c r="K34" s="86"/>
    </x:row>
    <x:row r="35" ht="58" customHeight="1">
      <x:c r="A35" s="86"/>
      <x:c r="B35" s="92" t="str">
        <x:v>☐  Risk and Derivatives Analyst recorded residual risk and hedge/no-hedge evidence</x:v>
      </x:c>
      <x:c r="C35" s="92"/>
      <x:c r="D35" s="86"/>
      <x:c r="E35" s="86"/>
      <x:c r="F35" s="86"/>
      <x:c r="G35" s="86"/>
      <x:c r="H35" s="86"/>
      <x:c r="I35" s="86"/>
      <x:c r="J35" s="86"/>
      <x:c r="K35" s="86"/>
    </x:row>
    <x:row r="36" ht="58" customHeight="1">
      <x:c r="A36" s="86"/>
      <x:c r="B36" s="92" t="str">
        <x:v>☐  Sources/as-of dates complete; licensed evidence prepared for private Canvas submission</x:v>
      </x:c>
      <x:c r="C36" s="92"/>
      <x:c r="D36" s="86"/>
      <x:c r="E36" s="86"/>
      <x:c r="F36" s="86"/>
      <x:c r="G36" s="86"/>
      <x:c r="H36" s="86"/>
      <x:c r="I36" s="86"/>
      <x:c r="J36" s="86"/>
      <x:c r="K36" s="86"/>
    </x:row>
    <x:row r="37" ht="58" customHeight="1">
      <x:c r="A37" s="86"/>
      <x:c r="B37" s="92"/>
      <x:c r="C37" s="92"/>
      <x:c r="D37" s="86"/>
      <x:c r="E37" s="86"/>
      <x:c r="F37" s="86"/>
      <x:c r="G37" s="86"/>
      <x:c r="H37" s="86"/>
      <x:c r="I37" s="86"/>
      <x:c r="J37" s="86"/>
      <x:c r="K37" s="86"/>
    </x:row>
    <x:row r="38" ht="60" customHeight="1">
      <x:c r="A38" s="86"/>
      <x:c r="B38" s="86"/>
      <x:c r="C38" s="86"/>
      <x:c r="D38" s="86"/>
      <x:c r="E38" s="86"/>
      <x:c r="F38" s="86"/>
      <x:c r="G38" s="86"/>
      <x:c r="H38" s="86"/>
      <x:c r="I38" s="86"/>
      <x:c r="J38" s="86"/>
      <x:c r="K38" s="86"/>
    </x:row>
    <x:row r="39" ht="60" customHeight="1">
      <x:c r="A39" s="86"/>
      <x:c r="B39" s="86"/>
      <x:c r="C39" s="86"/>
      <x:c r="D39" s="86"/>
      <x:c r="E39" s="86"/>
      <x:c r="F39" s="86"/>
      <x:c r="G39" s="86"/>
      <x:c r="H39" s="86"/>
      <x:c r="I39" s="86"/>
      <x:c r="J39" s="86"/>
      <x:c r="K39" s="86"/>
    </x:row>
    <x:row r="40" ht="60" customHeight="1">
      <x:c r="A40" s="86"/>
      <x:c r="B40" s="86"/>
      <x:c r="C40" s="86"/>
      <x:c r="D40" s="86"/>
      <x:c r="E40" s="86"/>
      <x:c r="F40" s="86"/>
      <x:c r="G40" s="86"/>
      <x:c r="H40" s="86"/>
      <x:c r="I40" s="86"/>
      <x:c r="J40" s="86"/>
      <x:c r="K40" s="86"/>
    </x:row>
    <x:row r="41" ht="60" customHeight="1">
      <x:c r="A41" s="86"/>
      <x:c r="B41" s="86"/>
      <x:c r="C41" s="86"/>
      <x:c r="D41" s="86"/>
      <x:c r="E41" s="86"/>
      <x:c r="F41" s="86"/>
      <x:c r="G41" s="86"/>
      <x:c r="H41" s="86"/>
      <x:c r="I41" s="86"/>
      <x:c r="J41" s="86"/>
      <x:c r="K41" s="86"/>
    </x:row>
    <x:row r="42">
      <x:c r="A42" s="86"/>
      <x:c r="B42" s="86"/>
      <x:c r="C42" s="86"/>
      <x:c r="D42" s="86"/>
      <x:c r="E42" s="86"/>
      <x:c r="F42" s="86"/>
      <x:c r="G42" s="86"/>
      <x:c r="H42" s="86"/>
      <x:c r="I42" s="86"/>
      <x:c r="J42" s="86"/>
      <x:c r="K42" s="86"/>
    </x:row>
  </x:sheetData>
  <x:mergeCells>
    <x:mergeCell ref="B33:C33"/>
    <x:mergeCell ref="B34:C34"/>
    <x:mergeCell ref="B35:C35"/>
    <x:mergeCell ref="B36:C36"/>
    <x:mergeCell ref="B37:C37"/>
    <x:mergeCell ref="B28:C28"/>
    <x:mergeCell ref="B29:C29"/>
    <x:mergeCell ref="B30:C30"/>
    <x:mergeCell ref="B31:C31"/>
    <x:mergeCell ref="B32:C32"/>
    <x:mergeCell ref="B15:C15"/>
    <x:mergeCell ref="B18:C18"/>
    <x:mergeCell ref="B21:C21"/>
    <x:mergeCell ref="B24:C24"/>
    <x:mergeCell ref="B27:C27"/>
    <x:mergeCell ref="A2:C2"/>
    <x:mergeCell ref="A3:C3"/>
    <x:mergeCell ref="B6:C6"/>
    <x:mergeCell ref="B9:C9"/>
    <x:mergeCell ref="B12:C12"/>
  </x:mergeCells>
  <x:pageMargins left="0.7" right="0.7" top="0.75" bottom="0.75" header="0.3" footer="0.3"/>
</x:worksheet>
</file>

<file path=xl/worksheets/sheet2.xml><?xml version="1.0" encoding="utf-8"?>
<x:worksheet xmlns:x="http://schemas.openxmlformats.org/spreadsheetml/2006/main">
  <x:sheetPr>
    <x:tabColor rgb="FFC9A84C"/>
  </x:sheetPr>
  <x:sheetViews>
    <x:sheetView showGridLines="0" workbookViewId="0"/>
  </x:sheetViews>
  <x:sheetFormatPr baseColWidth="10" defaultColWidth="8.6640625" defaultRowHeight="15"/>
  <x:cols>
    <x:col min="1" max="1" width="2" customWidth="1"/>
    <x:col min="2" max="2" width="20" customWidth="1"/>
    <x:col min="3" max="5" width="16" customWidth="1"/>
    <x:col min="6" max="9" width="14" customWidth="1"/>
    <x:col min="10" max="10" width="2" customWidth="1"/>
  </x:cols>
  <x:sheetData>
    <x:row r="1" ht="6" customHeight="1"/>
    <x:row r="2" ht="37.5" customHeight="1">
      <x:c r="A2" s="10" t="str">
        <x:v>Phase 2 Security Selection Summary — All Clients</x:v>
      </x:c>
      <x:c r="B2" s="10"/>
      <x:c r="C2" s="10"/>
      <x:c r="D2" s="10"/>
      <x:c r="E2" s="10"/>
      <x:c r="F2" s="10"/>
      <x:c r="G2" s="10"/>
      <x:c r="H2" s="10"/>
      <x:c r="I2" s="10"/>
    </x:row>
    <x:row r="3" ht="18" customHeight="1">
      <x:c r="A3" s="9" t="s">
        <x:v>6</x:v>
      </x:c>
      <x:c r="B3" s="9"/>
      <x:c r="C3" s="9"/>
      <x:c r="D3" s="9"/>
      <x:c r="E3" s="9"/>
      <x:c r="F3" s="9"/>
      <x:c r="G3" s="9"/>
      <x:c r="H3" s="9"/>
      <x:c r="I3" s="9"/>
    </x:row>
    <x:row r="4" ht="30" customHeight="1">
      <x:c r="A4" s="8" t="s">
        <x:v>7</x:v>
      </x:c>
      <x:c r="B4" s="8"/>
      <x:c r="C4" s="8"/>
      <x:c r="D4" s="8"/>
      <x:c r="E4" s="8"/>
      <x:c r="F4" s="8"/>
      <x:c r="G4" s="8"/>
      <x:c r="H4" s="8"/>
      <x:c r="I4" s="8"/>
    </x:row>
    <x:row r="5" ht="7.5" customHeight="1"/>
    <x:row r="6" ht="30" customHeight="1">
      <x:c r="B6" s="15" t="s">
        <x:v>8</x:v>
      </x:c>
      <x:c r="D6" s="15" t="s">
        <x:v>9</x:v>
      </x:c>
      <x:c r="F6" s="15" t="s">
        <x:v>10</x:v>
      </x:c>
      <x:c r="H6" s="15" t="s">
        <x:v>11</x:v>
      </x:c>
    </x:row>
    <x:row r="7" ht="21.75" customHeight="1">
      <x:c r="B7" s="16" t="s">
        <x:v>12</x:v>
      </x:c>
      <x:c r="C7" s="17"/>
      <x:c r="D7" s="18" t="n">
        <x:f>'Client 1'!G22</x:f>
        <x:v>0</x:v>
      </x:c>
      <x:c r="E7" s="17"/>
      <x:c r="F7" s="18" t="n">
        <x:f>'Client 2'!G22</x:f>
        <x:v>0</x:v>
      </x:c>
      <x:c r="G7" s="17"/>
      <x:c r="H7" s="18" t="n">
        <x:f>'Client 3'!G22</x:f>
        <x:v>0</x:v>
      </x:c>
      <x:c r="I7" s="19"/>
    </x:row>
    <x:row r="8" ht="21.75" customHeight="1">
      <x:c r="B8" s="20" t="s">
        <x:v>13</x:v>
      </x:c>
      <x:c r="C8" s="19"/>
      <x:c r="D8" s="21" t="n">
        <x:f>'Client 1'!H22</x:f>
        <x:v>0</x:v>
      </x:c>
      <x:c r="E8" s="19"/>
      <x:c r="F8" s="21" t="n">
        <x:f>'Client 2'!H22</x:f>
        <x:v>0</x:v>
      </x:c>
      <x:c r="G8" s="19"/>
      <x:c r="H8" s="21" t="n">
        <x:f>'Client 3'!H22</x:f>
        <x:v>0</x:v>
      </x:c>
      <x:c r="I8" s="19"/>
    </x:row>
    <x:row r="9" ht="21.75" customHeight="1">
      <x:c r="B9" s="16" t="s">
        <x:v>14</x:v>
      </x:c>
      <x:c r="C9" s="17"/>
      <x:c r="D9" s="22" t="n">
        <x:f>'Client 1'!I22</x:f>
        <x:v>0</x:v>
      </x:c>
      <x:c r="E9" s="17"/>
      <x:c r="F9" s="22" t="n">
        <x:f>'Client 2'!I22</x:f>
        <x:v>0</x:v>
      </x:c>
      <x:c r="G9" s="17"/>
      <x:c r="H9" s="22" t="n">
        <x:f>'Client 3'!I22</x:f>
        <x:v>0</x:v>
      </x:c>
      <x:c r="I9" s="19"/>
    </x:row>
    <x:row r="10" ht="21.75" customHeight="1">
      <x:c r="B10" s="20" t="s">
        <x:v>15</x:v>
      </x:c>
      <x:c r="C10" s="19"/>
      <x:c r="D10" s="18" t="n">
        <x:f>'Client 1'!G5</x:f>
        <x:v>0</x:v>
      </x:c>
      <x:c r="E10" s="19"/>
      <x:c r="F10" s="18" t="n">
        <x:f>'Client 2'!G5</x:f>
        <x:v>0</x:v>
      </x:c>
      <x:c r="G10" s="19"/>
      <x:c r="H10" s="18" t="n">
        <x:f>'Client 3'!G5</x:f>
        <x:v>0</x:v>
      </x:c>
      <x:c r="I10" s="19"/>
    </x:row>
    <x:row r="11" ht="21.75" customHeight="1">
      <x:c r="B11" s="16" t="s">
        <x:v>16</x:v>
      </x:c>
      <x:c r="C11" s="17"/>
      <x:c r="D11" s="18" t="n">
        <x:f>'Client 1'!I5</x:f>
        <x:v>0</x:v>
      </x:c>
      <x:c r="E11" s="17"/>
      <x:c r="F11" s="18" t="n">
        <x:f>'Client 2'!I5</x:f>
        <x:v>0</x:v>
      </x:c>
      <x:c r="G11" s="17"/>
      <x:c r="H11" s="18" t="n">
        <x:f>'Client 3'!I5</x:f>
        <x:v>0</x:v>
      </x:c>
      <x:c r="I11" s="19"/>
    </x:row>
  </x:sheetData>
  <x:mergeCells>
    <x:mergeCell ref="A2:I2"/>
    <x:mergeCell ref="A3:I3"/>
    <x:mergeCell ref="A4:I4"/>
  </x:mergeCells>
  <x:conditionalFormatting sqref="D7:D7">
    <x:cfRule type="cellIs" dxfId="17" priority="2" operator="equal">
      <x:formula>1</x:formula>
    </x:cfRule>
    <x:cfRule type="cellIs" dxfId="16" priority="3" operator="notEqual">
      <x:formula>1</x:formula>
    </x:cfRule>
  </x:conditionalFormatting>
  <x:conditionalFormatting sqref="F7:F7">
    <x:cfRule type="cellIs" dxfId="15" priority="4" operator="equal">
      <x:formula>1</x:formula>
    </x:cfRule>
    <x:cfRule type="cellIs" dxfId="14" priority="5" operator="notEqual">
      <x:formula>1</x:formula>
    </x:cfRule>
  </x:conditionalFormatting>
  <x:conditionalFormatting sqref="H7:H7">
    <x:cfRule type="cellIs" dxfId="13" priority="6" operator="equal">
      <x:formula>1</x:formula>
    </x:cfRule>
    <x:cfRule type="cellIs" dxfId="12" priority="7" operator="notEqual">
      <x:formula>1</x:formula>
    </x:cfRule>
  </x:conditionalFormatting>
  <x:pageMargins left="0.7" right="0.7" top="0.75" bottom="0.75" header="0.3" footer="0.3"/>
</x:worksheet>
</file>

<file path=xl/worksheets/sheet3.xml><?xml version="1.0" encoding="utf-8"?>
<x:worksheet xmlns:x="http://schemas.openxmlformats.org/spreadsheetml/2006/main">
  <x:sheetPr>
    <x:tabColor rgb="FF1F6B3A"/>
  </x:sheetPr>
  <x:sheetViews>
    <x:sheetView showGridLines="0" workbookViewId="0"/>
  </x:sheetViews>
  <x:sheetFormatPr baseColWidth="10" defaultColWidth="8.6640625" defaultRowHeight="15"/>
  <x:cols>
    <x:col min="1" max="1" width="2" customWidth="1"/>
    <x:col min="2" max="2" width="5" customWidth="1"/>
    <x:col min="3" max="3" width="10" customWidth="1"/>
    <x:col min="4" max="4" width="28" customWidth="1"/>
    <x:col min="5" max="6" width="18" customWidth="1"/>
    <x:col min="7" max="7" width="10" customWidth="1"/>
    <x:col min="8" max="8" width="14" customWidth="1"/>
    <x:col min="9" max="9" width="9" customWidth="1"/>
    <x:col min="10" max="10" width="14" customWidth="1"/>
    <x:col min="11" max="11" width="22" customWidth="1"/>
    <x:col min="12" max="12" width="24" customWidth="1"/>
    <x:col min="13" max="13" width="2" customWidth="1"/>
  </x:cols>
  <x:sheetData>
    <x:row r="1" ht="6" customHeight="1"/>
    <x:row r="2" ht="37.5" customHeight="1">
      <x:c r="A2" s="10" t="str">
        <x:v>Phase 2 — Security Analysis &amp; Selection  |  Client 1</x:v>
      </x:c>
      <x:c r="B2" s="10"/>
      <x:c r="C2" s="10"/>
      <x:c r="D2" s="10"/>
      <x:c r="E2" s="10"/>
      <x:c r="F2" s="10"/>
      <x:c r="G2" s="10"/>
      <x:c r="H2" s="10"/>
      <x:c r="I2" s="10"/>
      <x:c r="J2" s="10"/>
      <x:c r="K2" s="10"/>
      <x:c r="L2" s="10"/>
      <x:c r="M2" s="10"/>
    </x:row>
    <x:row r="3" ht="18" customHeight="1">
      <x:c r="A3" s="9" t="str">
        <x:v>BUS 331 Investments  |  Endicott College  |  Phase 2: Security Analysis &amp; Selection</x:v>
      </x:c>
      <x:c r="B3" s="9"/>
      <x:c r="C3" s="9"/>
      <x:c r="D3" s="9"/>
      <x:c r="E3" s="9"/>
      <x:c r="F3" s="9"/>
      <x:c r="G3" s="9"/>
      <x:c r="H3" s="9"/>
      <x:c r="I3" s="9"/>
      <x:c r="J3" s="9"/>
      <x:c r="K3" s="9"/>
      <x:c r="L3" s="9"/>
      <x:c r="M3" s="9"/>
    </x:row>
    <x:row r="4" ht="6" customHeight="1"/>
    <x:row r="5" ht="21.75" customHeight="1">
      <x:c r="B5" s="23" t="s">
        <x:v>17</x:v>
      </x:c>
      <x:c r="C5" s="24"/>
      <x:c r="D5" s="25"/>
      <x:c r="F5" s="23" t="s">
        <x:v>18</x:v>
      </x:c>
      <x:c r="G5" s="26"/>
      <x:c r="H5" s="23" t="s">
        <x:v>19</x:v>
      </x:c>
      <x:c r="I5" s="26"/>
      <x:c r="J5" s="23" t="s">
        <x:v>20</x:v>
      </x:c>
      <x:c r="K5" s="7"/>
      <x:c r="L5" s="7"/>
    </x:row>
    <x:row r="6" ht="6" customHeight="1"/>
    <x:row r="7" ht="30" customHeight="1">
      <x:c r="A7" s="6" t="s">
        <x:v>21</x:v>
      </x:c>
      <x:c r="B7" s="6"/>
      <x:c r="C7" s="6"/>
      <x:c r="D7" s="6"/>
      <x:c r="E7" s="6"/>
      <x:c r="F7" s="6"/>
      <x:c r="G7" s="6"/>
      <x:c r="H7" s="6"/>
      <x:c r="I7" s="6"/>
      <x:c r="J7" s="6"/>
      <x:c r="K7" s="6"/>
      <x:c r="L7" s="6"/>
      <x:c r="M7" s="6"/>
    </x:row>
    <x:row r="8" ht="7.5" customHeight="1"/>
    <x:row r="9" ht="19.5" customHeight="1">
      <x:c r="A9" s="5" t="str">
        <x:v>  SECTION 1 — FOCUSED CANDIDATE RESEARCH TABLE</x:v>
      </x:c>
      <x:c r="B9" s="5"/>
      <x:c r="C9" s="5"/>
      <x:c r="D9" s="5"/>
      <x:c r="E9" s="5"/>
      <x:c r="F9" s="5"/>
      <x:c r="G9" s="5"/>
      <x:c r="H9" s="5"/>
      <x:c r="I9" s="5"/>
      <x:c r="J9" s="5"/>
      <x:c r="K9" s="5"/>
      <x:c r="L9" s="5"/>
      <x:c r="M9" s="5"/>
    </x:row>
    <x:row r="10" ht="30" customHeight="1">
      <x:c r="A10" s="8" t="str">
        <x:v>Use this tab for candidate research and calculations. Record the 8–10 final holdings in FINAL SCORECARDS; never exceed 10, do not fill every slot, keep funds/ETFs primary, and limit individual securities to two or three total.</x:v>
      </x:c>
      <x:c r="B10" s="8"/>
      <x:c r="C10" s="8"/>
      <x:c r="D10" s="8"/>
      <x:c r="E10" s="8"/>
      <x:c r="F10" s="8"/>
      <x:c r="G10" s="8"/>
      <x:c r="H10" s="8"/>
      <x:c r="I10" s="8"/>
      <x:c r="J10" s="8"/>
      <x:c r="K10" s="8"/>
      <x:c r="L10" s="8"/>
      <x:c r="M10" s="8"/>
    </x:row>
    <x:row r="11" ht="36" customHeight="1">
      <x:c r="B11" s="27" t="s">
        <x:v>22</x:v>
      </x:c>
      <x:c r="C11" s="27" t="s">
        <x:v>23</x:v>
      </x:c>
      <x:c r="D11" s="27" t="s">
        <x:v>24</x:v>
      </x:c>
      <x:c r="E11" s="27" t="s">
        <x:v>25</x:v>
      </x:c>
      <x:c r="F11" s="27" t="s">
        <x:v>26</x:v>
      </x:c>
      <x:c r="G11" s="27" t="s">
        <x:v>27</x:v>
      </x:c>
      <x:c r="H11" s="27" t="s">
        <x:v>28</x:v>
      </x:c>
      <x:c r="I11" s="27" t="s">
        <x:v>29</x:v>
      </x:c>
      <x:c r="J11" s="27" t="s">
        <x:v>30</x:v>
      </x:c>
      <x:c r="K11" s="27" t="str">
        <x:v>Candidate Note
Ref #</x:v>
      </x:c>
      <x:c r="L11" s="27" t="s">
        <x:v>31</x:v>
      </x:c>
    </x:row>
    <x:row r="12" ht="21.75" customHeight="1">
      <x:c r="B12" s="28" t="n">
        <x:f>1</x:f>
        <x:v>1</x:v>
      </x:c>
      <x:c r="C12" s="24"/>
      <x:c r="D12" s="29"/>
      <x:c r="E12" s="24"/>
      <x:c r="F12" s="24"/>
      <x:c r="G12" s="26"/>
      <x:c r="H12" s="30" t="str">
        <x:f t="shared" ref="H12:H21" si="0">IF(G12&lt;&gt;"",G12*500000,"")</x:f>
      </x:c>
      <x:c r="I12" s="31"/>
      <x:c r="J12" s="24"/>
      <x:c r="K12" s="32"/>
      <x:c r="L12" s="29"/>
    </x:row>
    <x:row r="13" ht="21.75" customHeight="1">
      <x:c r="B13" s="28" t="n">
        <x:f>2</x:f>
        <x:v>2</x:v>
      </x:c>
      <x:c r="C13" s="24"/>
      <x:c r="D13" s="29"/>
      <x:c r="E13" s="24"/>
      <x:c r="F13" s="24"/>
      <x:c r="G13" s="26"/>
      <x:c r="H13" s="30" t="str">
        <x:f t="shared" si="0"/>
      </x:c>
      <x:c r="I13" s="31"/>
      <x:c r="J13" s="24"/>
      <x:c r="K13" s="32"/>
      <x:c r="L13" s="29"/>
    </x:row>
    <x:row r="14" ht="21.75" customHeight="1">
      <x:c r="B14" s="28" t="n">
        <x:f>3</x:f>
        <x:v>3</x:v>
      </x:c>
      <x:c r="C14" s="24"/>
      <x:c r="D14" s="29"/>
      <x:c r="E14" s="24"/>
      <x:c r="F14" s="24"/>
      <x:c r="G14" s="26"/>
      <x:c r="H14" s="30" t="str">
        <x:f t="shared" si="0"/>
      </x:c>
      <x:c r="I14" s="31"/>
      <x:c r="J14" s="24"/>
      <x:c r="K14" s="32"/>
      <x:c r="L14" s="29"/>
    </x:row>
    <x:row r="15" ht="21.75" customHeight="1">
      <x:c r="B15" s="28" t="n">
        <x:f>4</x:f>
        <x:v>4</x:v>
      </x:c>
      <x:c r="C15" s="24"/>
      <x:c r="D15" s="29"/>
      <x:c r="E15" s="24"/>
      <x:c r="F15" s="24"/>
      <x:c r="G15" s="26"/>
      <x:c r="H15" s="30" t="str">
        <x:f t="shared" si="0"/>
      </x:c>
      <x:c r="I15" s="31"/>
      <x:c r="J15" s="24"/>
      <x:c r="K15" s="32"/>
      <x:c r="L15" s="29"/>
    </x:row>
    <x:row r="16" ht="21.75" customHeight="1">
      <x:c r="B16" s="28" t="n">
        <x:f>5</x:f>
        <x:v>5</x:v>
      </x:c>
      <x:c r="C16" s="24"/>
      <x:c r="D16" s="29"/>
      <x:c r="E16" s="24"/>
      <x:c r="F16" s="24"/>
      <x:c r="G16" s="26"/>
      <x:c r="H16" s="30" t="str">
        <x:f t="shared" si="0"/>
      </x:c>
      <x:c r="I16" s="31"/>
      <x:c r="J16" s="24"/>
      <x:c r="K16" s="32"/>
      <x:c r="L16" s="29"/>
    </x:row>
    <x:row r="17" ht="21.75" customHeight="1">
      <x:c r="B17" s="28" t="n">
        <x:f>6</x:f>
        <x:v>6</x:v>
      </x:c>
      <x:c r="C17" s="24"/>
      <x:c r="D17" s="29"/>
      <x:c r="E17" s="24"/>
      <x:c r="F17" s="24"/>
      <x:c r="G17" s="26"/>
      <x:c r="H17" s="30" t="str">
        <x:f t="shared" si="0"/>
      </x:c>
      <x:c r="I17" s="31"/>
      <x:c r="J17" s="24"/>
      <x:c r="K17" s="32"/>
      <x:c r="L17" s="29"/>
    </x:row>
    <x:row r="18" ht="21.75" customHeight="1">
      <x:c r="B18" s="28" t="n">
        <x:f>7</x:f>
        <x:v>7</x:v>
      </x:c>
      <x:c r="C18" s="24"/>
      <x:c r="D18" s="29"/>
      <x:c r="E18" s="24"/>
      <x:c r="F18" s="24"/>
      <x:c r="G18" s="26"/>
      <x:c r="H18" s="30" t="str">
        <x:f t="shared" si="0"/>
      </x:c>
      <x:c r="I18" s="31"/>
      <x:c r="J18" s="24"/>
      <x:c r="K18" s="32"/>
      <x:c r="L18" s="29"/>
    </x:row>
    <x:row r="19" ht="21.75" customHeight="1">
      <x:c r="B19" s="28" t="n">
        <x:f>8</x:f>
        <x:v>8</x:v>
      </x:c>
      <x:c r="C19" s="24"/>
      <x:c r="D19" s="29"/>
      <x:c r="E19" s="24"/>
      <x:c r="F19" s="24"/>
      <x:c r="G19" s="26"/>
      <x:c r="H19" s="30" t="str">
        <x:f t="shared" si="0"/>
      </x:c>
      <x:c r="I19" s="31"/>
      <x:c r="J19" s="24"/>
      <x:c r="K19" s="32"/>
      <x:c r="L19" s="29"/>
    </x:row>
    <x:row r="20" ht="21.75" customHeight="1">
      <x:c r="B20" s="28" t="n">
        <x:f>9</x:f>
        <x:v>9</x:v>
      </x:c>
      <x:c r="C20" s="24"/>
      <x:c r="D20" s="29"/>
      <x:c r="E20" s="24"/>
      <x:c r="F20" s="24"/>
      <x:c r="G20" s="26"/>
      <x:c r="H20" s="30" t="str">
        <x:f t="shared" si="0"/>
      </x:c>
      <x:c r="I20" s="31"/>
      <x:c r="J20" s="24"/>
      <x:c r="K20" s="32"/>
      <x:c r="L20" s="29"/>
    </x:row>
    <x:row r="21" ht="21.75" customHeight="1">
      <x:c r="B21" s="28" t="n">
        <x:f>10</x:f>
        <x:v>10</x:v>
      </x:c>
      <x:c r="C21" s="24"/>
      <x:c r="D21" s="29"/>
      <x:c r="E21" s="24"/>
      <x:c r="F21" s="24"/>
      <x:c r="G21" s="26"/>
      <x:c r="H21" s="30" t="str">
        <x:f t="shared" si="0"/>
      </x:c>
      <x:c r="I21" s="31"/>
      <x:c r="J21" s="24"/>
      <x:c r="K21" s="32"/>
      <x:c r="L21" s="29"/>
    </x:row>
    <x:row r="22" ht="21.75" customHeight="1">
      <x:c r="A22" s="4" t="s">
        <x:v>32</x:v>
      </x:c>
      <x:c r="B22" s="4"/>
      <x:c r="C22" s="4"/>
      <x:c r="D22" s="4"/>
      <x:c r="E22" s="4"/>
      <x:c r="F22" s="4"/>
      <x:c r="G22" s="33" t="n">
        <x:f>IFERROR(SUM(G12:G21),0)</x:f>
        <x:v>0</x:v>
      </x:c>
      <x:c r="H22" s="34" t="n">
        <x:f>IFERROR(SUMIF(G12:G21,"&lt;&gt;",H12:H21),0)</x:f>
        <x:v>0</x:v>
      </x:c>
      <x:c r="I22" s="35" t="str" cm="1">
        <x:f t="array" ref="I22">IFERROR(SUMPRODUCT((G12:G21)*IF(ISNUMBER(_xlfn.SINGLE(I12:I21)),I12:I21,0))/IFERROR(SUM(G12:G21),1),"")</x:f>
      </x:c>
      <x:c r="J22" s="36" t="s">
        <x:v>33</x:v>
      </x:c>
      <x:c r="K22" s="3" t="s">
        <x:v>34</x:v>
      </x:c>
      <x:c r="L22" s="3"/>
      <x:c r="M22" s="3"/>
    </x:row>
    <x:row r="24" ht="9.75" customHeight="1"/>
    <x:row r="25" ht="19.5" customHeight="1">
      <x:c r="A25" s="5" t="str">
        <x:v>  SECTION 2 — OPTIONAL PRELIMINARY HEDGE RESEARCH</x:v>
      </x:c>
      <x:c r="B25" s="5"/>
      <x:c r="C25" s="5"/>
      <x:c r="D25" s="5"/>
      <x:c r="E25" s="5"/>
      <x:c r="F25" s="5"/>
      <x:c r="G25" s="5"/>
      <x:c r="H25" s="5"/>
      <x:c r="I25" s="5"/>
      <x:c r="J25" s="5"/>
      <x:c r="K25" s="5"/>
      <x:c r="L25" s="5"/>
      <x:c r="M25" s="5"/>
    </x:row>
    <x:row r="26" ht="30" customHeight="1">
      <x:c r="A26" s="6" t="str">
        <x:v>A derivative is optional. Use these fields only to support the RISK &amp; HEDGE tab. At most one targeted hedge may be proposed when it solves an identified residual risk; a supported no-hedge conclusion is fully valid.</x:v>
      </x:c>
      <x:c r="B26" s="6"/>
      <x:c r="C26" s="6"/>
      <x:c r="D26" s="6"/>
      <x:c r="E26" s="6"/>
      <x:c r="F26" s="6"/>
      <x:c r="G26" s="6"/>
      <x:c r="H26" s="6"/>
      <x:c r="I26" s="6"/>
      <x:c r="J26" s="6"/>
      <x:c r="K26" s="6"/>
      <x:c r="L26" s="6"/>
      <x:c r="M26" s="6"/>
    </x:row>
    <x:row r="27" ht="21.75" customHeight="1">
      <x:c r="B27" s="23" t="str">
        <x:v>Identified Residual Risk</x:v>
      </x:c>
      <x:c r="C27" s="7"/>
      <x:c r="D27" s="7"/>
      <x:c r="E27" s="7"/>
      <x:c r="F27" s="7"/>
      <x:c r="G27" s="7"/>
      <x:c r="H27" s="7"/>
      <x:c r="I27" s="7"/>
      <x:c r="J27" s="2"/>
      <x:c r="K27" s="2"/>
      <x:c r="L27" s="2"/>
      <x:c r="M27" s="2"/>
    </x:row>
    <x:row r="28" ht="21.75" customHeight="1">
      <x:c r="B28" s="23" t="str">
        <x:v>Preliminary Conclusion</x:v>
      </x:c>
      <x:c r="C28" s="7"/>
      <x:c r="D28" s="7"/>
      <x:c r="E28" s="7"/>
      <x:c r="F28" s="7"/>
      <x:c r="G28" s="7"/>
      <x:c r="H28" s="7"/>
      <x:c r="I28" s="7"/>
      <x:c r="J28" s="2"/>
      <x:c r="K28" s="2"/>
      <x:c r="L28" s="2"/>
      <x:c r="M28" s="2"/>
    </x:row>
    <x:row r="29" ht="21.75" customHeight="1">
      <x:c r="B29" s="23" t="str">
        <x:v>Candidate Instrument (if any)</x:v>
      </x:c>
      <x:c r="C29" s="7"/>
      <x:c r="D29" s="7"/>
      <x:c r="E29" s="7"/>
      <x:c r="F29" s="7"/>
      <x:c r="G29" s="7"/>
      <x:c r="H29" s="7"/>
      <x:c r="I29" s="7"/>
      <x:c r="J29" s="2"/>
      <x:c r="K29" s="2"/>
      <x:c r="L29" s="2"/>
      <x:c r="M29" s="2"/>
    </x:row>
    <x:row r="30" ht="21.75" customHeight="1">
      <x:c r="B30" s="23" t="str">
        <x:v>Preliminary Size</x:v>
      </x:c>
      <x:c r="C30" s="7"/>
      <x:c r="D30" s="7"/>
      <x:c r="E30" s="7"/>
      <x:c r="F30" s="7"/>
      <x:c r="G30" s="7"/>
      <x:c r="H30" s="7"/>
      <x:c r="I30" s="7"/>
      <x:c r="J30" s="2"/>
      <x:c r="K30" s="2"/>
      <x:c r="L30" s="2"/>
      <x:c r="M30" s="2"/>
    </x:row>
    <x:row r="31" ht="21.75" customHeight="1">
      <x:c r="B31" s="23" t="str">
        <x:v>Cost / Liquidity / Trade-Offs</x:v>
      </x:c>
      <x:c r="C31" s="7"/>
      <x:c r="D31" s="7"/>
      <x:c r="E31" s="7"/>
      <x:c r="F31" s="7"/>
      <x:c r="G31" s="7"/>
      <x:c r="H31" s="7"/>
      <x:c r="I31" s="7"/>
      <x:c r="J31" s="2"/>
      <x:c r="K31" s="2"/>
      <x:c r="L31" s="2"/>
      <x:c r="M31" s="2"/>
    </x:row>
    <x:row r="32" ht="21.75" customHeight="1">
      <x:c r="B32" s="23" t="str">
        <x:v>Residual / Basis / Execution Risk</x:v>
      </x:c>
      <x:c r="C32" s="7"/>
      <x:c r="D32" s="7"/>
      <x:c r="E32" s="7"/>
      <x:c r="F32" s="7"/>
      <x:c r="G32" s="7"/>
      <x:c r="H32" s="7"/>
      <x:c r="I32" s="7"/>
      <x:c r="J32" s="2"/>
      <x:c r="K32" s="2"/>
      <x:c r="L32" s="2"/>
      <x:c r="M32" s="2"/>
    </x:row>
    <x:row r="33" ht="21.75" customHeight="1">
      <x:c r="B33" s="23" t="str">
        <x:v>Adjustment / Removal Condition</x:v>
      </x:c>
      <x:c r="C33" s="7"/>
      <x:c r="D33" s="7"/>
      <x:c r="E33" s="7"/>
      <x:c r="F33" s="7"/>
      <x:c r="G33" s="7"/>
      <x:c r="H33" s="7"/>
      <x:c r="I33" s="7"/>
      <x:c r="J33" s="2"/>
      <x:c r="K33" s="2"/>
      <x:c r="L33" s="2"/>
      <x:c r="M33" s="2"/>
    </x:row>
    <x:row r="34" ht="21.75" customHeight="1">
      <x:c r="B34" s="23" t="str">
        <x:v>Owner / Peer Review</x:v>
      </x:c>
      <x:c r="C34" s="7"/>
      <x:c r="D34" s="7"/>
      <x:c r="E34" s="7"/>
      <x:c r="F34" s="7"/>
      <x:c r="G34" s="7"/>
      <x:c r="H34" s="7"/>
      <x:c r="I34" s="7"/>
      <x:c r="J34" s="2"/>
      <x:c r="K34" s="2"/>
      <x:c r="L34" s="2"/>
      <x:c r="M34" s="2"/>
    </x:row>
    <x:row r="35" ht="21.75" customHeight="1">
      <x:c r="B35" s="23" t="str">
        <x:v>Source &amp; As-of Date</x:v>
      </x:c>
      <x:c r="C35" s="7"/>
      <x:c r="D35" s="7"/>
      <x:c r="E35" s="7"/>
      <x:c r="F35" s="7"/>
      <x:c r="G35" s="7"/>
      <x:c r="H35" s="7"/>
      <x:c r="I35" s="7"/>
      <x:c r="J35" s="2"/>
      <x:c r="K35" s="2"/>
      <x:c r="L35" s="2"/>
      <x:c r="M35" s="2"/>
    </x:row>
    <x:row r="36" ht="9.75" customHeight="1"/>
    <x:row r="37" ht="19.5" customHeight="1">
      <x:c r="B37" s="5" t="str">
        <x:v>    Optional Alternative Considered (concise; complete only if it informed the hedge / no-hedge conclusion)</x:v>
      </x:c>
      <x:c r="C37" s="5"/>
      <x:c r="D37" s="5"/>
      <x:c r="E37" s="5"/>
      <x:c r="F37" s="5"/>
      <x:c r="G37" s="5"/>
      <x:c r="H37" s="5"/>
      <x:c r="I37" s="5"/>
      <x:c r="J37" s="5"/>
      <x:c r="K37" s="5"/>
      <x:c r="L37" s="5"/>
      <x:c r="M37" s="5"/>
    </x:row>
    <x:row r="38" ht="30" customHeight="1">
      <x:c r="B38" s="27" t="s">
        <x:v>35</x:v>
      </x:c>
      <x:c r="C38" s="1" t="s">
        <x:v>36</x:v>
      </x:c>
      <x:c r="D38" s="1"/>
      <x:c r="E38" s="1"/>
      <x:c r="F38" s="1" t="s">
        <x:v>37</x:v>
      </x:c>
      <x:c r="G38" s="1"/>
      <x:c r="H38" s="1" t="s">
        <x:v>38</x:v>
      </x:c>
      <x:c r="I38" s="1"/>
      <x:c r="J38" s="1"/>
      <x:c r="K38" s="1" t="s">
        <x:v>39</x:v>
      </x:c>
      <x:c r="L38" s="1"/>
    </x:row>
    <x:row r="39" ht="21.75" customHeight="1">
      <x:c r="B39" s="24"/>
      <x:c r="C39" s="7"/>
      <x:c r="D39" s="7"/>
      <x:c r="E39" s="7"/>
      <x:c r="F39" s="7"/>
      <x:c r="G39" s="7"/>
      <x:c r="H39" s="7"/>
      <x:c r="I39" s="7"/>
      <x:c r="J39" s="7"/>
      <x:c r="K39" s="7"/>
      <x:c r="L39" s="7"/>
    </x:row>
    <x:row r="40" ht="21.75" customHeight="1">
      <x:c r="B40" s="24"/>
      <x:c r="C40" s="7"/>
      <x:c r="D40" s="7"/>
      <x:c r="E40" s="7"/>
      <x:c r="F40" s="7"/>
      <x:c r="G40" s="7"/>
      <x:c r="H40" s="7"/>
      <x:c r="I40" s="7"/>
      <x:c r="J40" s="7"/>
      <x:c r="K40" s="7"/>
      <x:c r="L40" s="7"/>
    </x:row>
    <x:row r="41" ht="9.75" customHeight="1"/>
    <x:row r="42" ht="19.5" customHeight="1">
      <x:c r="A42" s="5" t="str">
        <x:v>  SECTION 3 — CANDIDATE NOTES (NOT FINAL SCORECARDS)</x:v>
      </x:c>
      <x:c r="B42" s="5"/>
      <x:c r="C42" s="5"/>
      <x:c r="D42" s="5"/>
      <x:c r="E42" s="5"/>
      <x:c r="F42" s="5"/>
      <x:c r="G42" s="5"/>
      <x:c r="H42" s="5"/>
      <x:c r="I42" s="5"/>
      <x:c r="J42" s="5"/>
      <x:c r="K42" s="5"/>
      <x:c r="L42" s="5"/>
      <x:c r="M42" s="5"/>
    </x:row>
    <x:row r="43" ht="30" customHeight="1">
      <x:c r="A43" s="8" t="str">
        <x:v>Use a brief candidate note only when it materially supports a final Select or Reject decision. Do not complete one block for every screened name. FINAL SCORECARDS and the Analyst Decision Log are the authoritative final records.</x:v>
      </x:c>
      <x:c r="B43" s="8"/>
      <x:c r="C43" s="8"/>
      <x:c r="D43" s="8"/>
      <x:c r="E43" s="8"/>
      <x:c r="F43" s="8"/>
      <x:c r="G43" s="8"/>
      <x:c r="H43" s="8"/>
      <x:c r="I43" s="8"/>
      <x:c r="J43" s="8"/>
      <x:c r="K43" s="8"/>
      <x:c r="L43" s="8"/>
      <x:c r="M43" s="8"/>
    </x:row>
    <x:row r="44" ht="19.5" customHeight="1">
      <x:c r="A44" s="73" t="str">
        <x:v>  Candidate Note #1</x:v>
      </x:c>
      <x:c r="B44" s="73"/>
      <x:c r="C44" s="73"/>
      <x:c r="D44" s="73"/>
      <x:c r="E44" s="73"/>
      <x:c r="F44" s="73"/>
      <x:c r="G44" s="73"/>
      <x:c r="H44" s="73"/>
      <x:c r="I44" s="73"/>
      <x:c r="J44" s="73"/>
      <x:c r="K44" s="73"/>
      <x:c r="L44" s="73"/>
      <x:c r="M44" s="73"/>
    </x:row>
    <x:row r="45" ht="25.5" customHeight="1">
      <x:c r="B45" s="37" t="s">
        <x:v>40</x:v>
      </x:c>
      <x:c r="C45" s="7"/>
      <x:c r="D45" s="7"/>
      <x:c r="E45" s="7"/>
      <x:c r="F45" s="7"/>
      <x:c r="G45" s="7"/>
      <x:c r="H45" s="7"/>
      <x:c r="I45" s="7"/>
      <x:c r="J45" s="7"/>
      <x:c r="K45" s="7"/>
      <x:c r="L45" s="7"/>
      <x:c r="M45" s="7"/>
    </x:row>
    <x:row r="46" ht="25.5" customHeight="1">
      <x:c r="B46" s="37" t="s">
        <x:v>41</x:v>
      </x:c>
      <x:c r="C46" s="7"/>
      <x:c r="D46" s="7"/>
      <x:c r="E46" s="7"/>
      <x:c r="F46" s="7"/>
      <x:c r="G46" s="7"/>
      <x:c r="H46" s="7"/>
      <x:c r="I46" s="7"/>
      <x:c r="J46" s="7"/>
      <x:c r="K46" s="7"/>
      <x:c r="L46" s="7"/>
      <x:c r="M46" s="7"/>
    </x:row>
    <x:row r="47" ht="25.5" customHeight="1">
      <x:c r="B47" s="37" t="s">
        <x:v>42</x:v>
      </x:c>
      <x:c r="C47" s="7"/>
      <x:c r="D47" s="7"/>
      <x:c r="E47" s="7"/>
      <x:c r="F47" s="7"/>
      <x:c r="G47" s="7"/>
      <x:c r="H47" s="7"/>
      <x:c r="I47" s="7"/>
      <x:c r="J47" s="7"/>
      <x:c r="K47" s="7"/>
      <x:c r="L47" s="7"/>
      <x:c r="M47" s="7"/>
    </x:row>
    <x:row r="48" ht="25.5" customHeight="1">
      <x:c r="B48" s="37" t="s">
        <x:v>43</x:v>
      </x:c>
      <x:c r="C48" s="7"/>
      <x:c r="D48" s="7"/>
      <x:c r="E48" s="7"/>
      <x:c r="F48" s="7"/>
      <x:c r="G48" s="7"/>
      <x:c r="H48" s="7"/>
      <x:c r="I48" s="7"/>
      <x:c r="J48" s="7"/>
      <x:c r="K48" s="7"/>
      <x:c r="L48" s="7"/>
      <x:c r="M48" s="7"/>
    </x:row>
    <x:row r="49" ht="25.5" customHeight="1">
      <x:c r="B49" s="37" t="s">
        <x:v>44</x:v>
      </x:c>
      <x:c r="C49" s="7"/>
      <x:c r="D49" s="7"/>
      <x:c r="E49" s="7"/>
      <x:c r="F49" s="7"/>
      <x:c r="G49" s="7"/>
      <x:c r="H49" s="7"/>
      <x:c r="I49" s="7"/>
      <x:c r="J49" s="7"/>
      <x:c r="K49" s="7"/>
      <x:c r="L49" s="7"/>
      <x:c r="M49" s="7"/>
    </x:row>
    <x:row r="50" ht="25.5" customHeight="1">
      <x:c r="B50" s="37" t="s">
        <x:v>45</x:v>
      </x:c>
      <x:c r="C50" s="7"/>
      <x:c r="D50" s="7"/>
      <x:c r="E50" s="7"/>
      <x:c r="F50" s="7"/>
      <x:c r="G50" s="7"/>
      <x:c r="H50" s="7"/>
      <x:c r="I50" s="7"/>
      <x:c r="J50" s="7"/>
      <x:c r="K50" s="7"/>
      <x:c r="L50" s="7"/>
      <x:c r="M50" s="7"/>
    </x:row>
    <x:row r="51" ht="25.5" customHeight="1">
      <x:c r="B51" s="37" t="s">
        <x:v>46</x:v>
      </x:c>
      <x:c r="C51" s="7"/>
      <x:c r="D51" s="7"/>
      <x:c r="E51" s="7"/>
      <x:c r="F51" s="7"/>
      <x:c r="G51" s="7"/>
      <x:c r="H51" s="7"/>
      <x:c r="I51" s="7"/>
      <x:c r="J51" s="7"/>
      <x:c r="K51" s="7"/>
      <x:c r="L51" s="7"/>
      <x:c r="M51" s="7"/>
    </x:row>
    <x:row r="52" ht="6" customHeight="1"/>
    <x:row r="53" ht="19.5" customHeight="1">
      <x:c r="A53" s="73" t="str">
        <x:v>  Candidate Note #2</x:v>
      </x:c>
      <x:c r="B53" s="73"/>
      <x:c r="C53" s="73"/>
      <x:c r="D53" s="73"/>
      <x:c r="E53" s="73"/>
      <x:c r="F53" s="73"/>
      <x:c r="G53" s="73"/>
      <x:c r="H53" s="73"/>
      <x:c r="I53" s="73"/>
      <x:c r="J53" s="73"/>
      <x:c r="K53" s="73"/>
      <x:c r="L53" s="73"/>
      <x:c r="M53" s="73"/>
    </x:row>
    <x:row r="54" ht="25.5" customHeight="1">
      <x:c r="B54" s="37" t="s">
        <x:v>40</x:v>
      </x:c>
      <x:c r="C54" s="7"/>
      <x:c r="D54" s="7"/>
      <x:c r="E54" s="7"/>
      <x:c r="F54" s="7"/>
      <x:c r="G54" s="7"/>
      <x:c r="H54" s="7"/>
      <x:c r="I54" s="7"/>
      <x:c r="J54" s="7"/>
      <x:c r="K54" s="7"/>
      <x:c r="L54" s="7"/>
      <x:c r="M54" s="7"/>
    </x:row>
    <x:row r="55" ht="25.5" customHeight="1">
      <x:c r="B55" s="37" t="s">
        <x:v>41</x:v>
      </x:c>
      <x:c r="C55" s="7"/>
      <x:c r="D55" s="7"/>
      <x:c r="E55" s="7"/>
      <x:c r="F55" s="7"/>
      <x:c r="G55" s="7"/>
      <x:c r="H55" s="7"/>
      <x:c r="I55" s="7"/>
      <x:c r="J55" s="7"/>
      <x:c r="K55" s="7"/>
      <x:c r="L55" s="7"/>
      <x:c r="M55" s="7"/>
    </x:row>
    <x:row r="56" ht="25.5" customHeight="1">
      <x:c r="B56" s="37" t="s">
        <x:v>42</x:v>
      </x:c>
      <x:c r="C56" s="7"/>
      <x:c r="D56" s="7"/>
      <x:c r="E56" s="7"/>
      <x:c r="F56" s="7"/>
      <x:c r="G56" s="7"/>
      <x:c r="H56" s="7"/>
      <x:c r="I56" s="7"/>
      <x:c r="J56" s="7"/>
      <x:c r="K56" s="7"/>
      <x:c r="L56" s="7"/>
      <x:c r="M56" s="7"/>
    </x:row>
    <x:row r="57" ht="25.5" customHeight="1">
      <x:c r="B57" s="37" t="s">
        <x:v>43</x:v>
      </x:c>
      <x:c r="C57" s="7"/>
      <x:c r="D57" s="7"/>
      <x:c r="E57" s="7"/>
      <x:c r="F57" s="7"/>
      <x:c r="G57" s="7"/>
      <x:c r="H57" s="7"/>
      <x:c r="I57" s="7"/>
      <x:c r="J57" s="7"/>
      <x:c r="K57" s="7"/>
      <x:c r="L57" s="7"/>
      <x:c r="M57" s="7"/>
    </x:row>
    <x:row r="58" ht="25.5" customHeight="1">
      <x:c r="B58" s="37" t="s">
        <x:v>44</x:v>
      </x:c>
      <x:c r="C58" s="7"/>
      <x:c r="D58" s="7"/>
      <x:c r="E58" s="7"/>
      <x:c r="F58" s="7"/>
      <x:c r="G58" s="7"/>
      <x:c r="H58" s="7"/>
      <x:c r="I58" s="7"/>
      <x:c r="J58" s="7"/>
      <x:c r="K58" s="7"/>
      <x:c r="L58" s="7"/>
      <x:c r="M58" s="7"/>
    </x:row>
    <x:row r="59" ht="25.5" customHeight="1">
      <x:c r="B59" s="37" t="s">
        <x:v>45</x:v>
      </x:c>
      <x:c r="C59" s="7"/>
      <x:c r="D59" s="7"/>
      <x:c r="E59" s="7"/>
      <x:c r="F59" s="7"/>
      <x:c r="G59" s="7"/>
      <x:c r="H59" s="7"/>
      <x:c r="I59" s="7"/>
      <x:c r="J59" s="7"/>
      <x:c r="K59" s="7"/>
      <x:c r="L59" s="7"/>
      <x:c r="M59" s="7"/>
    </x:row>
    <x:row r="60" ht="25.5" customHeight="1">
      <x:c r="B60" s="37" t="s">
        <x:v>46</x:v>
      </x:c>
      <x:c r="C60" s="7"/>
      <x:c r="D60" s="7"/>
      <x:c r="E60" s="7"/>
      <x:c r="F60" s="7"/>
      <x:c r="G60" s="7"/>
      <x:c r="H60" s="7"/>
      <x:c r="I60" s="7"/>
      <x:c r="J60" s="7"/>
      <x:c r="K60" s="7"/>
      <x:c r="L60" s="7"/>
      <x:c r="M60" s="7"/>
    </x:row>
    <x:row r="61" ht="6" customHeight="1"/>
    <x:row r="62" ht="19.5" customHeight="1">
      <x:c r="A62" s="73" t="str">
        <x:v>  Candidate Note #3</x:v>
      </x:c>
      <x:c r="B62" s="73"/>
      <x:c r="C62" s="73"/>
      <x:c r="D62" s="73"/>
      <x:c r="E62" s="73"/>
      <x:c r="F62" s="73"/>
      <x:c r="G62" s="73"/>
      <x:c r="H62" s="73"/>
      <x:c r="I62" s="73"/>
      <x:c r="J62" s="73"/>
      <x:c r="K62" s="73"/>
      <x:c r="L62" s="73"/>
      <x:c r="M62" s="73"/>
    </x:row>
    <x:row r="63" ht="25.5" customHeight="1">
      <x:c r="B63" s="37" t="s">
        <x:v>40</x:v>
      </x:c>
      <x:c r="C63" s="7"/>
      <x:c r="D63" s="7"/>
      <x:c r="E63" s="7"/>
      <x:c r="F63" s="7"/>
      <x:c r="G63" s="7"/>
      <x:c r="H63" s="7"/>
      <x:c r="I63" s="7"/>
      <x:c r="J63" s="7"/>
      <x:c r="K63" s="7"/>
      <x:c r="L63" s="7"/>
      <x:c r="M63" s="7"/>
    </x:row>
    <x:row r="64" ht="25.5" customHeight="1">
      <x:c r="B64" s="37" t="s">
        <x:v>41</x:v>
      </x:c>
      <x:c r="C64" s="7"/>
      <x:c r="D64" s="7"/>
      <x:c r="E64" s="7"/>
      <x:c r="F64" s="7"/>
      <x:c r="G64" s="7"/>
      <x:c r="H64" s="7"/>
      <x:c r="I64" s="7"/>
      <x:c r="J64" s="7"/>
      <x:c r="K64" s="7"/>
      <x:c r="L64" s="7"/>
      <x:c r="M64" s="7"/>
    </x:row>
    <x:row r="65" ht="25.5" customHeight="1">
      <x:c r="B65" s="37" t="s">
        <x:v>42</x:v>
      </x:c>
      <x:c r="C65" s="7"/>
      <x:c r="D65" s="7"/>
      <x:c r="E65" s="7"/>
      <x:c r="F65" s="7"/>
      <x:c r="G65" s="7"/>
      <x:c r="H65" s="7"/>
      <x:c r="I65" s="7"/>
      <x:c r="J65" s="7"/>
      <x:c r="K65" s="7"/>
      <x:c r="L65" s="7"/>
      <x:c r="M65" s="7"/>
    </x:row>
    <x:row r="66" ht="25.5" customHeight="1">
      <x:c r="B66" s="37" t="s">
        <x:v>43</x:v>
      </x:c>
      <x:c r="C66" s="7"/>
      <x:c r="D66" s="7"/>
      <x:c r="E66" s="7"/>
      <x:c r="F66" s="7"/>
      <x:c r="G66" s="7"/>
      <x:c r="H66" s="7"/>
      <x:c r="I66" s="7"/>
      <x:c r="J66" s="7"/>
      <x:c r="K66" s="7"/>
      <x:c r="L66" s="7"/>
      <x:c r="M66" s="7"/>
    </x:row>
    <x:row r="67" ht="25.5" customHeight="1">
      <x:c r="B67" s="37" t="s">
        <x:v>44</x:v>
      </x:c>
      <x:c r="C67" s="7"/>
      <x:c r="D67" s="7"/>
      <x:c r="E67" s="7"/>
      <x:c r="F67" s="7"/>
      <x:c r="G67" s="7"/>
      <x:c r="H67" s="7"/>
      <x:c r="I67" s="7"/>
      <x:c r="J67" s="7"/>
      <x:c r="K67" s="7"/>
      <x:c r="L67" s="7"/>
      <x:c r="M67" s="7"/>
    </x:row>
    <x:row r="68" ht="25.5" customHeight="1">
      <x:c r="B68" s="37" t="s">
        <x:v>45</x:v>
      </x:c>
      <x:c r="C68" s="7"/>
      <x:c r="D68" s="7"/>
      <x:c r="E68" s="7"/>
      <x:c r="F68" s="7"/>
      <x:c r="G68" s="7"/>
      <x:c r="H68" s="7"/>
      <x:c r="I68" s="7"/>
      <x:c r="J68" s="7"/>
      <x:c r="K68" s="7"/>
      <x:c r="L68" s="7"/>
      <x:c r="M68" s="7"/>
    </x:row>
    <x:row r="69" ht="25.5" customHeight="1">
      <x:c r="B69" s="37" t="s">
        <x:v>46</x:v>
      </x:c>
      <x:c r="C69" s="7"/>
      <x:c r="D69" s="7"/>
      <x:c r="E69" s="7"/>
      <x:c r="F69" s="7"/>
      <x:c r="G69" s="7"/>
      <x:c r="H69" s="7"/>
      <x:c r="I69" s="7"/>
      <x:c r="J69" s="7"/>
      <x:c r="K69" s="7"/>
      <x:c r="L69" s="7"/>
      <x:c r="M69" s="7"/>
    </x:row>
    <x:row r="70" ht="6" customHeight="1"/>
    <x:row r="71" ht="19.5" customHeight="1">
      <x:c r="A71" s="73" t="str">
        <x:v>  Candidate Note #4</x:v>
      </x:c>
      <x:c r="B71" s="73"/>
      <x:c r="C71" s="73"/>
      <x:c r="D71" s="73"/>
      <x:c r="E71" s="73"/>
      <x:c r="F71" s="73"/>
      <x:c r="G71" s="73"/>
      <x:c r="H71" s="73"/>
      <x:c r="I71" s="73"/>
      <x:c r="J71" s="73"/>
      <x:c r="K71" s="73"/>
      <x:c r="L71" s="73"/>
      <x:c r="M71" s="73"/>
    </x:row>
    <x:row r="72" ht="25.5" customHeight="1">
      <x:c r="B72" s="37" t="s">
        <x:v>40</x:v>
      </x:c>
      <x:c r="C72" s="7"/>
      <x:c r="D72" s="7"/>
      <x:c r="E72" s="7"/>
      <x:c r="F72" s="7"/>
      <x:c r="G72" s="7"/>
      <x:c r="H72" s="7"/>
      <x:c r="I72" s="7"/>
      <x:c r="J72" s="7"/>
      <x:c r="K72" s="7"/>
      <x:c r="L72" s="7"/>
      <x:c r="M72" s="7"/>
    </x:row>
    <x:row r="73" ht="25.5" customHeight="1">
      <x:c r="B73" s="37" t="s">
        <x:v>41</x:v>
      </x:c>
      <x:c r="C73" s="7"/>
      <x:c r="D73" s="7"/>
      <x:c r="E73" s="7"/>
      <x:c r="F73" s="7"/>
      <x:c r="G73" s="7"/>
      <x:c r="H73" s="7"/>
      <x:c r="I73" s="7"/>
      <x:c r="J73" s="7"/>
      <x:c r="K73" s="7"/>
      <x:c r="L73" s="7"/>
      <x:c r="M73" s="7"/>
    </x:row>
    <x:row r="74" ht="25.5" customHeight="1">
      <x:c r="B74" s="37" t="s">
        <x:v>42</x:v>
      </x:c>
      <x:c r="C74" s="7"/>
      <x:c r="D74" s="7"/>
      <x:c r="E74" s="7"/>
      <x:c r="F74" s="7"/>
      <x:c r="G74" s="7"/>
      <x:c r="H74" s="7"/>
      <x:c r="I74" s="7"/>
      <x:c r="J74" s="7"/>
      <x:c r="K74" s="7"/>
      <x:c r="L74" s="7"/>
      <x:c r="M74" s="7"/>
    </x:row>
    <x:row r="75" ht="25.5" customHeight="1">
      <x:c r="B75" s="37" t="s">
        <x:v>43</x:v>
      </x:c>
      <x:c r="C75" s="7"/>
      <x:c r="D75" s="7"/>
      <x:c r="E75" s="7"/>
      <x:c r="F75" s="7"/>
      <x:c r="G75" s="7"/>
      <x:c r="H75" s="7"/>
      <x:c r="I75" s="7"/>
      <x:c r="J75" s="7"/>
      <x:c r="K75" s="7"/>
      <x:c r="L75" s="7"/>
      <x:c r="M75" s="7"/>
    </x:row>
    <x:row r="76" ht="25.5" customHeight="1">
      <x:c r="B76" s="37" t="s">
        <x:v>44</x:v>
      </x:c>
      <x:c r="C76" s="7"/>
      <x:c r="D76" s="7"/>
      <x:c r="E76" s="7"/>
      <x:c r="F76" s="7"/>
      <x:c r="G76" s="7"/>
      <x:c r="H76" s="7"/>
      <x:c r="I76" s="7"/>
      <x:c r="J76" s="7"/>
      <x:c r="K76" s="7"/>
      <x:c r="L76" s="7"/>
      <x:c r="M76" s="7"/>
    </x:row>
    <x:row r="77" ht="25.5" customHeight="1">
      <x:c r="B77" s="37" t="s">
        <x:v>45</x:v>
      </x:c>
      <x:c r="C77" s="7"/>
      <x:c r="D77" s="7"/>
      <x:c r="E77" s="7"/>
      <x:c r="F77" s="7"/>
      <x:c r="G77" s="7"/>
      <x:c r="H77" s="7"/>
      <x:c r="I77" s="7"/>
      <x:c r="J77" s="7"/>
      <x:c r="K77" s="7"/>
      <x:c r="L77" s="7"/>
      <x:c r="M77" s="7"/>
    </x:row>
    <x:row r="78" ht="25.5" customHeight="1">
      <x:c r="B78" s="37" t="s">
        <x:v>46</x:v>
      </x:c>
      <x:c r="C78" s="7"/>
      <x:c r="D78" s="7"/>
      <x:c r="E78" s="7"/>
      <x:c r="F78" s="7"/>
      <x:c r="G78" s="7"/>
      <x:c r="H78" s="7"/>
      <x:c r="I78" s="7"/>
      <x:c r="J78" s="7"/>
      <x:c r="K78" s="7"/>
      <x:c r="L78" s="7"/>
      <x:c r="M78" s="7"/>
    </x:row>
    <x:row r="79" ht="6" customHeight="1"/>
    <x:row r="80" ht="19.5" customHeight="1">
      <x:c r="A80" s="73" t="str">
        <x:v>  Candidate Note #5</x:v>
      </x:c>
      <x:c r="B80" s="73"/>
      <x:c r="C80" s="73"/>
      <x:c r="D80" s="73"/>
      <x:c r="E80" s="73"/>
      <x:c r="F80" s="73"/>
      <x:c r="G80" s="73"/>
      <x:c r="H80" s="73"/>
      <x:c r="I80" s="73"/>
      <x:c r="J80" s="73"/>
      <x:c r="K80" s="73"/>
      <x:c r="L80" s="73"/>
      <x:c r="M80" s="73"/>
    </x:row>
    <x:row r="81" ht="25.5" customHeight="1">
      <x:c r="B81" s="37" t="s">
        <x:v>40</x:v>
      </x:c>
      <x:c r="C81" s="7"/>
      <x:c r="D81" s="7"/>
      <x:c r="E81" s="7"/>
      <x:c r="F81" s="7"/>
      <x:c r="G81" s="7"/>
      <x:c r="H81" s="7"/>
      <x:c r="I81" s="7"/>
      <x:c r="J81" s="7"/>
      <x:c r="K81" s="7"/>
      <x:c r="L81" s="7"/>
      <x:c r="M81" s="7"/>
    </x:row>
    <x:row r="82" ht="25.5" customHeight="1">
      <x:c r="B82" s="37" t="s">
        <x:v>41</x:v>
      </x:c>
      <x:c r="C82" s="7"/>
      <x:c r="D82" s="7"/>
      <x:c r="E82" s="7"/>
      <x:c r="F82" s="7"/>
      <x:c r="G82" s="7"/>
      <x:c r="H82" s="7"/>
      <x:c r="I82" s="7"/>
      <x:c r="J82" s="7"/>
      <x:c r="K82" s="7"/>
      <x:c r="L82" s="7"/>
      <x:c r="M82" s="7"/>
    </x:row>
    <x:row r="83" ht="25.5" customHeight="1">
      <x:c r="B83" s="37" t="s">
        <x:v>42</x:v>
      </x:c>
      <x:c r="C83" s="7"/>
      <x:c r="D83" s="7"/>
      <x:c r="E83" s="7"/>
      <x:c r="F83" s="7"/>
      <x:c r="G83" s="7"/>
      <x:c r="H83" s="7"/>
      <x:c r="I83" s="7"/>
      <x:c r="J83" s="7"/>
      <x:c r="K83" s="7"/>
      <x:c r="L83" s="7"/>
      <x:c r="M83" s="7"/>
    </x:row>
    <x:row r="84" ht="25.5" customHeight="1">
      <x:c r="B84" s="37" t="s">
        <x:v>43</x:v>
      </x:c>
      <x:c r="C84" s="7"/>
      <x:c r="D84" s="7"/>
      <x:c r="E84" s="7"/>
      <x:c r="F84" s="7"/>
      <x:c r="G84" s="7"/>
      <x:c r="H84" s="7"/>
      <x:c r="I84" s="7"/>
      <x:c r="J84" s="7"/>
      <x:c r="K84" s="7"/>
      <x:c r="L84" s="7"/>
      <x:c r="M84" s="7"/>
    </x:row>
    <x:row r="85" ht="25.5" customHeight="1">
      <x:c r="B85" s="37" t="s">
        <x:v>44</x:v>
      </x:c>
      <x:c r="C85" s="7"/>
      <x:c r="D85" s="7"/>
      <x:c r="E85" s="7"/>
      <x:c r="F85" s="7"/>
      <x:c r="G85" s="7"/>
      <x:c r="H85" s="7"/>
      <x:c r="I85" s="7"/>
      <x:c r="J85" s="7"/>
      <x:c r="K85" s="7"/>
      <x:c r="L85" s="7"/>
      <x:c r="M85" s="7"/>
    </x:row>
    <x:row r="86" ht="25.5" customHeight="1">
      <x:c r="B86" s="37" t="s">
        <x:v>45</x:v>
      </x:c>
      <x:c r="C86" s="7"/>
      <x:c r="D86" s="7"/>
      <x:c r="E86" s="7"/>
      <x:c r="F86" s="7"/>
      <x:c r="G86" s="7"/>
      <x:c r="H86" s="7"/>
      <x:c r="I86" s="7"/>
      <x:c r="J86" s="7"/>
      <x:c r="K86" s="7"/>
      <x:c r="L86" s="7"/>
      <x:c r="M86" s="7"/>
    </x:row>
    <x:row r="87" ht="25.5" customHeight="1">
      <x:c r="B87" s="37" t="s">
        <x:v>46</x:v>
      </x:c>
      <x:c r="C87" s="7"/>
      <x:c r="D87" s="7"/>
      <x:c r="E87" s="7"/>
      <x:c r="F87" s="7"/>
      <x:c r="G87" s="7"/>
      <x:c r="H87" s="7"/>
      <x:c r="I87" s="7"/>
      <x:c r="J87" s="7"/>
      <x:c r="K87" s="7"/>
      <x:c r="L87" s="7"/>
      <x:c r="M87" s="7"/>
    </x:row>
    <x:row r="88" ht="6" customHeight="1"/>
    <x:row r="89" ht="27.75" customHeight="1">
      <x:c r="A89" s="74" t="str">
        <x:v>  ▲ Do not add a note block unless it materially supports a final Select or Reject decision. Full analysis is not required for every screened candidate.</x:v>
      </x:c>
      <x:c r="B89" s="74"/>
      <x:c r="C89" s="74"/>
      <x:c r="D89" s="74"/>
      <x:c r="E89" s="74"/>
      <x:c r="F89" s="74"/>
      <x:c r="G89" s="74"/>
      <x:c r="H89" s="74"/>
      <x:c r="I89" s="74"/>
      <x:c r="J89" s="74"/>
      <x:c r="K89" s="74"/>
      <x:c r="L89" s="74"/>
      <x:c r="M89" s="74"/>
    </x:row>
    <x:row r="91" ht="9.75" customHeight="1"/>
    <x:row r="92" ht="19.5" customHeight="1">
      <x:c r="A92" s="5" t="s">
        <x:v>47</x:v>
      </x:c>
      <x:c r="B92" s="5"/>
      <x:c r="C92" s="5"/>
      <x:c r="D92" s="5"/>
      <x:c r="E92" s="5"/>
      <x:c r="F92" s="5"/>
      <x:c r="G92" s="5"/>
      <x:c r="H92" s="5"/>
      <x:c r="I92" s="5"/>
      <x:c r="J92" s="5"/>
      <x:c r="K92" s="5"/>
      <x:c r="L92" s="5"/>
      <x:c r="M92" s="5"/>
    </x:row>
    <x:row r="93" ht="18" customHeight="1">
      <x:c r="B93" s="38" t="s">
        <x:v>48</x:v>
      </x:c>
      <x:c r="C93" s="75" t="s">
        <x:v>49</x:v>
      </x:c>
      <x:c r="D93" s="75"/>
      <x:c r="E93" s="75"/>
      <x:c r="F93" s="75"/>
      <x:c r="G93" s="75"/>
      <x:c r="H93" s="75"/>
      <x:c r="I93" s="75"/>
      <x:c r="J93" s="75"/>
      <x:c r="K93" s="75"/>
      <x:c r="L93" s="75"/>
      <x:c r="M93" s="75"/>
    </x:row>
    <x:row r="94" ht="18" customHeight="1">
      <x:c r="B94" s="39" t="s">
        <x:v>48</x:v>
      </x:c>
      <x:c r="C94" s="75" t="s">
        <x:v>50</x:v>
      </x:c>
      <x:c r="D94" s="75"/>
      <x:c r="E94" s="75"/>
      <x:c r="F94" s="75"/>
      <x:c r="G94" s="75"/>
      <x:c r="H94" s="75"/>
      <x:c r="I94" s="75"/>
      <x:c r="J94" s="75"/>
      <x:c r="K94" s="75"/>
      <x:c r="L94" s="75"/>
      <x:c r="M94" s="75"/>
    </x:row>
    <x:row r="95" ht="18" customHeight="1">
      <x:c r="B95" s="40" t="s">
        <x:v>48</x:v>
      </x:c>
      <x:c r="C95" s="75" t="s">
        <x:v>51</x:v>
      </x:c>
      <x:c r="D95" s="75"/>
      <x:c r="E95" s="75"/>
      <x:c r="F95" s="75"/>
      <x:c r="G95" s="75"/>
      <x:c r="H95" s="75"/>
      <x:c r="I95" s="75"/>
      <x:c r="J95" s="75"/>
      <x:c r="K95" s="75"/>
      <x:c r="L95" s="75"/>
      <x:c r="M95" s="75"/>
    </x:row>
    <x:row r="96" ht="18" customHeight="1">
      <x:c r="B96" s="41" t="s">
        <x:v>48</x:v>
      </x:c>
      <x:c r="C96" s="75" t="s">
        <x:v>52</x:v>
      </x:c>
      <x:c r="D96" s="75"/>
      <x:c r="E96" s="75"/>
      <x:c r="F96" s="75"/>
      <x:c r="G96" s="75"/>
      <x:c r="H96" s="75"/>
      <x:c r="I96" s="75"/>
      <x:c r="J96" s="75"/>
      <x:c r="K96" s="75"/>
      <x:c r="L96" s="75"/>
      <x:c r="M96" s="75"/>
    </x:row>
    <x:row r="97" ht="18" customHeight="1">
      <x:c r="B97" s="42" t="s">
        <x:v>48</x:v>
      </x:c>
      <x:c r="C97" s="75" t="s">
        <x:v>53</x:v>
      </x:c>
      <x:c r="D97" s="75"/>
      <x:c r="E97" s="75"/>
      <x:c r="F97" s="75"/>
      <x:c r="G97" s="75"/>
      <x:c r="H97" s="75"/>
      <x:c r="I97" s="75"/>
      <x:c r="J97" s="75"/>
      <x:c r="K97" s="75"/>
      <x:c r="L97" s="75"/>
      <x:c r="M97" s="75"/>
    </x:row>
  </x:sheetData>
  <x:mergeCells>
    <x:mergeCell ref="C94:M94"/>
    <x:mergeCell ref="C95:M95"/>
    <x:mergeCell ref="C96:M96"/>
    <x:mergeCell ref="C97:M97"/>
    <x:mergeCell ref="C86:M86"/>
    <x:mergeCell ref="C87:M87"/>
    <x:mergeCell ref="A89:M89"/>
    <x:mergeCell ref="A92:M92"/>
    <x:mergeCell ref="C93:M93"/>
    <x:mergeCell ref="C81:M81"/>
    <x:mergeCell ref="C82:M82"/>
    <x:mergeCell ref="C83:M83"/>
    <x:mergeCell ref="C84:M84"/>
    <x:mergeCell ref="C85:M85"/>
    <x:mergeCell ref="C75:M75"/>
    <x:mergeCell ref="C76:M76"/>
    <x:mergeCell ref="C77:M77"/>
    <x:mergeCell ref="C78:M78"/>
    <x:mergeCell ref="A80:M80"/>
    <x:mergeCell ref="C69:M69"/>
    <x:mergeCell ref="A71:M71"/>
    <x:mergeCell ref="C72:M72"/>
    <x:mergeCell ref="C73:M73"/>
    <x:mergeCell ref="C74:M74"/>
    <x:mergeCell ref="C64:M64"/>
    <x:mergeCell ref="C65:M65"/>
    <x:mergeCell ref="C66:M66"/>
    <x:mergeCell ref="C67:M67"/>
    <x:mergeCell ref="C68:M68"/>
    <x:mergeCell ref="C58:M58"/>
    <x:mergeCell ref="C59:M59"/>
    <x:mergeCell ref="C60:M60"/>
    <x:mergeCell ref="A62:M62"/>
    <x:mergeCell ref="C63:M63"/>
    <x:mergeCell ref="A53:M53"/>
    <x:mergeCell ref="C54:M54"/>
    <x:mergeCell ref="C55:M55"/>
    <x:mergeCell ref="C56:M56"/>
    <x:mergeCell ref="C57:M57"/>
    <x:mergeCell ref="C47:M47"/>
    <x:mergeCell ref="C48:M48"/>
    <x:mergeCell ref="C49:M49"/>
    <x:mergeCell ref="C50:M50"/>
    <x:mergeCell ref="C51:M51"/>
    <x:mergeCell ref="A42:M42"/>
    <x:mergeCell ref="A43:M43"/>
    <x:mergeCell ref="A44:M44"/>
    <x:mergeCell ref="C45:M45"/>
    <x:mergeCell ref="C46:M46"/>
    <x:mergeCell ref="C39:E39"/>
    <x:mergeCell ref="F39:G39"/>
    <x:mergeCell ref="H39:J39"/>
    <x:mergeCell ref="K39:L39"/>
    <x:mergeCell ref="C40:E40"/>
    <x:mergeCell ref="F40:G40"/>
    <x:mergeCell ref="H40:J40"/>
    <x:mergeCell ref="K40:L40"/>
    <x:mergeCell ref="B37:M37"/>
    <x:mergeCell ref="C38:E38"/>
    <x:mergeCell ref="F38:G38"/>
    <x:mergeCell ref="H38:J38"/>
    <x:mergeCell ref="K38:L38"/>
    <x:mergeCell ref="C33:I33"/>
    <x:mergeCell ref="J33:M33"/>
    <x:mergeCell ref="C34:I34"/>
    <x:mergeCell ref="J34:M34"/>
    <x:mergeCell ref="C35:I35"/>
    <x:mergeCell ref="J35:M35"/>
    <x:mergeCell ref="C30:I30"/>
    <x:mergeCell ref="J30:M30"/>
    <x:mergeCell ref="C31:I31"/>
    <x:mergeCell ref="J31:M31"/>
    <x:mergeCell ref="C32:I32"/>
    <x:mergeCell ref="J32:M32"/>
    <x:mergeCell ref="C27:I27"/>
    <x:mergeCell ref="J27:M27"/>
    <x:mergeCell ref="C28:I28"/>
    <x:mergeCell ref="J28:M28"/>
    <x:mergeCell ref="C29:I29"/>
    <x:mergeCell ref="J29:M29"/>
    <x:mergeCell ref="A10:M10"/>
    <x:mergeCell ref="A22:F22"/>
    <x:mergeCell ref="K22:M22"/>
    <x:mergeCell ref="A25:M25"/>
    <x:mergeCell ref="A26:M26"/>
    <x:mergeCell ref="A2:M2"/>
    <x:mergeCell ref="A3:M3"/>
    <x:mergeCell ref="K5:L5"/>
    <x:mergeCell ref="A7:M7"/>
    <x:mergeCell ref="A9:M9"/>
  </x:mergeCells>
  <x:conditionalFormatting sqref="G22:G22">
    <x:cfRule type="cellIs" dxfId="11" priority="22" operator="equal">
      <x:formula>1</x:formula>
    </x:cfRule>
    <x:cfRule type="cellIs" dxfId="10" priority="23" operator="notEqual">
      <x:formula>1</x:formula>
    </x:cfRule>
  </x:conditionalFormatting>
  <x:conditionalFormatting sqref="J12:J21">
    <x:cfRule type="expression" dxfId="9" priority="2">
      <x:formula>J12="NO"</x:formula>
    </x:cfRule>
    <x:cfRule type="expression" dxfId="8" priority="3">
      <x:formula>J12="YES"</x:formula>
    </x:cfRule>
  </x:conditionalFormatting>
  <x:dataValidations count="3">
    <x:dataValidation type="list" allowBlank="1" showErrorMessage="1" errorTitle="Invalid" error="Select from dropdown list." sqref="E12:E21">
      <x:formula1>"U.S. Equities,Fixed Income,Cash / Equiv.,International Equity,Real Estate / REIT,Commodities,Derivatives,Other"</x:formula1>
      <x:formula2>0</x:formula2>
    </x:dataValidation>
    <x:dataValidation type="list" allowBlank="1"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18ff83f62ed04556"/>
</x:worksheet>
</file>

<file path=xl/worksheets/sheet4.xml><?xml version="1.0" encoding="utf-8"?>
<x:worksheet xmlns:x="http://schemas.openxmlformats.org/spreadsheetml/2006/main">
  <x:sheetPr>
    <x:tabColor rgb="FF8B1A1A"/>
  </x:sheetPr>
  <x:sheetViews>
    <x:sheetView showGridLines="0" workbookViewId="0"/>
  </x:sheetViews>
  <x:sheetFormatPr baseColWidth="10" defaultColWidth="8.6640625" defaultRowHeight="15"/>
  <x:cols>
    <x:col min="1" max="1" width="2" customWidth="1"/>
    <x:col min="2" max="2" width="5" customWidth="1"/>
    <x:col min="3" max="3" width="10" customWidth="1"/>
    <x:col min="4" max="4" width="28" customWidth="1"/>
    <x:col min="5" max="6" width="18" customWidth="1"/>
    <x:col min="7" max="7" width="10" customWidth="1"/>
    <x:col min="8" max="8" width="14" customWidth="1"/>
    <x:col min="9" max="9" width="9" customWidth="1"/>
    <x:col min="10" max="10" width="14" customWidth="1"/>
    <x:col min="11" max="11" width="22" customWidth="1"/>
    <x:col min="12" max="12" width="24" customWidth="1"/>
    <x:col min="13" max="13" width="2" customWidth="1"/>
  </x:cols>
  <x:sheetData>
    <x:row r="1" ht="6" customHeight="1"/>
    <x:row r="2" ht="37.5" customHeight="1">
      <x:c r="A2" s="10" t="str">
        <x:v>Phase 2 — Security Analysis &amp; Selection  |  Client 2</x:v>
      </x:c>
      <x:c r="B2" s="10"/>
      <x:c r="C2" s="10"/>
      <x:c r="D2" s="10"/>
      <x:c r="E2" s="10"/>
      <x:c r="F2" s="10"/>
      <x:c r="G2" s="10"/>
      <x:c r="H2" s="10"/>
      <x:c r="I2" s="10"/>
      <x:c r="J2" s="10"/>
      <x:c r="K2" s="10"/>
      <x:c r="L2" s="10"/>
      <x:c r="M2" s="10"/>
    </x:row>
    <x:row r="3" ht="18" customHeight="1">
      <x:c r="A3" s="9" t="str">
        <x:v>BUS 331 Investments  |  Endicott College  |  Phase 2: Security Analysis &amp; Selection</x:v>
      </x:c>
      <x:c r="B3" s="9"/>
      <x:c r="C3" s="9"/>
      <x:c r="D3" s="9"/>
      <x:c r="E3" s="9"/>
      <x:c r="F3" s="9"/>
      <x:c r="G3" s="9"/>
      <x:c r="H3" s="9"/>
      <x:c r="I3" s="9"/>
      <x:c r="J3" s="9"/>
      <x:c r="K3" s="9"/>
      <x:c r="L3" s="9"/>
      <x:c r="M3" s="9"/>
    </x:row>
    <x:row r="4" ht="6" customHeight="1"/>
    <x:row r="5" ht="21.75" customHeight="1">
      <x:c r="B5" s="23" t="s">
        <x:v>17</x:v>
      </x:c>
      <x:c r="C5" s="24"/>
      <x:c r="D5" s="25"/>
      <x:c r="F5" s="23" t="s">
        <x:v>18</x:v>
      </x:c>
      <x:c r="G5" s="26"/>
      <x:c r="H5" s="23" t="s">
        <x:v>19</x:v>
      </x:c>
      <x:c r="I5" s="26"/>
      <x:c r="J5" s="23" t="s">
        <x:v>20</x:v>
      </x:c>
      <x:c r="K5" s="7"/>
      <x:c r="L5" s="7"/>
    </x:row>
    <x:row r="6" ht="6" customHeight="1"/>
    <x:row r="7" ht="30" customHeight="1">
      <x:c r="A7" s="6" t="s">
        <x:v>21</x:v>
      </x:c>
      <x:c r="B7" s="6"/>
      <x:c r="C7" s="6"/>
      <x:c r="D7" s="6"/>
      <x:c r="E7" s="6"/>
      <x:c r="F7" s="6"/>
      <x:c r="G7" s="6"/>
      <x:c r="H7" s="6"/>
      <x:c r="I7" s="6"/>
      <x:c r="J7" s="6"/>
      <x:c r="K7" s="6"/>
      <x:c r="L7" s="6"/>
      <x:c r="M7" s="6"/>
    </x:row>
    <x:row r="8" ht="7.5" customHeight="1"/>
    <x:row r="9" ht="19.5" customHeight="1">
      <x:c r="A9" s="5" t="str">
        <x:v>  SECTION 1 — FOCUSED CANDIDATE RESEARCH TABLE</x:v>
      </x:c>
      <x:c r="B9" s="5"/>
      <x:c r="C9" s="5"/>
      <x:c r="D9" s="5"/>
      <x:c r="E9" s="5"/>
      <x:c r="F9" s="5"/>
      <x:c r="G9" s="5"/>
      <x:c r="H9" s="5"/>
      <x:c r="I9" s="5"/>
      <x:c r="J9" s="5"/>
      <x:c r="K9" s="5"/>
      <x:c r="L9" s="5"/>
      <x:c r="M9" s="5"/>
    </x:row>
    <x:row r="10" ht="30" customHeight="1">
      <x:c r="A10" s="8" t="str">
        <x:v>Use this tab for candidate research and calculations. Record the 8–10 final holdings in FINAL SCORECARDS; never exceed 10, do not fill every slot, keep funds/ETFs primary, and limit individual securities to two or three total.</x:v>
      </x:c>
      <x:c r="B10" s="8"/>
      <x:c r="C10" s="8"/>
      <x:c r="D10" s="8"/>
      <x:c r="E10" s="8"/>
      <x:c r="F10" s="8"/>
      <x:c r="G10" s="8"/>
      <x:c r="H10" s="8"/>
      <x:c r="I10" s="8"/>
      <x:c r="J10" s="8"/>
      <x:c r="K10" s="8"/>
      <x:c r="L10" s="8"/>
      <x:c r="M10" s="8"/>
    </x:row>
    <x:row r="11" ht="36" customHeight="1">
      <x:c r="B11" s="27" t="s">
        <x:v>22</x:v>
      </x:c>
      <x:c r="C11" s="27" t="s">
        <x:v>23</x:v>
      </x:c>
      <x:c r="D11" s="27" t="s">
        <x:v>24</x:v>
      </x:c>
      <x:c r="E11" s="27" t="s">
        <x:v>25</x:v>
      </x:c>
      <x:c r="F11" s="27" t="s">
        <x:v>26</x:v>
      </x:c>
      <x:c r="G11" s="27" t="s">
        <x:v>27</x:v>
      </x:c>
      <x:c r="H11" s="27" t="s">
        <x:v>28</x:v>
      </x:c>
      <x:c r="I11" s="27" t="s">
        <x:v>29</x:v>
      </x:c>
      <x:c r="J11" s="27" t="s">
        <x:v>30</x:v>
      </x:c>
      <x:c r="K11" s="27" t="str">
        <x:v>Candidate Note
Ref #</x:v>
      </x:c>
      <x:c r="L11" s="27" t="s">
        <x:v>31</x:v>
      </x:c>
    </x:row>
    <x:row r="12" ht="21.75" customHeight="1">
      <x:c r="B12" s="28" t="n">
        <x:f>1</x:f>
        <x:v>1</x:v>
      </x:c>
      <x:c r="C12" s="24"/>
      <x:c r="D12" s="29"/>
      <x:c r="E12" s="24"/>
      <x:c r="F12" s="24"/>
      <x:c r="G12" s="26"/>
      <x:c r="H12" s="30" t="str">
        <x:f t="shared" ref="H12:H21" si="0">IF(G12&lt;&gt;"",G12*500000,"")</x:f>
      </x:c>
      <x:c r="I12" s="31"/>
      <x:c r="J12" s="24"/>
      <x:c r="K12" s="32"/>
      <x:c r="L12" s="29"/>
    </x:row>
    <x:row r="13" ht="21.75" customHeight="1">
      <x:c r="B13" s="28" t="n">
        <x:f>2</x:f>
        <x:v>2</x:v>
      </x:c>
      <x:c r="C13" s="24"/>
      <x:c r="D13" s="29"/>
      <x:c r="E13" s="24"/>
      <x:c r="F13" s="24"/>
      <x:c r="G13" s="26"/>
      <x:c r="H13" s="30" t="str">
        <x:f t="shared" si="0"/>
      </x:c>
      <x:c r="I13" s="31"/>
      <x:c r="J13" s="24"/>
      <x:c r="K13" s="32"/>
      <x:c r="L13" s="29"/>
    </x:row>
    <x:row r="14" ht="21.75" customHeight="1">
      <x:c r="B14" s="28" t="n">
        <x:f>3</x:f>
        <x:v>3</x:v>
      </x:c>
      <x:c r="C14" s="24"/>
      <x:c r="D14" s="29"/>
      <x:c r="E14" s="24"/>
      <x:c r="F14" s="24"/>
      <x:c r="G14" s="26"/>
      <x:c r="H14" s="30" t="str">
        <x:f t="shared" si="0"/>
      </x:c>
      <x:c r="I14" s="31"/>
      <x:c r="J14" s="24"/>
      <x:c r="K14" s="32"/>
      <x:c r="L14" s="29"/>
    </x:row>
    <x:row r="15" ht="21.75" customHeight="1">
      <x:c r="B15" s="28" t="n">
        <x:f>4</x:f>
        <x:v>4</x:v>
      </x:c>
      <x:c r="C15" s="24"/>
      <x:c r="D15" s="29"/>
      <x:c r="E15" s="24"/>
      <x:c r="F15" s="24"/>
      <x:c r="G15" s="26"/>
      <x:c r="H15" s="30" t="str">
        <x:f t="shared" si="0"/>
      </x:c>
      <x:c r="I15" s="31"/>
      <x:c r="J15" s="24"/>
      <x:c r="K15" s="32"/>
      <x:c r="L15" s="29"/>
    </x:row>
    <x:row r="16" ht="21.75" customHeight="1">
      <x:c r="B16" s="28" t="n">
        <x:f>5</x:f>
        <x:v>5</x:v>
      </x:c>
      <x:c r="C16" s="24"/>
      <x:c r="D16" s="29"/>
      <x:c r="E16" s="24"/>
      <x:c r="F16" s="24"/>
      <x:c r="G16" s="26"/>
      <x:c r="H16" s="30" t="str">
        <x:f t="shared" si="0"/>
      </x:c>
      <x:c r="I16" s="31"/>
      <x:c r="J16" s="24"/>
      <x:c r="K16" s="32"/>
      <x:c r="L16" s="29"/>
    </x:row>
    <x:row r="17" ht="21.75" customHeight="1">
      <x:c r="B17" s="28" t="n">
        <x:f>6</x:f>
        <x:v>6</x:v>
      </x:c>
      <x:c r="C17" s="24"/>
      <x:c r="D17" s="29"/>
      <x:c r="E17" s="24"/>
      <x:c r="F17" s="24"/>
      <x:c r="G17" s="26"/>
      <x:c r="H17" s="30" t="str">
        <x:f t="shared" si="0"/>
      </x:c>
      <x:c r="I17" s="31"/>
      <x:c r="J17" s="24"/>
      <x:c r="K17" s="32"/>
      <x:c r="L17" s="29"/>
    </x:row>
    <x:row r="18" ht="21.75" customHeight="1">
      <x:c r="B18" s="28" t="n">
        <x:f>7</x:f>
        <x:v>7</x:v>
      </x:c>
      <x:c r="C18" s="24"/>
      <x:c r="D18" s="29"/>
      <x:c r="E18" s="24"/>
      <x:c r="F18" s="24"/>
      <x:c r="G18" s="26"/>
      <x:c r="H18" s="30" t="str">
        <x:f t="shared" si="0"/>
      </x:c>
      <x:c r="I18" s="31"/>
      <x:c r="J18" s="24"/>
      <x:c r="K18" s="32"/>
      <x:c r="L18" s="29"/>
    </x:row>
    <x:row r="19" ht="21.75" customHeight="1">
      <x:c r="B19" s="28" t="n">
        <x:f>8</x:f>
        <x:v>8</x:v>
      </x:c>
      <x:c r="C19" s="24"/>
      <x:c r="D19" s="29"/>
      <x:c r="E19" s="24"/>
      <x:c r="F19" s="24"/>
      <x:c r="G19" s="26"/>
      <x:c r="H19" s="30" t="str">
        <x:f t="shared" si="0"/>
      </x:c>
      <x:c r="I19" s="31"/>
      <x:c r="J19" s="24"/>
      <x:c r="K19" s="32"/>
      <x:c r="L19" s="29"/>
    </x:row>
    <x:row r="20" ht="21.75" customHeight="1">
      <x:c r="B20" s="28" t="n">
        <x:f>9</x:f>
        <x:v>9</x:v>
      </x:c>
      <x:c r="C20" s="24"/>
      <x:c r="D20" s="29"/>
      <x:c r="E20" s="24"/>
      <x:c r="F20" s="24"/>
      <x:c r="G20" s="26"/>
      <x:c r="H20" s="30" t="str">
        <x:f t="shared" si="0"/>
      </x:c>
      <x:c r="I20" s="31"/>
      <x:c r="J20" s="24"/>
      <x:c r="K20" s="32"/>
      <x:c r="L20" s="29"/>
    </x:row>
    <x:row r="21" ht="21.75" customHeight="1">
      <x:c r="B21" s="28" t="n">
        <x:f>10</x:f>
        <x:v>10</x:v>
      </x:c>
      <x:c r="C21" s="24"/>
      <x:c r="D21" s="29"/>
      <x:c r="E21" s="24"/>
      <x:c r="F21" s="24"/>
      <x:c r="G21" s="26"/>
      <x:c r="H21" s="30" t="str">
        <x:f t="shared" si="0"/>
      </x:c>
      <x:c r="I21" s="31"/>
      <x:c r="J21" s="24"/>
      <x:c r="K21" s="32"/>
      <x:c r="L21" s="29"/>
    </x:row>
    <x:row r="22" ht="21.75" customHeight="1">
      <x:c r="A22" s="4" t="s">
        <x:v>32</x:v>
      </x:c>
      <x:c r="B22" s="4"/>
      <x:c r="C22" s="4"/>
      <x:c r="D22" s="4"/>
      <x:c r="E22" s="4"/>
      <x:c r="F22" s="4"/>
      <x:c r="G22" s="33" t="n">
        <x:f>IFERROR(SUM(G12:G21),0)</x:f>
        <x:v>0</x:v>
      </x:c>
      <x:c r="H22" s="34" t="n">
        <x:f>IFERROR(SUMIF(G12:G21,"&lt;&gt;",H12:H21),0)</x:f>
        <x:v>0</x:v>
      </x:c>
      <x:c r="I22" s="35" t="str" cm="1">
        <x:f t="array" ref="I22">IFERROR(SUMPRODUCT((G12:G21)*IF(ISNUMBER(_xlfn.SINGLE(I12:I21)),I12:I21,0))/IFERROR(SUM(G12:G21),1),"")</x:f>
      </x:c>
      <x:c r="J22" s="36" t="s">
        <x:v>33</x:v>
      </x:c>
      <x:c r="K22" s="3" t="s">
        <x:v>34</x:v>
      </x:c>
      <x:c r="L22" s="3"/>
      <x:c r="M22" s="3"/>
    </x:row>
    <x:row r="24" ht="9.75" customHeight="1"/>
    <x:row r="25" ht="19.5" customHeight="1">
      <x:c r="A25" s="5" t="str">
        <x:v>  SECTION 2 — OPTIONAL PRELIMINARY HEDGE RESEARCH</x:v>
      </x:c>
      <x:c r="B25" s="5"/>
      <x:c r="C25" s="5"/>
      <x:c r="D25" s="5"/>
      <x:c r="E25" s="5"/>
      <x:c r="F25" s="5"/>
      <x:c r="G25" s="5"/>
      <x:c r="H25" s="5"/>
      <x:c r="I25" s="5"/>
      <x:c r="J25" s="5"/>
      <x:c r="K25" s="5"/>
      <x:c r="L25" s="5"/>
      <x:c r="M25" s="5"/>
    </x:row>
    <x:row r="26" ht="30" customHeight="1">
      <x:c r="A26" s="6" t="str">
        <x:v>A derivative is optional. Use these fields only to support the RISK &amp; HEDGE tab. At most one targeted hedge may be proposed when it solves an identified residual risk; a supported no-hedge conclusion is fully valid.</x:v>
      </x:c>
      <x:c r="B26" s="6"/>
      <x:c r="C26" s="6"/>
      <x:c r="D26" s="6"/>
      <x:c r="E26" s="6"/>
      <x:c r="F26" s="6"/>
      <x:c r="G26" s="6"/>
      <x:c r="H26" s="6"/>
      <x:c r="I26" s="6"/>
      <x:c r="J26" s="6"/>
      <x:c r="K26" s="6"/>
      <x:c r="L26" s="6"/>
      <x:c r="M26" s="6"/>
    </x:row>
    <x:row r="27" ht="21.75" customHeight="1">
      <x:c r="B27" s="23" t="str">
        <x:v>Identified Residual Risk</x:v>
      </x:c>
      <x:c r="C27" s="7"/>
      <x:c r="D27" s="7"/>
      <x:c r="E27" s="7"/>
      <x:c r="F27" s="7"/>
      <x:c r="G27" s="7"/>
      <x:c r="H27" s="7"/>
      <x:c r="I27" s="7"/>
      <x:c r="J27" s="2"/>
      <x:c r="K27" s="2"/>
      <x:c r="L27" s="2"/>
      <x:c r="M27" s="2"/>
    </x:row>
    <x:row r="28" ht="21.75" customHeight="1">
      <x:c r="B28" s="23" t="str">
        <x:v>Preliminary Conclusion</x:v>
      </x:c>
      <x:c r="C28" s="7"/>
      <x:c r="D28" s="7"/>
      <x:c r="E28" s="7"/>
      <x:c r="F28" s="7"/>
      <x:c r="G28" s="7"/>
      <x:c r="H28" s="7"/>
      <x:c r="I28" s="7"/>
      <x:c r="J28" s="2"/>
      <x:c r="K28" s="2"/>
      <x:c r="L28" s="2"/>
      <x:c r="M28" s="2"/>
    </x:row>
    <x:row r="29" ht="21.75" customHeight="1">
      <x:c r="B29" s="23" t="str">
        <x:v>Candidate Instrument (if any)</x:v>
      </x:c>
      <x:c r="C29" s="7"/>
      <x:c r="D29" s="7"/>
      <x:c r="E29" s="7"/>
      <x:c r="F29" s="7"/>
      <x:c r="G29" s="7"/>
      <x:c r="H29" s="7"/>
      <x:c r="I29" s="7"/>
      <x:c r="J29" s="2"/>
      <x:c r="K29" s="2"/>
      <x:c r="L29" s="2"/>
      <x:c r="M29" s="2"/>
    </x:row>
    <x:row r="30" ht="21.75" customHeight="1">
      <x:c r="B30" s="23" t="str">
        <x:v>Preliminary Size</x:v>
      </x:c>
      <x:c r="C30" s="7"/>
      <x:c r="D30" s="7"/>
      <x:c r="E30" s="7"/>
      <x:c r="F30" s="7"/>
      <x:c r="G30" s="7"/>
      <x:c r="H30" s="7"/>
      <x:c r="I30" s="7"/>
      <x:c r="J30" s="2"/>
      <x:c r="K30" s="2"/>
      <x:c r="L30" s="2"/>
      <x:c r="M30" s="2"/>
    </x:row>
    <x:row r="31" ht="21.75" customHeight="1">
      <x:c r="B31" s="23" t="str">
        <x:v>Cost / Liquidity / Trade-Offs</x:v>
      </x:c>
      <x:c r="C31" s="7"/>
      <x:c r="D31" s="7"/>
      <x:c r="E31" s="7"/>
      <x:c r="F31" s="7"/>
      <x:c r="G31" s="7"/>
      <x:c r="H31" s="7"/>
      <x:c r="I31" s="7"/>
      <x:c r="J31" s="2"/>
      <x:c r="K31" s="2"/>
      <x:c r="L31" s="2"/>
      <x:c r="M31" s="2"/>
    </x:row>
    <x:row r="32" ht="21.75" customHeight="1">
      <x:c r="B32" s="23" t="str">
        <x:v>Residual / Basis / Execution Risk</x:v>
      </x:c>
      <x:c r="C32" s="7"/>
      <x:c r="D32" s="7"/>
      <x:c r="E32" s="7"/>
      <x:c r="F32" s="7"/>
      <x:c r="G32" s="7"/>
      <x:c r="H32" s="7"/>
      <x:c r="I32" s="7"/>
      <x:c r="J32" s="2"/>
      <x:c r="K32" s="2"/>
      <x:c r="L32" s="2"/>
      <x:c r="M32" s="2"/>
    </x:row>
    <x:row r="33" ht="21.75" customHeight="1">
      <x:c r="B33" s="23" t="str">
        <x:v>Adjustment / Removal Condition</x:v>
      </x:c>
      <x:c r="C33" s="7"/>
      <x:c r="D33" s="7"/>
      <x:c r="E33" s="7"/>
      <x:c r="F33" s="7"/>
      <x:c r="G33" s="7"/>
      <x:c r="H33" s="7"/>
      <x:c r="I33" s="7"/>
      <x:c r="J33" s="2"/>
      <x:c r="K33" s="2"/>
      <x:c r="L33" s="2"/>
      <x:c r="M33" s="2"/>
    </x:row>
    <x:row r="34" ht="21.75" customHeight="1">
      <x:c r="B34" s="23" t="str">
        <x:v>Owner / Peer Review</x:v>
      </x:c>
      <x:c r="C34" s="7"/>
      <x:c r="D34" s="7"/>
      <x:c r="E34" s="7"/>
      <x:c r="F34" s="7"/>
      <x:c r="G34" s="7"/>
      <x:c r="H34" s="7"/>
      <x:c r="I34" s="7"/>
      <x:c r="J34" s="2"/>
      <x:c r="K34" s="2"/>
      <x:c r="L34" s="2"/>
      <x:c r="M34" s="2"/>
    </x:row>
    <x:row r="35" ht="21.75" customHeight="1">
      <x:c r="B35" s="23" t="str">
        <x:v>Source &amp; As-of Date</x:v>
      </x:c>
      <x:c r="C35" s="7"/>
      <x:c r="D35" s="7"/>
      <x:c r="E35" s="7"/>
      <x:c r="F35" s="7"/>
      <x:c r="G35" s="7"/>
      <x:c r="H35" s="7"/>
      <x:c r="I35" s="7"/>
      <x:c r="J35" s="2"/>
      <x:c r="K35" s="2"/>
      <x:c r="L35" s="2"/>
      <x:c r="M35" s="2"/>
    </x:row>
    <x:row r="36" ht="9.75" customHeight="1"/>
    <x:row r="37" ht="19.5" customHeight="1">
      <x:c r="B37" s="5" t="str">
        <x:v>    Optional Alternative Considered (concise; complete only if it informed the hedge / no-hedge conclusion)</x:v>
      </x:c>
      <x:c r="C37" s="5"/>
      <x:c r="D37" s="5"/>
      <x:c r="E37" s="5"/>
      <x:c r="F37" s="5"/>
      <x:c r="G37" s="5"/>
      <x:c r="H37" s="5"/>
      <x:c r="I37" s="5"/>
      <x:c r="J37" s="5"/>
      <x:c r="K37" s="5"/>
      <x:c r="L37" s="5"/>
      <x:c r="M37" s="5"/>
    </x:row>
    <x:row r="38" ht="30" customHeight="1">
      <x:c r="B38" s="27" t="s">
        <x:v>35</x:v>
      </x:c>
      <x:c r="C38" s="1" t="s">
        <x:v>36</x:v>
      </x:c>
      <x:c r="D38" s="1"/>
      <x:c r="E38" s="1"/>
      <x:c r="F38" s="1" t="s">
        <x:v>37</x:v>
      </x:c>
      <x:c r="G38" s="1"/>
      <x:c r="H38" s="1" t="s">
        <x:v>38</x:v>
      </x:c>
      <x:c r="I38" s="1"/>
      <x:c r="J38" s="1"/>
      <x:c r="K38" s="1" t="s">
        <x:v>39</x:v>
      </x:c>
      <x:c r="L38" s="1"/>
    </x:row>
    <x:row r="39" ht="21.75" customHeight="1">
      <x:c r="B39" s="24"/>
      <x:c r="C39" s="7"/>
      <x:c r="D39" s="7"/>
      <x:c r="E39" s="7"/>
      <x:c r="F39" s="7"/>
      <x:c r="G39" s="7"/>
      <x:c r="H39" s="7"/>
      <x:c r="I39" s="7"/>
      <x:c r="J39" s="7"/>
      <x:c r="K39" s="7"/>
      <x:c r="L39" s="7"/>
    </x:row>
    <x:row r="40" ht="21.75" customHeight="1">
      <x:c r="B40" s="24"/>
      <x:c r="C40" s="7"/>
      <x:c r="D40" s="7"/>
      <x:c r="E40" s="7"/>
      <x:c r="F40" s="7"/>
      <x:c r="G40" s="7"/>
      <x:c r="H40" s="7"/>
      <x:c r="I40" s="7"/>
      <x:c r="J40" s="7"/>
      <x:c r="K40" s="7"/>
      <x:c r="L40" s="7"/>
    </x:row>
    <x:row r="41" ht="9.75" customHeight="1"/>
    <x:row r="42" ht="19.5" customHeight="1">
      <x:c r="A42" s="5" t="str">
        <x:v>  SECTION 3 — CANDIDATE NOTES (NOT FINAL SCORECARDS)</x:v>
      </x:c>
      <x:c r="B42" s="5"/>
      <x:c r="C42" s="5"/>
      <x:c r="D42" s="5"/>
      <x:c r="E42" s="5"/>
      <x:c r="F42" s="5"/>
      <x:c r="G42" s="5"/>
      <x:c r="H42" s="5"/>
      <x:c r="I42" s="5"/>
      <x:c r="J42" s="5"/>
      <x:c r="K42" s="5"/>
      <x:c r="L42" s="5"/>
      <x:c r="M42" s="5"/>
    </x:row>
    <x:row r="43" ht="30" customHeight="1">
      <x:c r="A43" s="8" t="str">
        <x:v>Use a brief candidate note only when it materially supports a final Select or Reject decision. Do not complete one block for every screened name. FINAL SCORECARDS and the Analyst Decision Log are the authoritative final records.</x:v>
      </x:c>
      <x:c r="B43" s="8"/>
      <x:c r="C43" s="8"/>
      <x:c r="D43" s="8"/>
      <x:c r="E43" s="8"/>
      <x:c r="F43" s="8"/>
      <x:c r="G43" s="8"/>
      <x:c r="H43" s="8"/>
      <x:c r="I43" s="8"/>
      <x:c r="J43" s="8"/>
      <x:c r="K43" s="8"/>
      <x:c r="L43" s="8"/>
      <x:c r="M43" s="8"/>
    </x:row>
    <x:row r="44" ht="19.5" customHeight="1">
      <x:c r="A44" s="73" t="str">
        <x:v>  Candidate Note #1</x:v>
      </x:c>
      <x:c r="B44" s="73"/>
      <x:c r="C44" s="73"/>
      <x:c r="D44" s="73"/>
      <x:c r="E44" s="73"/>
      <x:c r="F44" s="73"/>
      <x:c r="G44" s="73"/>
      <x:c r="H44" s="73"/>
      <x:c r="I44" s="73"/>
      <x:c r="J44" s="73"/>
      <x:c r="K44" s="73"/>
      <x:c r="L44" s="73"/>
      <x:c r="M44" s="73"/>
    </x:row>
    <x:row r="45" ht="25.5" customHeight="1">
      <x:c r="B45" s="37" t="s">
        <x:v>40</x:v>
      </x:c>
      <x:c r="C45" s="7"/>
      <x:c r="D45" s="7"/>
      <x:c r="E45" s="7"/>
      <x:c r="F45" s="7"/>
      <x:c r="G45" s="7"/>
      <x:c r="H45" s="7"/>
      <x:c r="I45" s="7"/>
      <x:c r="J45" s="7"/>
      <x:c r="K45" s="7"/>
      <x:c r="L45" s="7"/>
      <x:c r="M45" s="7"/>
    </x:row>
    <x:row r="46" ht="25.5" customHeight="1">
      <x:c r="B46" s="37" t="s">
        <x:v>41</x:v>
      </x:c>
      <x:c r="C46" s="7"/>
      <x:c r="D46" s="7"/>
      <x:c r="E46" s="7"/>
      <x:c r="F46" s="7"/>
      <x:c r="G46" s="7"/>
      <x:c r="H46" s="7"/>
      <x:c r="I46" s="7"/>
      <x:c r="J46" s="7"/>
      <x:c r="K46" s="7"/>
      <x:c r="L46" s="7"/>
      <x:c r="M46" s="7"/>
    </x:row>
    <x:row r="47" ht="25.5" customHeight="1">
      <x:c r="B47" s="37" t="s">
        <x:v>42</x:v>
      </x:c>
      <x:c r="C47" s="7"/>
      <x:c r="D47" s="7"/>
      <x:c r="E47" s="7"/>
      <x:c r="F47" s="7"/>
      <x:c r="G47" s="7"/>
      <x:c r="H47" s="7"/>
      <x:c r="I47" s="7"/>
      <x:c r="J47" s="7"/>
      <x:c r="K47" s="7"/>
      <x:c r="L47" s="7"/>
      <x:c r="M47" s="7"/>
    </x:row>
    <x:row r="48" ht="25.5" customHeight="1">
      <x:c r="B48" s="37" t="s">
        <x:v>43</x:v>
      </x:c>
      <x:c r="C48" s="7"/>
      <x:c r="D48" s="7"/>
      <x:c r="E48" s="7"/>
      <x:c r="F48" s="7"/>
      <x:c r="G48" s="7"/>
      <x:c r="H48" s="7"/>
      <x:c r="I48" s="7"/>
      <x:c r="J48" s="7"/>
      <x:c r="K48" s="7"/>
      <x:c r="L48" s="7"/>
      <x:c r="M48" s="7"/>
    </x:row>
    <x:row r="49" ht="25.5" customHeight="1">
      <x:c r="B49" s="37" t="s">
        <x:v>44</x:v>
      </x:c>
      <x:c r="C49" s="7"/>
      <x:c r="D49" s="7"/>
      <x:c r="E49" s="7"/>
      <x:c r="F49" s="7"/>
      <x:c r="G49" s="7"/>
      <x:c r="H49" s="7"/>
      <x:c r="I49" s="7"/>
      <x:c r="J49" s="7"/>
      <x:c r="K49" s="7"/>
      <x:c r="L49" s="7"/>
      <x:c r="M49" s="7"/>
    </x:row>
    <x:row r="50" ht="25.5" customHeight="1">
      <x:c r="B50" s="37" t="s">
        <x:v>45</x:v>
      </x:c>
      <x:c r="C50" s="7"/>
      <x:c r="D50" s="7"/>
      <x:c r="E50" s="7"/>
      <x:c r="F50" s="7"/>
      <x:c r="G50" s="7"/>
      <x:c r="H50" s="7"/>
      <x:c r="I50" s="7"/>
      <x:c r="J50" s="7"/>
      <x:c r="K50" s="7"/>
      <x:c r="L50" s="7"/>
      <x:c r="M50" s="7"/>
    </x:row>
    <x:row r="51" ht="25.5" customHeight="1">
      <x:c r="B51" s="37" t="s">
        <x:v>46</x:v>
      </x:c>
      <x:c r="C51" s="7"/>
      <x:c r="D51" s="7"/>
      <x:c r="E51" s="7"/>
      <x:c r="F51" s="7"/>
      <x:c r="G51" s="7"/>
      <x:c r="H51" s="7"/>
      <x:c r="I51" s="7"/>
      <x:c r="J51" s="7"/>
      <x:c r="K51" s="7"/>
      <x:c r="L51" s="7"/>
      <x:c r="M51" s="7"/>
    </x:row>
    <x:row r="52" ht="6" customHeight="1"/>
    <x:row r="53" ht="19.5" customHeight="1">
      <x:c r="A53" s="73" t="str">
        <x:v>  Candidate Note #2</x:v>
      </x:c>
      <x:c r="B53" s="73"/>
      <x:c r="C53" s="73"/>
      <x:c r="D53" s="73"/>
      <x:c r="E53" s="73"/>
      <x:c r="F53" s="73"/>
      <x:c r="G53" s="73"/>
      <x:c r="H53" s="73"/>
      <x:c r="I53" s="73"/>
      <x:c r="J53" s="73"/>
      <x:c r="K53" s="73"/>
      <x:c r="L53" s="73"/>
      <x:c r="M53" s="73"/>
    </x:row>
    <x:row r="54" ht="25.5" customHeight="1">
      <x:c r="B54" s="37" t="s">
        <x:v>40</x:v>
      </x:c>
      <x:c r="C54" s="7"/>
      <x:c r="D54" s="7"/>
      <x:c r="E54" s="7"/>
      <x:c r="F54" s="7"/>
      <x:c r="G54" s="7"/>
      <x:c r="H54" s="7"/>
      <x:c r="I54" s="7"/>
      <x:c r="J54" s="7"/>
      <x:c r="K54" s="7"/>
      <x:c r="L54" s="7"/>
      <x:c r="M54" s="7"/>
    </x:row>
    <x:row r="55" ht="25.5" customHeight="1">
      <x:c r="B55" s="37" t="s">
        <x:v>41</x:v>
      </x:c>
      <x:c r="C55" s="7"/>
      <x:c r="D55" s="7"/>
      <x:c r="E55" s="7"/>
      <x:c r="F55" s="7"/>
      <x:c r="G55" s="7"/>
      <x:c r="H55" s="7"/>
      <x:c r="I55" s="7"/>
      <x:c r="J55" s="7"/>
      <x:c r="K55" s="7"/>
      <x:c r="L55" s="7"/>
      <x:c r="M55" s="7"/>
    </x:row>
    <x:row r="56" ht="25.5" customHeight="1">
      <x:c r="B56" s="37" t="s">
        <x:v>42</x:v>
      </x:c>
      <x:c r="C56" s="7"/>
      <x:c r="D56" s="7"/>
      <x:c r="E56" s="7"/>
      <x:c r="F56" s="7"/>
      <x:c r="G56" s="7"/>
      <x:c r="H56" s="7"/>
      <x:c r="I56" s="7"/>
      <x:c r="J56" s="7"/>
      <x:c r="K56" s="7"/>
      <x:c r="L56" s="7"/>
      <x:c r="M56" s="7"/>
    </x:row>
    <x:row r="57" ht="25.5" customHeight="1">
      <x:c r="B57" s="37" t="s">
        <x:v>43</x:v>
      </x:c>
      <x:c r="C57" s="7"/>
      <x:c r="D57" s="7"/>
      <x:c r="E57" s="7"/>
      <x:c r="F57" s="7"/>
      <x:c r="G57" s="7"/>
      <x:c r="H57" s="7"/>
      <x:c r="I57" s="7"/>
      <x:c r="J57" s="7"/>
      <x:c r="K57" s="7"/>
      <x:c r="L57" s="7"/>
      <x:c r="M57" s="7"/>
    </x:row>
    <x:row r="58" ht="25.5" customHeight="1">
      <x:c r="B58" s="37" t="s">
        <x:v>44</x:v>
      </x:c>
      <x:c r="C58" s="7"/>
      <x:c r="D58" s="7"/>
      <x:c r="E58" s="7"/>
      <x:c r="F58" s="7"/>
      <x:c r="G58" s="7"/>
      <x:c r="H58" s="7"/>
      <x:c r="I58" s="7"/>
      <x:c r="J58" s="7"/>
      <x:c r="K58" s="7"/>
      <x:c r="L58" s="7"/>
      <x:c r="M58" s="7"/>
    </x:row>
    <x:row r="59" ht="25.5" customHeight="1">
      <x:c r="B59" s="37" t="s">
        <x:v>45</x:v>
      </x:c>
      <x:c r="C59" s="7"/>
      <x:c r="D59" s="7"/>
      <x:c r="E59" s="7"/>
      <x:c r="F59" s="7"/>
      <x:c r="G59" s="7"/>
      <x:c r="H59" s="7"/>
      <x:c r="I59" s="7"/>
      <x:c r="J59" s="7"/>
      <x:c r="K59" s="7"/>
      <x:c r="L59" s="7"/>
      <x:c r="M59" s="7"/>
    </x:row>
    <x:row r="60" ht="25.5" customHeight="1">
      <x:c r="B60" s="37" t="s">
        <x:v>46</x:v>
      </x:c>
      <x:c r="C60" s="7"/>
      <x:c r="D60" s="7"/>
      <x:c r="E60" s="7"/>
      <x:c r="F60" s="7"/>
      <x:c r="G60" s="7"/>
      <x:c r="H60" s="7"/>
      <x:c r="I60" s="7"/>
      <x:c r="J60" s="7"/>
      <x:c r="K60" s="7"/>
      <x:c r="L60" s="7"/>
      <x:c r="M60" s="7"/>
    </x:row>
    <x:row r="61" ht="6" customHeight="1"/>
    <x:row r="62" ht="19.5" customHeight="1">
      <x:c r="A62" s="73" t="str">
        <x:v>  Candidate Note #3</x:v>
      </x:c>
      <x:c r="B62" s="73"/>
      <x:c r="C62" s="73"/>
      <x:c r="D62" s="73"/>
      <x:c r="E62" s="73"/>
      <x:c r="F62" s="73"/>
      <x:c r="G62" s="73"/>
      <x:c r="H62" s="73"/>
      <x:c r="I62" s="73"/>
      <x:c r="J62" s="73"/>
      <x:c r="K62" s="73"/>
      <x:c r="L62" s="73"/>
      <x:c r="M62" s="73"/>
    </x:row>
    <x:row r="63" ht="25.5" customHeight="1">
      <x:c r="B63" s="37" t="s">
        <x:v>40</x:v>
      </x:c>
      <x:c r="C63" s="7"/>
      <x:c r="D63" s="7"/>
      <x:c r="E63" s="7"/>
      <x:c r="F63" s="7"/>
      <x:c r="G63" s="7"/>
      <x:c r="H63" s="7"/>
      <x:c r="I63" s="7"/>
      <x:c r="J63" s="7"/>
      <x:c r="K63" s="7"/>
      <x:c r="L63" s="7"/>
      <x:c r="M63" s="7"/>
    </x:row>
    <x:row r="64" ht="25.5" customHeight="1">
      <x:c r="B64" s="37" t="s">
        <x:v>41</x:v>
      </x:c>
      <x:c r="C64" s="7"/>
      <x:c r="D64" s="7"/>
      <x:c r="E64" s="7"/>
      <x:c r="F64" s="7"/>
      <x:c r="G64" s="7"/>
      <x:c r="H64" s="7"/>
      <x:c r="I64" s="7"/>
      <x:c r="J64" s="7"/>
      <x:c r="K64" s="7"/>
      <x:c r="L64" s="7"/>
      <x:c r="M64" s="7"/>
    </x:row>
    <x:row r="65" ht="25.5" customHeight="1">
      <x:c r="B65" s="37" t="s">
        <x:v>42</x:v>
      </x:c>
      <x:c r="C65" s="7"/>
      <x:c r="D65" s="7"/>
      <x:c r="E65" s="7"/>
      <x:c r="F65" s="7"/>
      <x:c r="G65" s="7"/>
      <x:c r="H65" s="7"/>
      <x:c r="I65" s="7"/>
      <x:c r="J65" s="7"/>
      <x:c r="K65" s="7"/>
      <x:c r="L65" s="7"/>
      <x:c r="M65" s="7"/>
    </x:row>
    <x:row r="66" ht="25.5" customHeight="1">
      <x:c r="B66" s="37" t="s">
        <x:v>43</x:v>
      </x:c>
      <x:c r="C66" s="7"/>
      <x:c r="D66" s="7"/>
      <x:c r="E66" s="7"/>
      <x:c r="F66" s="7"/>
      <x:c r="G66" s="7"/>
      <x:c r="H66" s="7"/>
      <x:c r="I66" s="7"/>
      <x:c r="J66" s="7"/>
      <x:c r="K66" s="7"/>
      <x:c r="L66" s="7"/>
      <x:c r="M66" s="7"/>
    </x:row>
    <x:row r="67" ht="25.5" customHeight="1">
      <x:c r="B67" s="37" t="s">
        <x:v>44</x:v>
      </x:c>
      <x:c r="C67" s="7"/>
      <x:c r="D67" s="7"/>
      <x:c r="E67" s="7"/>
      <x:c r="F67" s="7"/>
      <x:c r="G67" s="7"/>
      <x:c r="H67" s="7"/>
      <x:c r="I67" s="7"/>
      <x:c r="J67" s="7"/>
      <x:c r="K67" s="7"/>
      <x:c r="L67" s="7"/>
      <x:c r="M67" s="7"/>
    </x:row>
    <x:row r="68" ht="25.5" customHeight="1">
      <x:c r="B68" s="37" t="s">
        <x:v>45</x:v>
      </x:c>
      <x:c r="C68" s="7"/>
      <x:c r="D68" s="7"/>
      <x:c r="E68" s="7"/>
      <x:c r="F68" s="7"/>
      <x:c r="G68" s="7"/>
      <x:c r="H68" s="7"/>
      <x:c r="I68" s="7"/>
      <x:c r="J68" s="7"/>
      <x:c r="K68" s="7"/>
      <x:c r="L68" s="7"/>
      <x:c r="M68" s="7"/>
    </x:row>
    <x:row r="69" ht="25.5" customHeight="1">
      <x:c r="B69" s="37" t="s">
        <x:v>46</x:v>
      </x:c>
      <x:c r="C69" s="7"/>
      <x:c r="D69" s="7"/>
      <x:c r="E69" s="7"/>
      <x:c r="F69" s="7"/>
      <x:c r="G69" s="7"/>
      <x:c r="H69" s="7"/>
      <x:c r="I69" s="7"/>
      <x:c r="J69" s="7"/>
      <x:c r="K69" s="7"/>
      <x:c r="L69" s="7"/>
      <x:c r="M69" s="7"/>
    </x:row>
    <x:row r="70" ht="6" customHeight="1"/>
    <x:row r="71" ht="19.5" customHeight="1">
      <x:c r="A71" s="73" t="str">
        <x:v>  Candidate Note #4</x:v>
      </x:c>
      <x:c r="B71" s="73"/>
      <x:c r="C71" s="73"/>
      <x:c r="D71" s="73"/>
      <x:c r="E71" s="73"/>
      <x:c r="F71" s="73"/>
      <x:c r="G71" s="73"/>
      <x:c r="H71" s="73"/>
      <x:c r="I71" s="73"/>
      <x:c r="J71" s="73"/>
      <x:c r="K71" s="73"/>
      <x:c r="L71" s="73"/>
      <x:c r="M71" s="73"/>
    </x:row>
    <x:row r="72" ht="25.5" customHeight="1">
      <x:c r="B72" s="37" t="s">
        <x:v>40</x:v>
      </x:c>
      <x:c r="C72" s="7"/>
      <x:c r="D72" s="7"/>
      <x:c r="E72" s="7"/>
      <x:c r="F72" s="7"/>
      <x:c r="G72" s="7"/>
      <x:c r="H72" s="7"/>
      <x:c r="I72" s="7"/>
      <x:c r="J72" s="7"/>
      <x:c r="K72" s="7"/>
      <x:c r="L72" s="7"/>
      <x:c r="M72" s="7"/>
    </x:row>
    <x:row r="73" ht="25.5" customHeight="1">
      <x:c r="B73" s="37" t="s">
        <x:v>41</x:v>
      </x:c>
      <x:c r="C73" s="7"/>
      <x:c r="D73" s="7"/>
      <x:c r="E73" s="7"/>
      <x:c r="F73" s="7"/>
      <x:c r="G73" s="7"/>
      <x:c r="H73" s="7"/>
      <x:c r="I73" s="7"/>
      <x:c r="J73" s="7"/>
      <x:c r="K73" s="7"/>
      <x:c r="L73" s="7"/>
      <x:c r="M73" s="7"/>
    </x:row>
    <x:row r="74" ht="25.5" customHeight="1">
      <x:c r="B74" s="37" t="s">
        <x:v>42</x:v>
      </x:c>
      <x:c r="C74" s="7"/>
      <x:c r="D74" s="7"/>
      <x:c r="E74" s="7"/>
      <x:c r="F74" s="7"/>
      <x:c r="G74" s="7"/>
      <x:c r="H74" s="7"/>
      <x:c r="I74" s="7"/>
      <x:c r="J74" s="7"/>
      <x:c r="K74" s="7"/>
      <x:c r="L74" s="7"/>
      <x:c r="M74" s="7"/>
    </x:row>
    <x:row r="75" ht="25.5" customHeight="1">
      <x:c r="B75" s="37" t="s">
        <x:v>43</x:v>
      </x:c>
      <x:c r="C75" s="7"/>
      <x:c r="D75" s="7"/>
      <x:c r="E75" s="7"/>
      <x:c r="F75" s="7"/>
      <x:c r="G75" s="7"/>
      <x:c r="H75" s="7"/>
      <x:c r="I75" s="7"/>
      <x:c r="J75" s="7"/>
      <x:c r="K75" s="7"/>
      <x:c r="L75" s="7"/>
      <x:c r="M75" s="7"/>
    </x:row>
    <x:row r="76" ht="25.5" customHeight="1">
      <x:c r="B76" s="37" t="s">
        <x:v>44</x:v>
      </x:c>
      <x:c r="C76" s="7"/>
      <x:c r="D76" s="7"/>
      <x:c r="E76" s="7"/>
      <x:c r="F76" s="7"/>
      <x:c r="G76" s="7"/>
      <x:c r="H76" s="7"/>
      <x:c r="I76" s="7"/>
      <x:c r="J76" s="7"/>
      <x:c r="K76" s="7"/>
      <x:c r="L76" s="7"/>
      <x:c r="M76" s="7"/>
    </x:row>
    <x:row r="77" ht="25.5" customHeight="1">
      <x:c r="B77" s="37" t="s">
        <x:v>45</x:v>
      </x:c>
      <x:c r="C77" s="7"/>
      <x:c r="D77" s="7"/>
      <x:c r="E77" s="7"/>
      <x:c r="F77" s="7"/>
      <x:c r="G77" s="7"/>
      <x:c r="H77" s="7"/>
      <x:c r="I77" s="7"/>
      <x:c r="J77" s="7"/>
      <x:c r="K77" s="7"/>
      <x:c r="L77" s="7"/>
      <x:c r="M77" s="7"/>
    </x:row>
    <x:row r="78" ht="25.5" customHeight="1">
      <x:c r="B78" s="37" t="s">
        <x:v>46</x:v>
      </x:c>
      <x:c r="C78" s="7"/>
      <x:c r="D78" s="7"/>
      <x:c r="E78" s="7"/>
      <x:c r="F78" s="7"/>
      <x:c r="G78" s="7"/>
      <x:c r="H78" s="7"/>
      <x:c r="I78" s="7"/>
      <x:c r="J78" s="7"/>
      <x:c r="K78" s="7"/>
      <x:c r="L78" s="7"/>
      <x:c r="M78" s="7"/>
    </x:row>
    <x:row r="79" ht="6" customHeight="1"/>
    <x:row r="80" ht="19.5" customHeight="1">
      <x:c r="A80" s="73" t="str">
        <x:v>  Candidate Note #5</x:v>
      </x:c>
      <x:c r="B80" s="73"/>
      <x:c r="C80" s="73"/>
      <x:c r="D80" s="73"/>
      <x:c r="E80" s="73"/>
      <x:c r="F80" s="73"/>
      <x:c r="G80" s="73"/>
      <x:c r="H80" s="73"/>
      <x:c r="I80" s="73"/>
      <x:c r="J80" s="73"/>
      <x:c r="K80" s="73"/>
      <x:c r="L80" s="73"/>
      <x:c r="M80" s="73"/>
    </x:row>
    <x:row r="81" ht="25.5" customHeight="1">
      <x:c r="B81" s="37" t="s">
        <x:v>40</x:v>
      </x:c>
      <x:c r="C81" s="7"/>
      <x:c r="D81" s="7"/>
      <x:c r="E81" s="7"/>
      <x:c r="F81" s="7"/>
      <x:c r="G81" s="7"/>
      <x:c r="H81" s="7"/>
      <x:c r="I81" s="7"/>
      <x:c r="J81" s="7"/>
      <x:c r="K81" s="7"/>
      <x:c r="L81" s="7"/>
      <x:c r="M81" s="7"/>
    </x:row>
    <x:row r="82" ht="25.5" customHeight="1">
      <x:c r="B82" s="37" t="s">
        <x:v>41</x:v>
      </x:c>
      <x:c r="C82" s="7"/>
      <x:c r="D82" s="7"/>
      <x:c r="E82" s="7"/>
      <x:c r="F82" s="7"/>
      <x:c r="G82" s="7"/>
      <x:c r="H82" s="7"/>
      <x:c r="I82" s="7"/>
      <x:c r="J82" s="7"/>
      <x:c r="K82" s="7"/>
      <x:c r="L82" s="7"/>
      <x:c r="M82" s="7"/>
    </x:row>
    <x:row r="83" ht="25.5" customHeight="1">
      <x:c r="B83" s="37" t="s">
        <x:v>42</x:v>
      </x:c>
      <x:c r="C83" s="7"/>
      <x:c r="D83" s="7"/>
      <x:c r="E83" s="7"/>
      <x:c r="F83" s="7"/>
      <x:c r="G83" s="7"/>
      <x:c r="H83" s="7"/>
      <x:c r="I83" s="7"/>
      <x:c r="J83" s="7"/>
      <x:c r="K83" s="7"/>
      <x:c r="L83" s="7"/>
      <x:c r="M83" s="7"/>
    </x:row>
    <x:row r="84" ht="25.5" customHeight="1">
      <x:c r="B84" s="37" t="s">
        <x:v>43</x:v>
      </x:c>
      <x:c r="C84" s="7"/>
      <x:c r="D84" s="7"/>
      <x:c r="E84" s="7"/>
      <x:c r="F84" s="7"/>
      <x:c r="G84" s="7"/>
      <x:c r="H84" s="7"/>
      <x:c r="I84" s="7"/>
      <x:c r="J84" s="7"/>
      <x:c r="K84" s="7"/>
      <x:c r="L84" s="7"/>
      <x:c r="M84" s="7"/>
    </x:row>
    <x:row r="85" ht="25.5" customHeight="1">
      <x:c r="B85" s="37" t="s">
        <x:v>44</x:v>
      </x:c>
      <x:c r="C85" s="7"/>
      <x:c r="D85" s="7"/>
      <x:c r="E85" s="7"/>
      <x:c r="F85" s="7"/>
      <x:c r="G85" s="7"/>
      <x:c r="H85" s="7"/>
      <x:c r="I85" s="7"/>
      <x:c r="J85" s="7"/>
      <x:c r="K85" s="7"/>
      <x:c r="L85" s="7"/>
      <x:c r="M85" s="7"/>
    </x:row>
    <x:row r="86" ht="25.5" customHeight="1">
      <x:c r="B86" s="37" t="s">
        <x:v>45</x:v>
      </x:c>
      <x:c r="C86" s="7"/>
      <x:c r="D86" s="7"/>
      <x:c r="E86" s="7"/>
      <x:c r="F86" s="7"/>
      <x:c r="G86" s="7"/>
      <x:c r="H86" s="7"/>
      <x:c r="I86" s="7"/>
      <x:c r="J86" s="7"/>
      <x:c r="K86" s="7"/>
      <x:c r="L86" s="7"/>
      <x:c r="M86" s="7"/>
    </x:row>
    <x:row r="87" ht="25.5" customHeight="1">
      <x:c r="B87" s="37" t="s">
        <x:v>46</x:v>
      </x:c>
      <x:c r="C87" s="7"/>
      <x:c r="D87" s="7"/>
      <x:c r="E87" s="7"/>
      <x:c r="F87" s="7"/>
      <x:c r="G87" s="7"/>
      <x:c r="H87" s="7"/>
      <x:c r="I87" s="7"/>
      <x:c r="J87" s="7"/>
      <x:c r="K87" s="7"/>
      <x:c r="L87" s="7"/>
      <x:c r="M87" s="7"/>
    </x:row>
    <x:row r="88" ht="6" customHeight="1"/>
    <x:row r="89" ht="27.75" customHeight="1">
      <x:c r="A89" s="74" t="str">
        <x:v>  ▲ Do not add a note block unless it materially supports a final Select or Reject decision. Full analysis is not required for every screened candidate.</x:v>
      </x:c>
      <x:c r="B89" s="74"/>
      <x:c r="C89" s="74"/>
      <x:c r="D89" s="74"/>
      <x:c r="E89" s="74"/>
      <x:c r="F89" s="74"/>
      <x:c r="G89" s="74"/>
      <x:c r="H89" s="74"/>
      <x:c r="I89" s="74"/>
      <x:c r="J89" s="74"/>
      <x:c r="K89" s="74"/>
      <x:c r="L89" s="74"/>
      <x:c r="M89" s="74"/>
    </x:row>
    <x:row r="91" ht="9.75" customHeight="1"/>
    <x:row r="92" ht="19.5" customHeight="1">
      <x:c r="A92" s="5" t="s">
        <x:v>47</x:v>
      </x:c>
      <x:c r="B92" s="5"/>
      <x:c r="C92" s="5"/>
      <x:c r="D92" s="5"/>
      <x:c r="E92" s="5"/>
      <x:c r="F92" s="5"/>
      <x:c r="G92" s="5"/>
      <x:c r="H92" s="5"/>
      <x:c r="I92" s="5"/>
      <x:c r="J92" s="5"/>
      <x:c r="K92" s="5"/>
      <x:c r="L92" s="5"/>
      <x:c r="M92" s="5"/>
    </x:row>
    <x:row r="93" ht="18" customHeight="1">
      <x:c r="B93" s="38" t="s">
        <x:v>48</x:v>
      </x:c>
      <x:c r="C93" s="75" t="s">
        <x:v>49</x:v>
      </x:c>
      <x:c r="D93" s="75"/>
      <x:c r="E93" s="75"/>
      <x:c r="F93" s="75"/>
      <x:c r="G93" s="75"/>
      <x:c r="H93" s="75"/>
      <x:c r="I93" s="75"/>
      <x:c r="J93" s="75"/>
      <x:c r="K93" s="75"/>
      <x:c r="L93" s="75"/>
      <x:c r="M93" s="75"/>
    </x:row>
    <x:row r="94" ht="18" customHeight="1">
      <x:c r="B94" s="39" t="s">
        <x:v>48</x:v>
      </x:c>
      <x:c r="C94" s="75" t="s">
        <x:v>50</x:v>
      </x:c>
      <x:c r="D94" s="75"/>
      <x:c r="E94" s="75"/>
      <x:c r="F94" s="75"/>
      <x:c r="G94" s="75"/>
      <x:c r="H94" s="75"/>
      <x:c r="I94" s="75"/>
      <x:c r="J94" s="75"/>
      <x:c r="K94" s="75"/>
      <x:c r="L94" s="75"/>
      <x:c r="M94" s="75"/>
    </x:row>
    <x:row r="95" ht="18" customHeight="1">
      <x:c r="B95" s="40" t="s">
        <x:v>48</x:v>
      </x:c>
      <x:c r="C95" s="75" t="s">
        <x:v>51</x:v>
      </x:c>
      <x:c r="D95" s="75"/>
      <x:c r="E95" s="75"/>
      <x:c r="F95" s="75"/>
      <x:c r="G95" s="75"/>
      <x:c r="H95" s="75"/>
      <x:c r="I95" s="75"/>
      <x:c r="J95" s="75"/>
      <x:c r="K95" s="75"/>
      <x:c r="L95" s="75"/>
      <x:c r="M95" s="75"/>
    </x:row>
    <x:row r="96" ht="18" customHeight="1">
      <x:c r="B96" s="41" t="s">
        <x:v>48</x:v>
      </x:c>
      <x:c r="C96" s="75" t="s">
        <x:v>52</x:v>
      </x:c>
      <x:c r="D96" s="75"/>
      <x:c r="E96" s="75"/>
      <x:c r="F96" s="75"/>
      <x:c r="G96" s="75"/>
      <x:c r="H96" s="75"/>
      <x:c r="I96" s="75"/>
      <x:c r="J96" s="75"/>
      <x:c r="K96" s="75"/>
      <x:c r="L96" s="75"/>
      <x:c r="M96" s="75"/>
    </x:row>
    <x:row r="97" ht="18" customHeight="1">
      <x:c r="B97" s="42" t="s">
        <x:v>48</x:v>
      </x:c>
      <x:c r="C97" s="75" t="s">
        <x:v>53</x:v>
      </x:c>
      <x:c r="D97" s="75"/>
      <x:c r="E97" s="75"/>
      <x:c r="F97" s="75"/>
      <x:c r="G97" s="75"/>
      <x:c r="H97" s="75"/>
      <x:c r="I97" s="75"/>
      <x:c r="J97" s="75"/>
      <x:c r="K97" s="75"/>
      <x:c r="L97" s="75"/>
      <x:c r="M97" s="75"/>
    </x:row>
  </x:sheetData>
  <x:mergeCells>
    <x:mergeCell ref="C94:M94"/>
    <x:mergeCell ref="C95:M95"/>
    <x:mergeCell ref="C96:M96"/>
    <x:mergeCell ref="C97:M97"/>
    <x:mergeCell ref="C86:M86"/>
    <x:mergeCell ref="C87:M87"/>
    <x:mergeCell ref="A89:M89"/>
    <x:mergeCell ref="A92:M92"/>
    <x:mergeCell ref="C93:M93"/>
    <x:mergeCell ref="C81:M81"/>
    <x:mergeCell ref="C82:M82"/>
    <x:mergeCell ref="C83:M83"/>
    <x:mergeCell ref="C84:M84"/>
    <x:mergeCell ref="C85:M85"/>
    <x:mergeCell ref="C75:M75"/>
    <x:mergeCell ref="C76:M76"/>
    <x:mergeCell ref="C77:M77"/>
    <x:mergeCell ref="C78:M78"/>
    <x:mergeCell ref="A80:M80"/>
    <x:mergeCell ref="C69:M69"/>
    <x:mergeCell ref="A71:M71"/>
    <x:mergeCell ref="C72:M72"/>
    <x:mergeCell ref="C73:M73"/>
    <x:mergeCell ref="C74:M74"/>
    <x:mergeCell ref="C64:M64"/>
    <x:mergeCell ref="C65:M65"/>
    <x:mergeCell ref="C66:M66"/>
    <x:mergeCell ref="C67:M67"/>
    <x:mergeCell ref="C68:M68"/>
    <x:mergeCell ref="C58:M58"/>
    <x:mergeCell ref="C59:M59"/>
    <x:mergeCell ref="C60:M60"/>
    <x:mergeCell ref="A62:M62"/>
    <x:mergeCell ref="C63:M63"/>
    <x:mergeCell ref="A53:M53"/>
    <x:mergeCell ref="C54:M54"/>
    <x:mergeCell ref="C55:M55"/>
    <x:mergeCell ref="C56:M56"/>
    <x:mergeCell ref="C57:M57"/>
    <x:mergeCell ref="C47:M47"/>
    <x:mergeCell ref="C48:M48"/>
    <x:mergeCell ref="C49:M49"/>
    <x:mergeCell ref="C50:M50"/>
    <x:mergeCell ref="C51:M51"/>
    <x:mergeCell ref="A42:M42"/>
    <x:mergeCell ref="A43:M43"/>
    <x:mergeCell ref="A44:M44"/>
    <x:mergeCell ref="C45:M45"/>
    <x:mergeCell ref="C46:M46"/>
    <x:mergeCell ref="C39:E39"/>
    <x:mergeCell ref="F39:G39"/>
    <x:mergeCell ref="H39:J39"/>
    <x:mergeCell ref="K39:L39"/>
    <x:mergeCell ref="C40:E40"/>
    <x:mergeCell ref="F40:G40"/>
    <x:mergeCell ref="H40:J40"/>
    <x:mergeCell ref="K40:L40"/>
    <x:mergeCell ref="B37:M37"/>
    <x:mergeCell ref="C38:E38"/>
    <x:mergeCell ref="F38:G38"/>
    <x:mergeCell ref="H38:J38"/>
    <x:mergeCell ref="K38:L38"/>
    <x:mergeCell ref="C33:I33"/>
    <x:mergeCell ref="J33:M33"/>
    <x:mergeCell ref="C34:I34"/>
    <x:mergeCell ref="J34:M34"/>
    <x:mergeCell ref="C35:I35"/>
    <x:mergeCell ref="J35:M35"/>
    <x:mergeCell ref="C30:I30"/>
    <x:mergeCell ref="J30:M30"/>
    <x:mergeCell ref="C31:I31"/>
    <x:mergeCell ref="J31:M31"/>
    <x:mergeCell ref="C32:I32"/>
    <x:mergeCell ref="J32:M32"/>
    <x:mergeCell ref="C27:I27"/>
    <x:mergeCell ref="J27:M27"/>
    <x:mergeCell ref="C28:I28"/>
    <x:mergeCell ref="J28:M28"/>
    <x:mergeCell ref="C29:I29"/>
    <x:mergeCell ref="J29:M29"/>
    <x:mergeCell ref="A10:M10"/>
    <x:mergeCell ref="A22:F22"/>
    <x:mergeCell ref="K22:M22"/>
    <x:mergeCell ref="A25:M25"/>
    <x:mergeCell ref="A26:M26"/>
    <x:mergeCell ref="A2:M2"/>
    <x:mergeCell ref="A3:M3"/>
    <x:mergeCell ref="K5:L5"/>
    <x:mergeCell ref="A7:M7"/>
    <x:mergeCell ref="A9:M9"/>
  </x:mergeCells>
  <x:conditionalFormatting sqref="G22:G22">
    <x:cfRule type="cellIs" dxfId="7" priority="22" operator="equal">
      <x:formula>1</x:formula>
    </x:cfRule>
    <x:cfRule type="cellIs" dxfId="6" priority="23" operator="notEqual">
      <x:formula>1</x:formula>
    </x:cfRule>
  </x:conditionalFormatting>
  <x:conditionalFormatting sqref="J12:J21">
    <x:cfRule type="expression" dxfId="5" priority="2">
      <x:formula>J12="NO"</x:formula>
    </x:cfRule>
    <x:cfRule type="expression" dxfId="4" priority="3">
      <x:formula>J12="YES"</x:formula>
    </x:cfRule>
  </x:conditionalFormatting>
  <x:dataValidations count="3">
    <x:dataValidation type="list" allowBlank="1" showErrorMessage="1" errorTitle="Invalid" error="Select from dropdown list." sqref="E12:E21">
      <x:formula1>"U.S. Equities,Fixed Income,Cash / Equiv.,International Equity,Real Estate / REIT,Commodities,Derivatives,Other"</x:formula1>
      <x:formula2>0</x:formula2>
    </x:dataValidation>
    <x:dataValidation type="list" allowBlank="1"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36873e0686004a90"/>
</x:worksheet>
</file>

<file path=xl/worksheets/sheet5.xml><?xml version="1.0" encoding="utf-8"?>
<x:worksheet xmlns:x="http://schemas.openxmlformats.org/spreadsheetml/2006/main">
  <x:sheetPr>
    <x:tabColor rgb="FF1A3A8B"/>
  </x:sheetPr>
  <x:sheetViews>
    <x:sheetView showGridLines="0" workbookViewId="0"/>
  </x:sheetViews>
  <x:sheetFormatPr baseColWidth="10" defaultColWidth="8.6640625" defaultRowHeight="15"/>
  <x:cols>
    <x:col min="1" max="1" width="2" customWidth="1"/>
    <x:col min="2" max="2" width="5" customWidth="1"/>
    <x:col min="3" max="3" width="10" customWidth="1"/>
    <x:col min="4" max="4" width="28" customWidth="1"/>
    <x:col min="5" max="6" width="18" customWidth="1"/>
    <x:col min="7" max="7" width="10" customWidth="1"/>
    <x:col min="8" max="8" width="14" customWidth="1"/>
    <x:col min="9" max="9" width="9" customWidth="1"/>
    <x:col min="10" max="10" width="14" customWidth="1"/>
    <x:col min="11" max="11" width="22" customWidth="1"/>
    <x:col min="12" max="12" width="24" customWidth="1"/>
    <x:col min="13" max="13" width="2" customWidth="1"/>
  </x:cols>
  <x:sheetData>
    <x:row r="1" ht="6" customHeight="1"/>
    <x:row r="2" ht="37.5" customHeight="1">
      <x:c r="A2" s="10" t="str">
        <x:v>Phase 2 — Security Analysis &amp; Selection  |  Client 3</x:v>
      </x:c>
      <x:c r="B2" s="10"/>
      <x:c r="C2" s="10"/>
      <x:c r="D2" s="10"/>
      <x:c r="E2" s="10"/>
      <x:c r="F2" s="10"/>
      <x:c r="G2" s="10"/>
      <x:c r="H2" s="10"/>
      <x:c r="I2" s="10"/>
      <x:c r="J2" s="10"/>
      <x:c r="K2" s="10"/>
      <x:c r="L2" s="10"/>
      <x:c r="M2" s="10"/>
    </x:row>
    <x:row r="3" ht="18" customHeight="1">
      <x:c r="A3" s="9" t="str">
        <x:v>BUS 331 Investments  |  Endicott College  |  Phase 2: Security Analysis &amp; Selection</x:v>
      </x:c>
      <x:c r="B3" s="9"/>
      <x:c r="C3" s="9"/>
      <x:c r="D3" s="9"/>
      <x:c r="E3" s="9"/>
      <x:c r="F3" s="9"/>
      <x:c r="G3" s="9"/>
      <x:c r="H3" s="9"/>
      <x:c r="I3" s="9"/>
      <x:c r="J3" s="9"/>
      <x:c r="K3" s="9"/>
      <x:c r="L3" s="9"/>
      <x:c r="M3" s="9"/>
    </x:row>
    <x:row r="4" ht="6" customHeight="1"/>
    <x:row r="5" ht="21.75" customHeight="1">
      <x:c r="B5" s="23" t="s">
        <x:v>17</x:v>
      </x:c>
      <x:c r="C5" s="24"/>
      <x:c r="D5" s="25"/>
      <x:c r="F5" s="23" t="s">
        <x:v>18</x:v>
      </x:c>
      <x:c r="G5" s="26"/>
      <x:c r="H5" s="23" t="s">
        <x:v>19</x:v>
      </x:c>
      <x:c r="I5" s="26"/>
      <x:c r="J5" s="23" t="s">
        <x:v>20</x:v>
      </x:c>
      <x:c r="K5" s="7"/>
      <x:c r="L5" s="7"/>
    </x:row>
    <x:row r="6" ht="6" customHeight="1"/>
    <x:row r="7" ht="30" customHeight="1">
      <x:c r="A7" s="6" t="s">
        <x:v>21</x:v>
      </x:c>
      <x:c r="B7" s="6"/>
      <x:c r="C7" s="6"/>
      <x:c r="D7" s="6"/>
      <x:c r="E7" s="6"/>
      <x:c r="F7" s="6"/>
      <x:c r="G7" s="6"/>
      <x:c r="H7" s="6"/>
      <x:c r="I7" s="6"/>
      <x:c r="J7" s="6"/>
      <x:c r="K7" s="6"/>
      <x:c r="L7" s="6"/>
      <x:c r="M7" s="6"/>
    </x:row>
    <x:row r="8" ht="7.5" customHeight="1"/>
    <x:row r="9" ht="19.5" customHeight="1">
      <x:c r="A9" s="5" t="str">
        <x:v>  SECTION 1 — FOCUSED CANDIDATE RESEARCH TABLE</x:v>
      </x:c>
      <x:c r="B9" s="5"/>
      <x:c r="C9" s="5"/>
      <x:c r="D9" s="5"/>
      <x:c r="E9" s="5"/>
      <x:c r="F9" s="5"/>
      <x:c r="G9" s="5"/>
      <x:c r="H9" s="5"/>
      <x:c r="I9" s="5"/>
      <x:c r="J9" s="5"/>
      <x:c r="K9" s="5"/>
      <x:c r="L9" s="5"/>
      <x:c r="M9" s="5"/>
    </x:row>
    <x:row r="10" ht="30" customHeight="1">
      <x:c r="A10" s="8" t="str">
        <x:v>Use this tab for candidate research and calculations. Record the 8–10 final holdings in FINAL SCORECARDS; never exceed 10, do not fill every slot, keep funds/ETFs primary, and limit individual securities to two or three total.</x:v>
      </x:c>
      <x:c r="B10" s="8"/>
      <x:c r="C10" s="8"/>
      <x:c r="D10" s="8"/>
      <x:c r="E10" s="8"/>
      <x:c r="F10" s="8"/>
      <x:c r="G10" s="8"/>
      <x:c r="H10" s="8"/>
      <x:c r="I10" s="8"/>
      <x:c r="J10" s="8"/>
      <x:c r="K10" s="8"/>
      <x:c r="L10" s="8"/>
      <x:c r="M10" s="8"/>
    </x:row>
    <x:row r="11" ht="36" customHeight="1">
      <x:c r="B11" s="27" t="s">
        <x:v>22</x:v>
      </x:c>
      <x:c r="C11" s="27" t="s">
        <x:v>23</x:v>
      </x:c>
      <x:c r="D11" s="27" t="s">
        <x:v>24</x:v>
      </x:c>
      <x:c r="E11" s="27" t="s">
        <x:v>25</x:v>
      </x:c>
      <x:c r="F11" s="27" t="s">
        <x:v>26</x:v>
      </x:c>
      <x:c r="G11" s="27" t="s">
        <x:v>27</x:v>
      </x:c>
      <x:c r="H11" s="27" t="s">
        <x:v>28</x:v>
      </x:c>
      <x:c r="I11" s="27" t="s">
        <x:v>29</x:v>
      </x:c>
      <x:c r="J11" s="27" t="s">
        <x:v>30</x:v>
      </x:c>
      <x:c r="K11" s="27" t="str">
        <x:v>Candidate Note
Ref #</x:v>
      </x:c>
      <x:c r="L11" s="27" t="s">
        <x:v>31</x:v>
      </x:c>
    </x:row>
    <x:row r="12" ht="21.75" customHeight="1">
      <x:c r="B12" s="28" t="n">
        <x:f>1</x:f>
        <x:v>1</x:v>
      </x:c>
      <x:c r="C12" s="24"/>
      <x:c r="D12" s="29"/>
      <x:c r="E12" s="24"/>
      <x:c r="F12" s="24"/>
      <x:c r="G12" s="26"/>
      <x:c r="H12" s="30" t="str">
        <x:f t="shared" ref="H12:H21" si="0">IF(G12&lt;&gt;"",G12*500000,"")</x:f>
      </x:c>
      <x:c r="I12" s="31"/>
      <x:c r="J12" s="24"/>
      <x:c r="K12" s="32"/>
      <x:c r="L12" s="29"/>
    </x:row>
    <x:row r="13" ht="21.75" customHeight="1">
      <x:c r="B13" s="28" t="n">
        <x:f>2</x:f>
        <x:v>2</x:v>
      </x:c>
      <x:c r="C13" s="24"/>
      <x:c r="D13" s="29"/>
      <x:c r="E13" s="24"/>
      <x:c r="F13" s="24"/>
      <x:c r="G13" s="26"/>
      <x:c r="H13" s="30" t="str">
        <x:f t="shared" si="0"/>
      </x:c>
      <x:c r="I13" s="31"/>
      <x:c r="J13" s="24"/>
      <x:c r="K13" s="32"/>
      <x:c r="L13" s="29"/>
    </x:row>
    <x:row r="14" ht="21.75" customHeight="1">
      <x:c r="B14" s="28" t="n">
        <x:f>3</x:f>
        <x:v>3</x:v>
      </x:c>
      <x:c r="C14" s="24"/>
      <x:c r="D14" s="29"/>
      <x:c r="E14" s="24"/>
      <x:c r="F14" s="24"/>
      <x:c r="G14" s="26"/>
      <x:c r="H14" s="30" t="str">
        <x:f t="shared" si="0"/>
      </x:c>
      <x:c r="I14" s="31"/>
      <x:c r="J14" s="24"/>
      <x:c r="K14" s="32"/>
      <x:c r="L14" s="29"/>
    </x:row>
    <x:row r="15" ht="21.75" customHeight="1">
      <x:c r="B15" s="28" t="n">
        <x:f>4</x:f>
        <x:v>4</x:v>
      </x:c>
      <x:c r="C15" s="24"/>
      <x:c r="D15" s="29"/>
      <x:c r="E15" s="24"/>
      <x:c r="F15" s="24"/>
      <x:c r="G15" s="26"/>
      <x:c r="H15" s="30" t="str">
        <x:f t="shared" si="0"/>
      </x:c>
      <x:c r="I15" s="31"/>
      <x:c r="J15" s="24"/>
      <x:c r="K15" s="32"/>
      <x:c r="L15" s="29"/>
    </x:row>
    <x:row r="16" ht="21.75" customHeight="1">
      <x:c r="B16" s="28" t="n">
        <x:f>5</x:f>
        <x:v>5</x:v>
      </x:c>
      <x:c r="C16" s="24"/>
      <x:c r="D16" s="29"/>
      <x:c r="E16" s="24"/>
      <x:c r="F16" s="24"/>
      <x:c r="G16" s="26"/>
      <x:c r="H16" s="30" t="str">
        <x:f t="shared" si="0"/>
      </x:c>
      <x:c r="I16" s="31"/>
      <x:c r="J16" s="24"/>
      <x:c r="K16" s="32"/>
      <x:c r="L16" s="29"/>
    </x:row>
    <x:row r="17" ht="21.75" customHeight="1">
      <x:c r="B17" s="28" t="n">
        <x:f>6</x:f>
        <x:v>6</x:v>
      </x:c>
      <x:c r="C17" s="24"/>
      <x:c r="D17" s="29"/>
      <x:c r="E17" s="24"/>
      <x:c r="F17" s="24"/>
      <x:c r="G17" s="26"/>
      <x:c r="H17" s="30" t="str">
        <x:f t="shared" si="0"/>
      </x:c>
      <x:c r="I17" s="31"/>
      <x:c r="J17" s="24"/>
      <x:c r="K17" s="32"/>
      <x:c r="L17" s="29"/>
    </x:row>
    <x:row r="18" ht="21.75" customHeight="1">
      <x:c r="B18" s="28" t="n">
        <x:f>7</x:f>
        <x:v>7</x:v>
      </x:c>
      <x:c r="C18" s="24"/>
      <x:c r="D18" s="29"/>
      <x:c r="E18" s="24"/>
      <x:c r="F18" s="24"/>
      <x:c r="G18" s="26"/>
      <x:c r="H18" s="30" t="str">
        <x:f t="shared" si="0"/>
      </x:c>
      <x:c r="I18" s="31"/>
      <x:c r="J18" s="24"/>
      <x:c r="K18" s="32"/>
      <x:c r="L18" s="29"/>
    </x:row>
    <x:row r="19" ht="21.75" customHeight="1">
      <x:c r="B19" s="28" t="n">
        <x:f>8</x:f>
        <x:v>8</x:v>
      </x:c>
      <x:c r="C19" s="24"/>
      <x:c r="D19" s="29"/>
      <x:c r="E19" s="24"/>
      <x:c r="F19" s="24"/>
      <x:c r="G19" s="26"/>
      <x:c r="H19" s="30" t="str">
        <x:f t="shared" si="0"/>
      </x:c>
      <x:c r="I19" s="31"/>
      <x:c r="J19" s="24"/>
      <x:c r="K19" s="32"/>
      <x:c r="L19" s="29"/>
    </x:row>
    <x:row r="20" ht="21.75" customHeight="1">
      <x:c r="B20" s="28" t="n">
        <x:f>9</x:f>
        <x:v>9</x:v>
      </x:c>
      <x:c r="C20" s="24"/>
      <x:c r="D20" s="29"/>
      <x:c r="E20" s="24"/>
      <x:c r="F20" s="24"/>
      <x:c r="G20" s="26"/>
      <x:c r="H20" s="30" t="str">
        <x:f t="shared" si="0"/>
      </x:c>
      <x:c r="I20" s="31"/>
      <x:c r="J20" s="24"/>
      <x:c r="K20" s="32"/>
      <x:c r="L20" s="29"/>
    </x:row>
    <x:row r="21" ht="21.75" customHeight="1">
      <x:c r="B21" s="28" t="n">
        <x:f>10</x:f>
        <x:v>10</x:v>
      </x:c>
      <x:c r="C21" s="24"/>
      <x:c r="D21" s="29"/>
      <x:c r="E21" s="24"/>
      <x:c r="F21" s="24"/>
      <x:c r="G21" s="26"/>
      <x:c r="H21" s="30" t="str">
        <x:f t="shared" si="0"/>
      </x:c>
      <x:c r="I21" s="31"/>
      <x:c r="J21" s="24"/>
      <x:c r="K21" s="32"/>
      <x:c r="L21" s="29"/>
    </x:row>
    <x:row r="22" ht="21.75" customHeight="1">
      <x:c r="A22" s="4" t="s">
        <x:v>32</x:v>
      </x:c>
      <x:c r="B22" s="4"/>
      <x:c r="C22" s="4"/>
      <x:c r="D22" s="4"/>
      <x:c r="E22" s="4"/>
      <x:c r="F22" s="4"/>
      <x:c r="G22" s="33" t="n">
        <x:f>IFERROR(SUM(G12:G21),0)</x:f>
        <x:v>0</x:v>
      </x:c>
      <x:c r="H22" s="34" t="n">
        <x:f>IFERROR(SUMIF(G12:G21,"&lt;&gt;",H12:H21),0)</x:f>
        <x:v>0</x:v>
      </x:c>
      <x:c r="I22" s="35" t="str" cm="1">
        <x:f t="array" ref="I22">IFERROR(SUMPRODUCT((G12:G21)*IF(ISNUMBER(_xlfn.SINGLE(I12:I21)),I12:I21,0))/IFERROR(SUM(G12:G21),1),"")</x:f>
      </x:c>
      <x:c r="J22" s="36" t="s">
        <x:v>33</x:v>
      </x:c>
      <x:c r="K22" s="3" t="s">
        <x:v>34</x:v>
      </x:c>
      <x:c r="L22" s="3"/>
      <x:c r="M22" s="3"/>
    </x:row>
    <x:row r="24" ht="9.75" customHeight="1"/>
    <x:row r="25" ht="19.5" customHeight="1">
      <x:c r="A25" s="5" t="str">
        <x:v>  SECTION 2 — OPTIONAL PRELIMINARY HEDGE RESEARCH</x:v>
      </x:c>
      <x:c r="B25" s="5"/>
      <x:c r="C25" s="5"/>
      <x:c r="D25" s="5"/>
      <x:c r="E25" s="5"/>
      <x:c r="F25" s="5"/>
      <x:c r="G25" s="5"/>
      <x:c r="H25" s="5"/>
      <x:c r="I25" s="5"/>
      <x:c r="J25" s="5"/>
      <x:c r="K25" s="5"/>
      <x:c r="L25" s="5"/>
      <x:c r="M25" s="5"/>
    </x:row>
    <x:row r="26" ht="30" customHeight="1">
      <x:c r="A26" s="6" t="str">
        <x:v>A derivative is optional. Use these fields only to support the RISK &amp; HEDGE tab. At most one targeted hedge may be proposed when it solves an identified residual risk; a supported no-hedge conclusion is fully valid.</x:v>
      </x:c>
      <x:c r="B26" s="6"/>
      <x:c r="C26" s="6"/>
      <x:c r="D26" s="6"/>
      <x:c r="E26" s="6"/>
      <x:c r="F26" s="6"/>
      <x:c r="G26" s="6"/>
      <x:c r="H26" s="6"/>
      <x:c r="I26" s="6"/>
      <x:c r="J26" s="6"/>
      <x:c r="K26" s="6"/>
      <x:c r="L26" s="6"/>
      <x:c r="M26" s="6"/>
    </x:row>
    <x:row r="27" ht="21.75" customHeight="1">
      <x:c r="B27" s="23" t="str">
        <x:v>Identified Residual Risk</x:v>
      </x:c>
      <x:c r="C27" s="7"/>
      <x:c r="D27" s="7"/>
      <x:c r="E27" s="7"/>
      <x:c r="F27" s="7"/>
      <x:c r="G27" s="7"/>
      <x:c r="H27" s="7"/>
      <x:c r="I27" s="7"/>
      <x:c r="J27" s="2"/>
      <x:c r="K27" s="2"/>
      <x:c r="L27" s="2"/>
      <x:c r="M27" s="2"/>
    </x:row>
    <x:row r="28" ht="21.75" customHeight="1">
      <x:c r="B28" s="23" t="str">
        <x:v>Preliminary Conclusion</x:v>
      </x:c>
      <x:c r="C28" s="7"/>
      <x:c r="D28" s="7"/>
      <x:c r="E28" s="7"/>
      <x:c r="F28" s="7"/>
      <x:c r="G28" s="7"/>
      <x:c r="H28" s="7"/>
      <x:c r="I28" s="7"/>
      <x:c r="J28" s="2"/>
      <x:c r="K28" s="2"/>
      <x:c r="L28" s="2"/>
      <x:c r="M28" s="2"/>
    </x:row>
    <x:row r="29" ht="21.75" customHeight="1">
      <x:c r="B29" s="23" t="str">
        <x:v>Candidate Instrument (if any)</x:v>
      </x:c>
      <x:c r="C29" s="7"/>
      <x:c r="D29" s="7"/>
      <x:c r="E29" s="7"/>
      <x:c r="F29" s="7"/>
      <x:c r="G29" s="7"/>
      <x:c r="H29" s="7"/>
      <x:c r="I29" s="7"/>
      <x:c r="J29" s="2"/>
      <x:c r="K29" s="2"/>
      <x:c r="L29" s="2"/>
      <x:c r="M29" s="2"/>
    </x:row>
    <x:row r="30" ht="21.75" customHeight="1">
      <x:c r="B30" s="23" t="str">
        <x:v>Preliminary Size</x:v>
      </x:c>
      <x:c r="C30" s="7"/>
      <x:c r="D30" s="7"/>
      <x:c r="E30" s="7"/>
      <x:c r="F30" s="7"/>
      <x:c r="G30" s="7"/>
      <x:c r="H30" s="7"/>
      <x:c r="I30" s="7"/>
      <x:c r="J30" s="2"/>
      <x:c r="K30" s="2"/>
      <x:c r="L30" s="2"/>
      <x:c r="M30" s="2"/>
    </x:row>
    <x:row r="31" ht="21.75" customHeight="1">
      <x:c r="B31" s="23" t="str">
        <x:v>Cost / Liquidity / Trade-Offs</x:v>
      </x:c>
      <x:c r="C31" s="7"/>
      <x:c r="D31" s="7"/>
      <x:c r="E31" s="7"/>
      <x:c r="F31" s="7"/>
      <x:c r="G31" s="7"/>
      <x:c r="H31" s="7"/>
      <x:c r="I31" s="7"/>
      <x:c r="J31" s="2"/>
      <x:c r="K31" s="2"/>
      <x:c r="L31" s="2"/>
      <x:c r="M31" s="2"/>
    </x:row>
    <x:row r="32" ht="21.75" customHeight="1">
      <x:c r="B32" s="23" t="str">
        <x:v>Residual / Basis / Execution Risk</x:v>
      </x:c>
      <x:c r="C32" s="7"/>
      <x:c r="D32" s="7"/>
      <x:c r="E32" s="7"/>
      <x:c r="F32" s="7"/>
      <x:c r="G32" s="7"/>
      <x:c r="H32" s="7"/>
      <x:c r="I32" s="7"/>
      <x:c r="J32" s="2"/>
      <x:c r="K32" s="2"/>
      <x:c r="L32" s="2"/>
      <x:c r="M32" s="2"/>
    </x:row>
    <x:row r="33" ht="21.75" customHeight="1">
      <x:c r="B33" s="23" t="str">
        <x:v>Adjustment / Removal Condition</x:v>
      </x:c>
      <x:c r="C33" s="7"/>
      <x:c r="D33" s="7"/>
      <x:c r="E33" s="7"/>
      <x:c r="F33" s="7"/>
      <x:c r="G33" s="7"/>
      <x:c r="H33" s="7"/>
      <x:c r="I33" s="7"/>
      <x:c r="J33" s="2"/>
      <x:c r="K33" s="2"/>
      <x:c r="L33" s="2"/>
      <x:c r="M33" s="2"/>
    </x:row>
    <x:row r="34" ht="21.75" customHeight="1">
      <x:c r="B34" s="23" t="str">
        <x:v>Owner / Peer Review</x:v>
      </x:c>
      <x:c r="C34" s="7"/>
      <x:c r="D34" s="7"/>
      <x:c r="E34" s="7"/>
      <x:c r="F34" s="7"/>
      <x:c r="G34" s="7"/>
      <x:c r="H34" s="7"/>
      <x:c r="I34" s="7"/>
      <x:c r="J34" s="2"/>
      <x:c r="K34" s="2"/>
      <x:c r="L34" s="2"/>
      <x:c r="M34" s="2"/>
    </x:row>
    <x:row r="35" ht="21.75" customHeight="1">
      <x:c r="B35" s="23" t="str">
        <x:v>Source &amp; As-of Date</x:v>
      </x:c>
      <x:c r="C35" s="7"/>
      <x:c r="D35" s="7"/>
      <x:c r="E35" s="7"/>
      <x:c r="F35" s="7"/>
      <x:c r="G35" s="7"/>
      <x:c r="H35" s="7"/>
      <x:c r="I35" s="7"/>
      <x:c r="J35" s="2"/>
      <x:c r="K35" s="2"/>
      <x:c r="L35" s="2"/>
      <x:c r="M35" s="2"/>
    </x:row>
    <x:row r="36" ht="9.75" customHeight="1"/>
    <x:row r="37" ht="19.5" customHeight="1">
      <x:c r="B37" s="5" t="str">
        <x:v>    Optional Alternative Considered (concise; complete only if it informed the hedge / no-hedge conclusion)</x:v>
      </x:c>
      <x:c r="C37" s="5"/>
      <x:c r="D37" s="5"/>
      <x:c r="E37" s="5"/>
      <x:c r="F37" s="5"/>
      <x:c r="G37" s="5"/>
      <x:c r="H37" s="5"/>
      <x:c r="I37" s="5"/>
      <x:c r="J37" s="5"/>
      <x:c r="K37" s="5"/>
      <x:c r="L37" s="5"/>
      <x:c r="M37" s="5"/>
    </x:row>
    <x:row r="38" ht="30" customHeight="1">
      <x:c r="B38" s="27" t="s">
        <x:v>35</x:v>
      </x:c>
      <x:c r="C38" s="1" t="s">
        <x:v>36</x:v>
      </x:c>
      <x:c r="D38" s="1"/>
      <x:c r="E38" s="1"/>
      <x:c r="F38" s="1" t="s">
        <x:v>37</x:v>
      </x:c>
      <x:c r="G38" s="1"/>
      <x:c r="H38" s="1" t="s">
        <x:v>38</x:v>
      </x:c>
      <x:c r="I38" s="1"/>
      <x:c r="J38" s="1"/>
      <x:c r="K38" s="1" t="s">
        <x:v>39</x:v>
      </x:c>
      <x:c r="L38" s="1"/>
    </x:row>
    <x:row r="39" ht="21.75" customHeight="1">
      <x:c r="B39" s="24"/>
      <x:c r="C39" s="7"/>
      <x:c r="D39" s="7"/>
      <x:c r="E39" s="7"/>
      <x:c r="F39" s="7"/>
      <x:c r="G39" s="7"/>
      <x:c r="H39" s="7"/>
      <x:c r="I39" s="7"/>
      <x:c r="J39" s="7"/>
      <x:c r="K39" s="7"/>
      <x:c r="L39" s="7"/>
    </x:row>
    <x:row r="40" ht="21.75" customHeight="1">
      <x:c r="B40" s="24"/>
      <x:c r="C40" s="7"/>
      <x:c r="D40" s="7"/>
      <x:c r="E40" s="7"/>
      <x:c r="F40" s="7"/>
      <x:c r="G40" s="7"/>
      <x:c r="H40" s="7"/>
      <x:c r="I40" s="7"/>
      <x:c r="J40" s="7"/>
      <x:c r="K40" s="7"/>
      <x:c r="L40" s="7"/>
    </x:row>
    <x:row r="41" ht="9.75" customHeight="1"/>
    <x:row r="42" ht="19.5" customHeight="1">
      <x:c r="A42" s="5" t="str">
        <x:v>  SECTION 3 — CANDIDATE NOTES (NOT FINAL SCORECARDS)</x:v>
      </x:c>
      <x:c r="B42" s="5"/>
      <x:c r="C42" s="5"/>
      <x:c r="D42" s="5"/>
      <x:c r="E42" s="5"/>
      <x:c r="F42" s="5"/>
      <x:c r="G42" s="5"/>
      <x:c r="H42" s="5"/>
      <x:c r="I42" s="5"/>
      <x:c r="J42" s="5"/>
      <x:c r="K42" s="5"/>
      <x:c r="L42" s="5"/>
      <x:c r="M42" s="5"/>
    </x:row>
    <x:row r="43" ht="30" customHeight="1">
      <x:c r="A43" s="8" t="str">
        <x:v>Use a brief candidate note only when it materially supports a final Select or Reject decision. Do not complete one block for every screened name. FINAL SCORECARDS and the Analyst Decision Log are the authoritative final records.</x:v>
      </x:c>
      <x:c r="B43" s="8"/>
      <x:c r="C43" s="8"/>
      <x:c r="D43" s="8"/>
      <x:c r="E43" s="8"/>
      <x:c r="F43" s="8"/>
      <x:c r="G43" s="8"/>
      <x:c r="H43" s="8"/>
      <x:c r="I43" s="8"/>
      <x:c r="J43" s="8"/>
      <x:c r="K43" s="8"/>
      <x:c r="L43" s="8"/>
      <x:c r="M43" s="8"/>
    </x:row>
    <x:row r="44" ht="19.5" customHeight="1">
      <x:c r="A44" s="73" t="str">
        <x:v>  Candidate Note #1</x:v>
      </x:c>
      <x:c r="B44" s="73"/>
      <x:c r="C44" s="73"/>
      <x:c r="D44" s="73"/>
      <x:c r="E44" s="73"/>
      <x:c r="F44" s="73"/>
      <x:c r="G44" s="73"/>
      <x:c r="H44" s="73"/>
      <x:c r="I44" s="73"/>
      <x:c r="J44" s="73"/>
      <x:c r="K44" s="73"/>
      <x:c r="L44" s="73"/>
      <x:c r="M44" s="73"/>
    </x:row>
    <x:row r="45" ht="25.5" customHeight="1">
      <x:c r="B45" s="37" t="s">
        <x:v>40</x:v>
      </x:c>
      <x:c r="C45" s="7"/>
      <x:c r="D45" s="7"/>
      <x:c r="E45" s="7"/>
      <x:c r="F45" s="7"/>
      <x:c r="G45" s="7"/>
      <x:c r="H45" s="7"/>
      <x:c r="I45" s="7"/>
      <x:c r="J45" s="7"/>
      <x:c r="K45" s="7"/>
      <x:c r="L45" s="7"/>
      <x:c r="M45" s="7"/>
    </x:row>
    <x:row r="46" ht="25.5" customHeight="1">
      <x:c r="B46" s="37" t="s">
        <x:v>41</x:v>
      </x:c>
      <x:c r="C46" s="7"/>
      <x:c r="D46" s="7"/>
      <x:c r="E46" s="7"/>
      <x:c r="F46" s="7"/>
      <x:c r="G46" s="7"/>
      <x:c r="H46" s="7"/>
      <x:c r="I46" s="7"/>
      <x:c r="J46" s="7"/>
      <x:c r="K46" s="7"/>
      <x:c r="L46" s="7"/>
      <x:c r="M46" s="7"/>
    </x:row>
    <x:row r="47" ht="25.5" customHeight="1">
      <x:c r="B47" s="37" t="s">
        <x:v>42</x:v>
      </x:c>
      <x:c r="C47" s="7"/>
      <x:c r="D47" s="7"/>
      <x:c r="E47" s="7"/>
      <x:c r="F47" s="7"/>
      <x:c r="G47" s="7"/>
      <x:c r="H47" s="7"/>
      <x:c r="I47" s="7"/>
      <x:c r="J47" s="7"/>
      <x:c r="K47" s="7"/>
      <x:c r="L47" s="7"/>
      <x:c r="M47" s="7"/>
    </x:row>
    <x:row r="48" ht="25.5" customHeight="1">
      <x:c r="B48" s="37" t="s">
        <x:v>43</x:v>
      </x:c>
      <x:c r="C48" s="7"/>
      <x:c r="D48" s="7"/>
      <x:c r="E48" s="7"/>
      <x:c r="F48" s="7"/>
      <x:c r="G48" s="7"/>
      <x:c r="H48" s="7"/>
      <x:c r="I48" s="7"/>
      <x:c r="J48" s="7"/>
      <x:c r="K48" s="7"/>
      <x:c r="L48" s="7"/>
      <x:c r="M48" s="7"/>
    </x:row>
    <x:row r="49" ht="25.5" customHeight="1">
      <x:c r="B49" s="37" t="s">
        <x:v>44</x:v>
      </x:c>
      <x:c r="C49" s="7"/>
      <x:c r="D49" s="7"/>
      <x:c r="E49" s="7"/>
      <x:c r="F49" s="7"/>
      <x:c r="G49" s="7"/>
      <x:c r="H49" s="7"/>
      <x:c r="I49" s="7"/>
      <x:c r="J49" s="7"/>
      <x:c r="K49" s="7"/>
      <x:c r="L49" s="7"/>
      <x:c r="M49" s="7"/>
    </x:row>
    <x:row r="50" ht="25.5" customHeight="1">
      <x:c r="B50" s="37" t="s">
        <x:v>45</x:v>
      </x:c>
      <x:c r="C50" s="7"/>
      <x:c r="D50" s="7"/>
      <x:c r="E50" s="7"/>
      <x:c r="F50" s="7"/>
      <x:c r="G50" s="7"/>
      <x:c r="H50" s="7"/>
      <x:c r="I50" s="7"/>
      <x:c r="J50" s="7"/>
      <x:c r="K50" s="7"/>
      <x:c r="L50" s="7"/>
      <x:c r="M50" s="7"/>
    </x:row>
    <x:row r="51" ht="25.5" customHeight="1">
      <x:c r="B51" s="37" t="s">
        <x:v>46</x:v>
      </x:c>
      <x:c r="C51" s="7"/>
      <x:c r="D51" s="7"/>
      <x:c r="E51" s="7"/>
      <x:c r="F51" s="7"/>
      <x:c r="G51" s="7"/>
      <x:c r="H51" s="7"/>
      <x:c r="I51" s="7"/>
      <x:c r="J51" s="7"/>
      <x:c r="K51" s="7"/>
      <x:c r="L51" s="7"/>
      <x:c r="M51" s="7"/>
    </x:row>
    <x:row r="52" ht="6" customHeight="1"/>
    <x:row r="53" ht="19.5" customHeight="1">
      <x:c r="A53" s="73" t="str">
        <x:v>  Candidate Note #2</x:v>
      </x:c>
      <x:c r="B53" s="73"/>
      <x:c r="C53" s="73"/>
      <x:c r="D53" s="73"/>
      <x:c r="E53" s="73"/>
      <x:c r="F53" s="73"/>
      <x:c r="G53" s="73"/>
      <x:c r="H53" s="73"/>
      <x:c r="I53" s="73"/>
      <x:c r="J53" s="73"/>
      <x:c r="K53" s="73"/>
      <x:c r="L53" s="73"/>
      <x:c r="M53" s="73"/>
    </x:row>
    <x:row r="54" ht="25.5" customHeight="1">
      <x:c r="B54" s="37" t="s">
        <x:v>40</x:v>
      </x:c>
      <x:c r="C54" s="7"/>
      <x:c r="D54" s="7"/>
      <x:c r="E54" s="7"/>
      <x:c r="F54" s="7"/>
      <x:c r="G54" s="7"/>
      <x:c r="H54" s="7"/>
      <x:c r="I54" s="7"/>
      <x:c r="J54" s="7"/>
      <x:c r="K54" s="7"/>
      <x:c r="L54" s="7"/>
      <x:c r="M54" s="7"/>
    </x:row>
    <x:row r="55" ht="25.5" customHeight="1">
      <x:c r="B55" s="37" t="s">
        <x:v>41</x:v>
      </x:c>
      <x:c r="C55" s="7"/>
      <x:c r="D55" s="7"/>
      <x:c r="E55" s="7"/>
      <x:c r="F55" s="7"/>
      <x:c r="G55" s="7"/>
      <x:c r="H55" s="7"/>
      <x:c r="I55" s="7"/>
      <x:c r="J55" s="7"/>
      <x:c r="K55" s="7"/>
      <x:c r="L55" s="7"/>
      <x:c r="M55" s="7"/>
    </x:row>
    <x:row r="56" ht="25.5" customHeight="1">
      <x:c r="B56" s="37" t="s">
        <x:v>42</x:v>
      </x:c>
      <x:c r="C56" s="7"/>
      <x:c r="D56" s="7"/>
      <x:c r="E56" s="7"/>
      <x:c r="F56" s="7"/>
      <x:c r="G56" s="7"/>
      <x:c r="H56" s="7"/>
      <x:c r="I56" s="7"/>
      <x:c r="J56" s="7"/>
      <x:c r="K56" s="7"/>
      <x:c r="L56" s="7"/>
      <x:c r="M56" s="7"/>
    </x:row>
    <x:row r="57" ht="25.5" customHeight="1">
      <x:c r="B57" s="37" t="s">
        <x:v>43</x:v>
      </x:c>
      <x:c r="C57" s="7"/>
      <x:c r="D57" s="7"/>
      <x:c r="E57" s="7"/>
      <x:c r="F57" s="7"/>
      <x:c r="G57" s="7"/>
      <x:c r="H57" s="7"/>
      <x:c r="I57" s="7"/>
      <x:c r="J57" s="7"/>
      <x:c r="K57" s="7"/>
      <x:c r="L57" s="7"/>
      <x:c r="M57" s="7"/>
    </x:row>
    <x:row r="58" ht="25.5" customHeight="1">
      <x:c r="B58" s="37" t="s">
        <x:v>44</x:v>
      </x:c>
      <x:c r="C58" s="7"/>
      <x:c r="D58" s="7"/>
      <x:c r="E58" s="7"/>
      <x:c r="F58" s="7"/>
      <x:c r="G58" s="7"/>
      <x:c r="H58" s="7"/>
      <x:c r="I58" s="7"/>
      <x:c r="J58" s="7"/>
      <x:c r="K58" s="7"/>
      <x:c r="L58" s="7"/>
      <x:c r="M58" s="7"/>
    </x:row>
    <x:row r="59" ht="25.5" customHeight="1">
      <x:c r="B59" s="37" t="s">
        <x:v>45</x:v>
      </x:c>
      <x:c r="C59" s="7"/>
      <x:c r="D59" s="7"/>
      <x:c r="E59" s="7"/>
      <x:c r="F59" s="7"/>
      <x:c r="G59" s="7"/>
      <x:c r="H59" s="7"/>
      <x:c r="I59" s="7"/>
      <x:c r="J59" s="7"/>
      <x:c r="K59" s="7"/>
      <x:c r="L59" s="7"/>
      <x:c r="M59" s="7"/>
    </x:row>
    <x:row r="60" ht="25.5" customHeight="1">
      <x:c r="B60" s="37" t="s">
        <x:v>46</x:v>
      </x:c>
      <x:c r="C60" s="7"/>
      <x:c r="D60" s="7"/>
      <x:c r="E60" s="7"/>
      <x:c r="F60" s="7"/>
      <x:c r="G60" s="7"/>
      <x:c r="H60" s="7"/>
      <x:c r="I60" s="7"/>
      <x:c r="J60" s="7"/>
      <x:c r="K60" s="7"/>
      <x:c r="L60" s="7"/>
      <x:c r="M60" s="7"/>
    </x:row>
    <x:row r="61" ht="6" customHeight="1"/>
    <x:row r="62" ht="19.5" customHeight="1">
      <x:c r="A62" s="73" t="str">
        <x:v>  Candidate Note #3</x:v>
      </x:c>
      <x:c r="B62" s="73"/>
      <x:c r="C62" s="73"/>
      <x:c r="D62" s="73"/>
      <x:c r="E62" s="73"/>
      <x:c r="F62" s="73"/>
      <x:c r="G62" s="73"/>
      <x:c r="H62" s="73"/>
      <x:c r="I62" s="73"/>
      <x:c r="J62" s="73"/>
      <x:c r="K62" s="73"/>
      <x:c r="L62" s="73"/>
      <x:c r="M62" s="73"/>
    </x:row>
    <x:row r="63" ht="25.5" customHeight="1">
      <x:c r="B63" s="37" t="s">
        <x:v>40</x:v>
      </x:c>
      <x:c r="C63" s="7"/>
      <x:c r="D63" s="7"/>
      <x:c r="E63" s="7"/>
      <x:c r="F63" s="7"/>
      <x:c r="G63" s="7"/>
      <x:c r="H63" s="7"/>
      <x:c r="I63" s="7"/>
      <x:c r="J63" s="7"/>
      <x:c r="K63" s="7"/>
      <x:c r="L63" s="7"/>
      <x:c r="M63" s="7"/>
    </x:row>
    <x:row r="64" ht="25.5" customHeight="1">
      <x:c r="B64" s="37" t="s">
        <x:v>41</x:v>
      </x:c>
      <x:c r="C64" s="7"/>
      <x:c r="D64" s="7"/>
      <x:c r="E64" s="7"/>
      <x:c r="F64" s="7"/>
      <x:c r="G64" s="7"/>
      <x:c r="H64" s="7"/>
      <x:c r="I64" s="7"/>
      <x:c r="J64" s="7"/>
      <x:c r="K64" s="7"/>
      <x:c r="L64" s="7"/>
      <x:c r="M64" s="7"/>
    </x:row>
    <x:row r="65" ht="25.5" customHeight="1">
      <x:c r="B65" s="37" t="s">
        <x:v>42</x:v>
      </x:c>
      <x:c r="C65" s="7"/>
      <x:c r="D65" s="7"/>
      <x:c r="E65" s="7"/>
      <x:c r="F65" s="7"/>
      <x:c r="G65" s="7"/>
      <x:c r="H65" s="7"/>
      <x:c r="I65" s="7"/>
      <x:c r="J65" s="7"/>
      <x:c r="K65" s="7"/>
      <x:c r="L65" s="7"/>
      <x:c r="M65" s="7"/>
    </x:row>
    <x:row r="66" ht="25.5" customHeight="1">
      <x:c r="B66" s="37" t="s">
        <x:v>43</x:v>
      </x:c>
      <x:c r="C66" s="7"/>
      <x:c r="D66" s="7"/>
      <x:c r="E66" s="7"/>
      <x:c r="F66" s="7"/>
      <x:c r="G66" s="7"/>
      <x:c r="H66" s="7"/>
      <x:c r="I66" s="7"/>
      <x:c r="J66" s="7"/>
      <x:c r="K66" s="7"/>
      <x:c r="L66" s="7"/>
      <x:c r="M66" s="7"/>
    </x:row>
    <x:row r="67" ht="25.5" customHeight="1">
      <x:c r="B67" s="37" t="s">
        <x:v>44</x:v>
      </x:c>
      <x:c r="C67" s="7"/>
      <x:c r="D67" s="7"/>
      <x:c r="E67" s="7"/>
      <x:c r="F67" s="7"/>
      <x:c r="G67" s="7"/>
      <x:c r="H67" s="7"/>
      <x:c r="I67" s="7"/>
      <x:c r="J67" s="7"/>
      <x:c r="K67" s="7"/>
      <x:c r="L67" s="7"/>
      <x:c r="M67" s="7"/>
    </x:row>
    <x:row r="68" ht="25.5" customHeight="1">
      <x:c r="B68" s="37" t="s">
        <x:v>45</x:v>
      </x:c>
      <x:c r="C68" s="7"/>
      <x:c r="D68" s="7"/>
      <x:c r="E68" s="7"/>
      <x:c r="F68" s="7"/>
      <x:c r="G68" s="7"/>
      <x:c r="H68" s="7"/>
      <x:c r="I68" s="7"/>
      <x:c r="J68" s="7"/>
      <x:c r="K68" s="7"/>
      <x:c r="L68" s="7"/>
      <x:c r="M68" s="7"/>
    </x:row>
    <x:row r="69" ht="25.5" customHeight="1">
      <x:c r="B69" s="37" t="s">
        <x:v>46</x:v>
      </x:c>
      <x:c r="C69" s="7"/>
      <x:c r="D69" s="7"/>
      <x:c r="E69" s="7"/>
      <x:c r="F69" s="7"/>
      <x:c r="G69" s="7"/>
      <x:c r="H69" s="7"/>
      <x:c r="I69" s="7"/>
      <x:c r="J69" s="7"/>
      <x:c r="K69" s="7"/>
      <x:c r="L69" s="7"/>
      <x:c r="M69" s="7"/>
    </x:row>
    <x:row r="70" ht="6" customHeight="1"/>
    <x:row r="71" ht="19.5" customHeight="1">
      <x:c r="A71" s="73" t="str">
        <x:v>  Candidate Note #4</x:v>
      </x:c>
      <x:c r="B71" s="73"/>
      <x:c r="C71" s="73"/>
      <x:c r="D71" s="73"/>
      <x:c r="E71" s="73"/>
      <x:c r="F71" s="73"/>
      <x:c r="G71" s="73"/>
      <x:c r="H71" s="73"/>
      <x:c r="I71" s="73"/>
      <x:c r="J71" s="73"/>
      <x:c r="K71" s="73"/>
      <x:c r="L71" s="73"/>
      <x:c r="M71" s="73"/>
    </x:row>
    <x:row r="72" ht="25.5" customHeight="1">
      <x:c r="B72" s="37" t="s">
        <x:v>40</x:v>
      </x:c>
      <x:c r="C72" s="7"/>
      <x:c r="D72" s="7"/>
      <x:c r="E72" s="7"/>
      <x:c r="F72" s="7"/>
      <x:c r="G72" s="7"/>
      <x:c r="H72" s="7"/>
      <x:c r="I72" s="7"/>
      <x:c r="J72" s="7"/>
      <x:c r="K72" s="7"/>
      <x:c r="L72" s="7"/>
      <x:c r="M72" s="7"/>
    </x:row>
    <x:row r="73" ht="25.5" customHeight="1">
      <x:c r="B73" s="37" t="s">
        <x:v>41</x:v>
      </x:c>
      <x:c r="C73" s="7"/>
      <x:c r="D73" s="7"/>
      <x:c r="E73" s="7"/>
      <x:c r="F73" s="7"/>
      <x:c r="G73" s="7"/>
      <x:c r="H73" s="7"/>
      <x:c r="I73" s="7"/>
      <x:c r="J73" s="7"/>
      <x:c r="K73" s="7"/>
      <x:c r="L73" s="7"/>
      <x:c r="M73" s="7"/>
    </x:row>
    <x:row r="74" ht="25.5" customHeight="1">
      <x:c r="B74" s="37" t="s">
        <x:v>42</x:v>
      </x:c>
      <x:c r="C74" s="7"/>
      <x:c r="D74" s="7"/>
      <x:c r="E74" s="7"/>
      <x:c r="F74" s="7"/>
      <x:c r="G74" s="7"/>
      <x:c r="H74" s="7"/>
      <x:c r="I74" s="7"/>
      <x:c r="J74" s="7"/>
      <x:c r="K74" s="7"/>
      <x:c r="L74" s="7"/>
      <x:c r="M74" s="7"/>
    </x:row>
    <x:row r="75" ht="25.5" customHeight="1">
      <x:c r="B75" s="37" t="s">
        <x:v>43</x:v>
      </x:c>
      <x:c r="C75" s="7"/>
      <x:c r="D75" s="7"/>
      <x:c r="E75" s="7"/>
      <x:c r="F75" s="7"/>
      <x:c r="G75" s="7"/>
      <x:c r="H75" s="7"/>
      <x:c r="I75" s="7"/>
      <x:c r="J75" s="7"/>
      <x:c r="K75" s="7"/>
      <x:c r="L75" s="7"/>
      <x:c r="M75" s="7"/>
    </x:row>
    <x:row r="76" ht="25.5" customHeight="1">
      <x:c r="B76" s="37" t="s">
        <x:v>44</x:v>
      </x:c>
      <x:c r="C76" s="7"/>
      <x:c r="D76" s="7"/>
      <x:c r="E76" s="7"/>
      <x:c r="F76" s="7"/>
      <x:c r="G76" s="7"/>
      <x:c r="H76" s="7"/>
      <x:c r="I76" s="7"/>
      <x:c r="J76" s="7"/>
      <x:c r="K76" s="7"/>
      <x:c r="L76" s="7"/>
      <x:c r="M76" s="7"/>
    </x:row>
    <x:row r="77" ht="25.5" customHeight="1">
      <x:c r="B77" s="37" t="s">
        <x:v>45</x:v>
      </x:c>
      <x:c r="C77" s="7"/>
      <x:c r="D77" s="7"/>
      <x:c r="E77" s="7"/>
      <x:c r="F77" s="7"/>
      <x:c r="G77" s="7"/>
      <x:c r="H77" s="7"/>
      <x:c r="I77" s="7"/>
      <x:c r="J77" s="7"/>
      <x:c r="K77" s="7"/>
      <x:c r="L77" s="7"/>
      <x:c r="M77" s="7"/>
    </x:row>
    <x:row r="78" ht="25.5" customHeight="1">
      <x:c r="B78" s="37" t="s">
        <x:v>46</x:v>
      </x:c>
      <x:c r="C78" s="7"/>
      <x:c r="D78" s="7"/>
      <x:c r="E78" s="7"/>
      <x:c r="F78" s="7"/>
      <x:c r="G78" s="7"/>
      <x:c r="H78" s="7"/>
      <x:c r="I78" s="7"/>
      <x:c r="J78" s="7"/>
      <x:c r="K78" s="7"/>
      <x:c r="L78" s="7"/>
      <x:c r="M78" s="7"/>
    </x:row>
    <x:row r="79" ht="6" customHeight="1"/>
    <x:row r="80" ht="19.5" customHeight="1">
      <x:c r="A80" s="73" t="str">
        <x:v>  Candidate Note #5</x:v>
      </x:c>
      <x:c r="B80" s="73"/>
      <x:c r="C80" s="73"/>
      <x:c r="D80" s="73"/>
      <x:c r="E80" s="73"/>
      <x:c r="F80" s="73"/>
      <x:c r="G80" s="73"/>
      <x:c r="H80" s="73"/>
      <x:c r="I80" s="73"/>
      <x:c r="J80" s="73"/>
      <x:c r="K80" s="73"/>
      <x:c r="L80" s="73"/>
      <x:c r="M80" s="73"/>
    </x:row>
    <x:row r="81" ht="25.5" customHeight="1">
      <x:c r="B81" s="37" t="s">
        <x:v>40</x:v>
      </x:c>
      <x:c r="C81" s="7"/>
      <x:c r="D81" s="7"/>
      <x:c r="E81" s="7"/>
      <x:c r="F81" s="7"/>
      <x:c r="G81" s="7"/>
      <x:c r="H81" s="7"/>
      <x:c r="I81" s="7"/>
      <x:c r="J81" s="7"/>
      <x:c r="K81" s="7"/>
      <x:c r="L81" s="7"/>
      <x:c r="M81" s="7"/>
    </x:row>
    <x:row r="82" ht="25.5" customHeight="1">
      <x:c r="B82" s="37" t="s">
        <x:v>41</x:v>
      </x:c>
      <x:c r="C82" s="7"/>
      <x:c r="D82" s="7"/>
      <x:c r="E82" s="7"/>
      <x:c r="F82" s="7"/>
      <x:c r="G82" s="7"/>
      <x:c r="H82" s="7"/>
      <x:c r="I82" s="7"/>
      <x:c r="J82" s="7"/>
      <x:c r="K82" s="7"/>
      <x:c r="L82" s="7"/>
      <x:c r="M82" s="7"/>
    </x:row>
    <x:row r="83" ht="25.5" customHeight="1">
      <x:c r="B83" s="37" t="s">
        <x:v>42</x:v>
      </x:c>
      <x:c r="C83" s="7"/>
      <x:c r="D83" s="7"/>
      <x:c r="E83" s="7"/>
      <x:c r="F83" s="7"/>
      <x:c r="G83" s="7"/>
      <x:c r="H83" s="7"/>
      <x:c r="I83" s="7"/>
      <x:c r="J83" s="7"/>
      <x:c r="K83" s="7"/>
      <x:c r="L83" s="7"/>
      <x:c r="M83" s="7"/>
    </x:row>
    <x:row r="84" ht="25.5" customHeight="1">
      <x:c r="B84" s="37" t="s">
        <x:v>43</x:v>
      </x:c>
      <x:c r="C84" s="7"/>
      <x:c r="D84" s="7"/>
      <x:c r="E84" s="7"/>
      <x:c r="F84" s="7"/>
      <x:c r="G84" s="7"/>
      <x:c r="H84" s="7"/>
      <x:c r="I84" s="7"/>
      <x:c r="J84" s="7"/>
      <x:c r="K84" s="7"/>
      <x:c r="L84" s="7"/>
      <x:c r="M84" s="7"/>
    </x:row>
    <x:row r="85" ht="25.5" customHeight="1">
      <x:c r="B85" s="37" t="s">
        <x:v>44</x:v>
      </x:c>
      <x:c r="C85" s="7"/>
      <x:c r="D85" s="7"/>
      <x:c r="E85" s="7"/>
      <x:c r="F85" s="7"/>
      <x:c r="G85" s="7"/>
      <x:c r="H85" s="7"/>
      <x:c r="I85" s="7"/>
      <x:c r="J85" s="7"/>
      <x:c r="K85" s="7"/>
      <x:c r="L85" s="7"/>
      <x:c r="M85" s="7"/>
    </x:row>
    <x:row r="86" ht="25.5" customHeight="1">
      <x:c r="B86" s="37" t="s">
        <x:v>45</x:v>
      </x:c>
      <x:c r="C86" s="7"/>
      <x:c r="D86" s="7"/>
      <x:c r="E86" s="7"/>
      <x:c r="F86" s="7"/>
      <x:c r="G86" s="7"/>
      <x:c r="H86" s="7"/>
      <x:c r="I86" s="7"/>
      <x:c r="J86" s="7"/>
      <x:c r="K86" s="7"/>
      <x:c r="L86" s="7"/>
      <x:c r="M86" s="7"/>
    </x:row>
    <x:row r="87" ht="25.5" customHeight="1">
      <x:c r="B87" s="37" t="s">
        <x:v>46</x:v>
      </x:c>
      <x:c r="C87" s="7"/>
      <x:c r="D87" s="7"/>
      <x:c r="E87" s="7"/>
      <x:c r="F87" s="7"/>
      <x:c r="G87" s="7"/>
      <x:c r="H87" s="7"/>
      <x:c r="I87" s="7"/>
      <x:c r="J87" s="7"/>
      <x:c r="K87" s="7"/>
      <x:c r="L87" s="7"/>
      <x:c r="M87" s="7"/>
    </x:row>
    <x:row r="88" ht="6" customHeight="1"/>
    <x:row r="89" ht="27.75" customHeight="1">
      <x:c r="A89" s="74" t="str">
        <x:v>  ▲ Do not add a note block unless it materially supports a final Select or Reject decision. Full analysis is not required for every screened candidate.</x:v>
      </x:c>
      <x:c r="B89" s="74"/>
      <x:c r="C89" s="74"/>
      <x:c r="D89" s="74"/>
      <x:c r="E89" s="74"/>
      <x:c r="F89" s="74"/>
      <x:c r="G89" s="74"/>
      <x:c r="H89" s="74"/>
      <x:c r="I89" s="74"/>
      <x:c r="J89" s="74"/>
      <x:c r="K89" s="74"/>
      <x:c r="L89" s="74"/>
      <x:c r="M89" s="74"/>
    </x:row>
    <x:row r="91" ht="9.75" customHeight="1"/>
    <x:row r="92" ht="19.5" customHeight="1">
      <x:c r="A92" s="5" t="s">
        <x:v>47</x:v>
      </x:c>
      <x:c r="B92" s="5"/>
      <x:c r="C92" s="5"/>
      <x:c r="D92" s="5"/>
      <x:c r="E92" s="5"/>
      <x:c r="F92" s="5"/>
      <x:c r="G92" s="5"/>
      <x:c r="H92" s="5"/>
      <x:c r="I92" s="5"/>
      <x:c r="J92" s="5"/>
      <x:c r="K92" s="5"/>
      <x:c r="L92" s="5"/>
      <x:c r="M92" s="5"/>
    </x:row>
    <x:row r="93" ht="18" customHeight="1">
      <x:c r="B93" s="38" t="s">
        <x:v>48</x:v>
      </x:c>
      <x:c r="C93" s="75" t="s">
        <x:v>49</x:v>
      </x:c>
      <x:c r="D93" s="75"/>
      <x:c r="E93" s="75"/>
      <x:c r="F93" s="75"/>
      <x:c r="G93" s="75"/>
      <x:c r="H93" s="75"/>
      <x:c r="I93" s="75"/>
      <x:c r="J93" s="75"/>
      <x:c r="K93" s="75"/>
      <x:c r="L93" s="75"/>
      <x:c r="M93" s="75"/>
    </x:row>
    <x:row r="94" ht="18" customHeight="1">
      <x:c r="B94" s="39" t="s">
        <x:v>48</x:v>
      </x:c>
      <x:c r="C94" s="75" t="s">
        <x:v>50</x:v>
      </x:c>
      <x:c r="D94" s="75"/>
      <x:c r="E94" s="75"/>
      <x:c r="F94" s="75"/>
      <x:c r="G94" s="75"/>
      <x:c r="H94" s="75"/>
      <x:c r="I94" s="75"/>
      <x:c r="J94" s="75"/>
      <x:c r="K94" s="75"/>
      <x:c r="L94" s="75"/>
      <x:c r="M94" s="75"/>
    </x:row>
    <x:row r="95" ht="18" customHeight="1">
      <x:c r="B95" s="40" t="s">
        <x:v>48</x:v>
      </x:c>
      <x:c r="C95" s="75" t="s">
        <x:v>51</x:v>
      </x:c>
      <x:c r="D95" s="75"/>
      <x:c r="E95" s="75"/>
      <x:c r="F95" s="75"/>
      <x:c r="G95" s="75"/>
      <x:c r="H95" s="75"/>
      <x:c r="I95" s="75"/>
      <x:c r="J95" s="75"/>
      <x:c r="K95" s="75"/>
      <x:c r="L95" s="75"/>
      <x:c r="M95" s="75"/>
    </x:row>
    <x:row r="96" ht="18" customHeight="1">
      <x:c r="B96" s="41" t="s">
        <x:v>48</x:v>
      </x:c>
      <x:c r="C96" s="75" t="s">
        <x:v>52</x:v>
      </x:c>
      <x:c r="D96" s="75"/>
      <x:c r="E96" s="75"/>
      <x:c r="F96" s="75"/>
      <x:c r="G96" s="75"/>
      <x:c r="H96" s="75"/>
      <x:c r="I96" s="75"/>
      <x:c r="J96" s="75"/>
      <x:c r="K96" s="75"/>
      <x:c r="L96" s="75"/>
      <x:c r="M96" s="75"/>
    </x:row>
    <x:row r="97" ht="18" customHeight="1">
      <x:c r="B97" s="42" t="s">
        <x:v>48</x:v>
      </x:c>
      <x:c r="C97" s="75" t="s">
        <x:v>53</x:v>
      </x:c>
      <x:c r="D97" s="75"/>
      <x:c r="E97" s="75"/>
      <x:c r="F97" s="75"/>
      <x:c r="G97" s="75"/>
      <x:c r="H97" s="75"/>
      <x:c r="I97" s="75"/>
      <x:c r="J97" s="75"/>
      <x:c r="K97" s="75"/>
      <x:c r="L97" s="75"/>
      <x:c r="M97" s="75"/>
    </x:row>
  </x:sheetData>
  <x:mergeCells>
    <x:mergeCell ref="C94:M94"/>
    <x:mergeCell ref="C95:M95"/>
    <x:mergeCell ref="C96:M96"/>
    <x:mergeCell ref="C97:M97"/>
    <x:mergeCell ref="C86:M86"/>
    <x:mergeCell ref="C87:M87"/>
    <x:mergeCell ref="A89:M89"/>
    <x:mergeCell ref="A92:M92"/>
    <x:mergeCell ref="C93:M93"/>
    <x:mergeCell ref="C81:M81"/>
    <x:mergeCell ref="C82:M82"/>
    <x:mergeCell ref="C83:M83"/>
    <x:mergeCell ref="C84:M84"/>
    <x:mergeCell ref="C85:M85"/>
    <x:mergeCell ref="C75:M75"/>
    <x:mergeCell ref="C76:M76"/>
    <x:mergeCell ref="C77:M77"/>
    <x:mergeCell ref="C78:M78"/>
    <x:mergeCell ref="A80:M80"/>
    <x:mergeCell ref="C69:M69"/>
    <x:mergeCell ref="A71:M71"/>
    <x:mergeCell ref="C72:M72"/>
    <x:mergeCell ref="C73:M73"/>
    <x:mergeCell ref="C74:M74"/>
    <x:mergeCell ref="C64:M64"/>
    <x:mergeCell ref="C65:M65"/>
    <x:mergeCell ref="C66:M66"/>
    <x:mergeCell ref="C67:M67"/>
    <x:mergeCell ref="C68:M68"/>
    <x:mergeCell ref="C58:M58"/>
    <x:mergeCell ref="C59:M59"/>
    <x:mergeCell ref="C60:M60"/>
    <x:mergeCell ref="A62:M62"/>
    <x:mergeCell ref="C63:M63"/>
    <x:mergeCell ref="A53:M53"/>
    <x:mergeCell ref="C54:M54"/>
    <x:mergeCell ref="C55:M55"/>
    <x:mergeCell ref="C56:M56"/>
    <x:mergeCell ref="C57:M57"/>
    <x:mergeCell ref="C47:M47"/>
    <x:mergeCell ref="C48:M48"/>
    <x:mergeCell ref="C49:M49"/>
    <x:mergeCell ref="C50:M50"/>
    <x:mergeCell ref="C51:M51"/>
    <x:mergeCell ref="A42:M42"/>
    <x:mergeCell ref="A43:M43"/>
    <x:mergeCell ref="A44:M44"/>
    <x:mergeCell ref="C45:M45"/>
    <x:mergeCell ref="C46:M46"/>
    <x:mergeCell ref="C39:E39"/>
    <x:mergeCell ref="F39:G39"/>
    <x:mergeCell ref="H39:J39"/>
    <x:mergeCell ref="K39:L39"/>
    <x:mergeCell ref="C40:E40"/>
    <x:mergeCell ref="F40:G40"/>
    <x:mergeCell ref="H40:J40"/>
    <x:mergeCell ref="K40:L40"/>
    <x:mergeCell ref="B37:M37"/>
    <x:mergeCell ref="C38:E38"/>
    <x:mergeCell ref="F38:G38"/>
    <x:mergeCell ref="H38:J38"/>
    <x:mergeCell ref="K38:L38"/>
    <x:mergeCell ref="C33:I33"/>
    <x:mergeCell ref="J33:M33"/>
    <x:mergeCell ref="C34:I34"/>
    <x:mergeCell ref="J34:M34"/>
    <x:mergeCell ref="C35:I35"/>
    <x:mergeCell ref="J35:M35"/>
    <x:mergeCell ref="C30:I30"/>
    <x:mergeCell ref="J30:M30"/>
    <x:mergeCell ref="C31:I31"/>
    <x:mergeCell ref="J31:M31"/>
    <x:mergeCell ref="C32:I32"/>
    <x:mergeCell ref="J32:M32"/>
    <x:mergeCell ref="C27:I27"/>
    <x:mergeCell ref="J27:M27"/>
    <x:mergeCell ref="C28:I28"/>
    <x:mergeCell ref="J28:M28"/>
    <x:mergeCell ref="C29:I29"/>
    <x:mergeCell ref="J29:M29"/>
    <x:mergeCell ref="A10:M10"/>
    <x:mergeCell ref="A22:F22"/>
    <x:mergeCell ref="K22:M22"/>
    <x:mergeCell ref="A25:M25"/>
    <x:mergeCell ref="A26:M26"/>
    <x:mergeCell ref="A2:M2"/>
    <x:mergeCell ref="A3:M3"/>
    <x:mergeCell ref="K5:L5"/>
    <x:mergeCell ref="A7:M7"/>
    <x:mergeCell ref="A9:M9"/>
  </x:mergeCells>
  <x:conditionalFormatting sqref="G22:G22">
    <x:cfRule type="cellIs" dxfId="3" priority="22" operator="equal">
      <x:formula>1</x:formula>
    </x:cfRule>
    <x:cfRule type="cellIs" dxfId="2" priority="23" operator="notEqual">
      <x:formula>1</x:formula>
    </x:cfRule>
  </x:conditionalFormatting>
  <x:conditionalFormatting sqref="J12:J21">
    <x:cfRule type="expression" dxfId="1" priority="2">
      <x:formula>J12="NO"</x:formula>
    </x:cfRule>
    <x:cfRule type="expression" dxfId="0" priority="3">
      <x:formula>J12="YES"</x:formula>
    </x:cfRule>
  </x:conditionalFormatting>
  <x:dataValidations count="3">
    <x:dataValidation type="list" allowBlank="1" showErrorMessage="1" errorTitle="Invalid" error="Select from dropdown list." sqref="E12:E21">
      <x:formula1>"U.S. Equities,Fixed Income,Cash / Equiv.,International Equity,Real Estate / REIT,Commodities,Derivatives,Other"</x:formula1>
      <x:formula2>0</x:formula2>
    </x:dataValidation>
    <x:dataValidation type="list" allowBlank="1"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ad61774c6b024380"/>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1" width="16" hidden="0" customWidth="1"/>
    <x:col min="2" max="3" width="18" customWidth="1"/>
    <x:col min="4" max="4" width="24" hidden="0" customWidth="1"/>
    <x:col min="5" max="5" width="14" hidden="0" customWidth="1"/>
    <x:col min="6" max="6" width="24" hidden="0" customWidth="1"/>
    <x:col min="7" max="7" width="28" hidden="0" customWidth="1"/>
    <x:col min="8" max="8" width="13" hidden="0" customWidth="1"/>
    <x:col min="9" max="10" width="24" customWidth="1"/>
    <x:col min="11" max="11" width="26" hidden="0" customWidth="1"/>
    <x:col min="12" max="13" width="18" customWidth="1"/>
    <x:col min="14" max="14" width="20" hidden="0" customWidth="1"/>
    <x:col min="15" max="16" width="18" customWidth="1"/>
    <x:col min="17" max="17" width="28" hidden="0" customWidth="1"/>
    <x:col min="18" max="18" width="24" hidden="0" customWidth="1"/>
    <x:col min="19" max="19" width="26" hidden="0" customWidth="1"/>
    <x:col min="20" max="21" width="22" customWidth="1"/>
    <x:col min="22" max="22" width="20" hidden="0" customWidth="1"/>
    <x:col min="23" max="23" width="17" hidden="0" customWidth="1"/>
    <x:col min="2" max="2" width="18" hidden="0" customWidth="1"/>
    <x:col min="3" max="3" width="18" hidden="0" customWidth="1"/>
    <x:col min="9" max="9" width="24" hidden="0" customWidth="1"/>
    <x:col min="10" max="10" width="24" hidden="0" customWidth="1"/>
    <x:col min="12" max="12" width="18" hidden="0" customWidth="1"/>
    <x:col min="13" max="13" width="18" hidden="0" customWidth="1"/>
    <x:col min="15" max="15" width="18" hidden="0" customWidth="1"/>
    <x:col min="16" max="16" width="18" hidden="0" customWidth="1"/>
    <x:col min="20" max="20" width="22" hidden="0" customWidth="1"/>
    <x:col min="21" max="21" width="22" hidden="0" customWidth="1"/>
  </x:cols>
  <x:sheetData>
    <x:row r="1" ht="34" customHeight="1">
      <x:c r="A1" s="1250" t="str">
        <x:v>BUS 331 — Issuer Reality Check</x:v>
      </x:c>
      <x:c r="B1" s="1250"/>
      <x:c r="C1" s="1250"/>
      <x:c r="D1" s="1250"/>
      <x:c r="E1" s="1250"/>
      <x:c r="F1" s="1250"/>
      <x:c r="G1" s="1250"/>
      <x:c r="H1" s="1250"/>
      <x:c r="I1" s="1250"/>
      <x:c r="J1" s="1250"/>
      <x:c r="K1" s="1250"/>
      <x:c r="L1" s="1250"/>
      <x:c r="M1" s="1250"/>
      <x:c r="N1" s="1250"/>
      <x:c r="O1" s="1250"/>
      <x:c r="P1" s="1250"/>
      <x:c r="Q1" s="1250"/>
      <x:c r="R1" s="1250"/>
      <x:c r="S1" s="1250"/>
      <x:c r="T1" s="1250"/>
      <x:c r="U1" s="1250"/>
      <x:c r="V1" s="1250"/>
      <x:c r="W1" s="1250"/>
    </x:row>
    <x:row r="2">
      <x:c r="A2" s="1393" t="str">
        <x:v>Required inside Security Analysis and Selection — not a separate accounting unit</x:v>
      </x:c>
      <x:c r="B2" s="1393"/>
      <x:c r="C2" s="1393"/>
      <x:c r="D2" s="1393"/>
      <x:c r="E2" s="1393"/>
      <x:c r="F2" s="1393"/>
      <x:c r="G2" s="1393"/>
      <x:c r="H2" s="1393"/>
      <x:c r="I2" s="1393"/>
      <x:c r="J2" s="1393"/>
      <x:c r="K2" s="1393"/>
      <x:c r="L2" s="1393"/>
      <x:c r="M2" s="1393"/>
      <x:c r="N2" s="1393"/>
      <x:c r="O2" s="1393"/>
      <x:c r="P2" s="1393"/>
      <x:c r="Q2" s="1393"/>
      <x:c r="R2" s="1393"/>
      <x:c r="S2" s="1393"/>
      <x:c r="T2" s="1393"/>
      <x:c r="U2" s="1393"/>
      <x:c r="V2" s="1393"/>
      <x:c r="W2" s="1393"/>
    </x:row>
    <x:row r="4" ht="40" customHeight="1">
      <x:c r="A4" s="1397" t="str">
        <x:v>DECISION RULE — Yield or recent return alone cannot support a recommendation. Evidence the issuer's financial health, operating outlook, and relevance to the client's mandate.</x:v>
      </x:c>
      <x:c r="B4" s="1397"/>
      <x:c r="C4" s="1397"/>
      <x:c r="D4" s="1397"/>
      <x:c r="E4" s="1397"/>
      <x:c r="F4" s="1397"/>
      <x:c r="G4" s="1397"/>
      <x:c r="H4" s="1397"/>
      <x:c r="I4" s="1397"/>
      <x:c r="J4" s="1397"/>
      <x:c r="K4" s="1397"/>
      <x:c r="L4" s="1397"/>
      <x:c r="M4" s="1397"/>
      <x:c r="N4" s="1397"/>
      <x:c r="O4" s="1397"/>
      <x:c r="P4" s="1397"/>
      <x:c r="Q4" s="1397"/>
      <x:c r="R4" s="1397"/>
      <x:c r="S4" s="1397"/>
      <x:c r="T4" s="1397"/>
      <x:c r="U4" s="1397"/>
      <x:c r="V4" s="1397"/>
      <x:c r="W4" s="1397"/>
    </x:row>
    <x:row r="5" ht="34" customHeight="1">
      <x:c r="A5" s="1358" t="str">
        <x:v>APPLIES TO — Every direct individual security. For a selected fund or ETF, complete look-through issuer analysis only when one holding is material to the exposure, concentration, or risk conclusion; do not duplicate the final-holding scorecard.</x:v>
      </x:c>
      <x:c r="B5" s="1358"/>
      <x:c r="C5" s="1358"/>
      <x:c r="D5" s="1358"/>
      <x:c r="E5" s="1358"/>
      <x:c r="F5" s="1358"/>
      <x:c r="G5" s="1358"/>
      <x:c r="H5" s="1358"/>
      <x:c r="I5" s="1358"/>
      <x:c r="J5" s="1358"/>
      <x:c r="K5" s="1358"/>
      <x:c r="L5" s="1358"/>
      <x:c r="M5" s="1358"/>
      <x:c r="N5" s="1358"/>
      <x:c r="O5" s="1358"/>
      <x:c r="P5" s="1358"/>
      <x:c r="Q5" s="1358"/>
      <x:c r="R5" s="1358"/>
      <x:c r="S5" s="1358"/>
      <x:c r="T5" s="1358"/>
      <x:c r="U5" s="1358"/>
      <x:c r="V5" s="1358"/>
      <x:c r="W5" s="1358"/>
    </x:row>
    <x:row r="7" ht="38" customHeight="1">
      <x:c r="A7" s="1254" t="str">
        <x:v>ROLE HANDOFF — Fixed-Income: duration/credit/income  |  Equity: equity funds/ETFs and limited individual equities  |  Client &amp; Macro: mandate/scenario fit  |  Portfolio Manager: final selection/weights/trade-offs  |  Risk &amp; Derivatives: stress and residual risk</x:v>
      </x:c>
      <x:c r="B7" s="1254"/>
      <x:c r="C7" s="1254"/>
      <x:c r="D7" s="1254"/>
      <x:c r="E7" s="1254"/>
      <x:c r="F7" s="1254"/>
      <x:c r="G7" s="1254"/>
      <x:c r="H7" s="1254"/>
      <x:c r="I7" s="1254"/>
      <x:c r="J7" s="1254"/>
      <x:c r="K7" s="1254"/>
      <x:c r="L7" s="1254"/>
      <x:c r="M7" s="1254"/>
      <x:c r="N7" s="1254"/>
      <x:c r="O7" s="1254"/>
      <x:c r="P7" s="1254"/>
      <x:c r="Q7" s="1254"/>
      <x:c r="R7" s="1254"/>
      <x:c r="S7" s="1254"/>
      <x:c r="T7" s="1254"/>
      <x:c r="U7" s="1254"/>
      <x:c r="V7" s="1254"/>
      <x:c r="W7" s="1254"/>
    </x:row>
    <x:row r="9">
      <x:c r="A9" s="1401" t="str">
        <x:v>EXPOSURE &amp; EVIDENCE</x:v>
      </x:c>
      <x:c r="B9" s="1401"/>
      <x:c r="C9" s="1401"/>
      <x:c r="D9" s="1401"/>
      <x:c r="E9" s="1401"/>
      <x:c r="F9" s="1401"/>
      <x:c r="G9" s="1401"/>
      <x:c r="H9" s="1401"/>
      <x:c r="I9" s="1405" t="str">
        <x:v>ISSUER HEALTH &amp; OUTLOOK</x:v>
      </x:c>
      <x:c r="J9" s="1405"/>
      <x:c r="K9" s="1405"/>
      <x:c r="L9" s="1405"/>
      <x:c r="M9" s="1405"/>
      <x:c r="N9" s="1405"/>
      <x:c r="O9" s="1405"/>
      <x:c r="P9" s="1405"/>
      <x:c r="Q9" s="1405"/>
      <x:c r="R9" s="1409" t="str">
        <x:v>RISK, CLIENT FIT &amp; ALLOCATION</x:v>
      </x:c>
      <x:c r="S9" s="1409"/>
      <x:c r="T9" s="1409"/>
      <x:c r="U9" s="1409"/>
      <x:c r="V9" s="1413" t="str">
        <x:v>REVIEW</x:v>
      </x:c>
      <x:c r="W9" s="1413"/>
    </x:row>
    <x:row r="10" ht="58" customHeight="1">
      <x:c r="A10" s="1424" t="str">
        <x:v>Client</x:v>
      </x:c>
      <x:c r="B10" s="1425" t="str">
        <x:v>Exposure Type</x:v>
      </x:c>
      <x:c r="C10" s="1425" t="str">
        <x:v>Security / Fund</x:v>
      </x:c>
      <x:c r="D10" s="1425" t="str">
        <x:v>Issuer / Look-Through Holding</x:v>
      </x:c>
      <x:c r="E10" s="1425" t="str">
        <x:v>Portfolio Weight</x:v>
      </x:c>
      <x:c r="F10" s="1425" t="str">
        <x:v>Primary Owner</x:v>
      </x:c>
      <x:c r="G10" s="1425" t="str">
        <x:v>Source / URL</x:v>
      </x:c>
      <x:c r="H10" s="1425" t="str">
        <x:v>As-of Date</x:v>
      </x:c>
      <x:c r="I10" s="1425" t="str">
        <x:v>Business Model</x:v>
      </x:c>
      <x:c r="J10" s="1425" t="str">
        <x:v>Revenue Drivers</x:v>
      </x:c>
      <x:c r="K10" s="1425" t="str">
        <x:v>Industry / Macro Sensitivity</x:v>
      </x:c>
      <x:c r="L10" s="1425" t="str">
        <x:v>Revenue Trend</x:v>
      </x:c>
      <x:c r="M10" s="1425" t="str">
        <x:v>Margin Trend</x:v>
      </x:c>
      <x:c r="N10" s="1425" t="str">
        <x:v>Cash-Flow Trend</x:v>
      </x:c>
      <x:c r="O10" s="1425" t="str">
        <x:v>Liquidity</x:v>
      </x:c>
      <x:c r="P10" s="1425" t="str">
        <x:v>Leverage</x:v>
      </x:c>
      <x:c r="Q10" s="1425" t="str">
        <x:v>Interest Coverage / Debt Maturities (if relevant)</x:v>
      </x:c>
      <x:c r="R10" s="1425" t="str">
        <x:v>Issuer-Specific Risk</x:v>
      </x:c>
      <x:c r="S10" s="1425" t="str">
        <x:v>Client-Fit Conclusion</x:v>
      </x:c>
      <x:c r="T10" s="1425" t="str">
        <x:v>Allocation Implication</x:v>
      </x:c>
      <x:c r="U10" s="1425" t="str">
        <x:v>Monitoring Trigger</x:v>
      </x:c>
      <x:c r="V10" s="1425" t="str">
        <x:v>Peer Reviewer</x:v>
      </x:c>
      <x:c r="W10" s="1426" t="str">
        <x:v>Status</x:v>
      </x:c>
    </x:row>
    <x:row r="11" ht="64" customHeight="1">
      <x:c r="A11" s="1454"/>
      <x:c r="B11" s="1455"/>
      <x:c r="C11" s="1455"/>
      <x:c r="D11" s="1455"/>
      <x:c r="E11" s="1466"/>
      <x:c r="F11" s="1455"/>
      <x:c r="G11" s="1455"/>
      <x:c r="H11" s="1469"/>
      <x:c r="I11" s="1446"/>
      <x:c r="J11" s="1446"/>
      <x:c r="K11" s="1446"/>
      <x:c r="L11" s="1446"/>
      <x:c r="M11" s="1446"/>
      <x:c r="N11" s="1446"/>
      <x:c r="O11" s="1446"/>
      <x:c r="P11" s="1446"/>
      <x:c r="Q11" s="1446"/>
      <x:c r="R11" s="1446"/>
      <x:c r="S11" s="1446"/>
      <x:c r="T11" s="1446"/>
      <x:c r="U11" s="1446"/>
      <x:c r="V11" s="1460"/>
      <x:c r="W11" s="1461"/>
    </x:row>
    <x:row r="12" ht="64" customHeight="1">
      <x:c r="A12" s="1456"/>
      <x:c r="B12" s="1457"/>
      <x:c r="C12" s="1457"/>
      <x:c r="D12" s="1457"/>
      <x:c r="E12" s="1467"/>
      <x:c r="F12" s="1457"/>
      <x:c r="G12" s="1457"/>
      <x:c r="H12" s="1470"/>
      <x:c r="I12" s="1449"/>
      <x:c r="J12" s="1449"/>
      <x:c r="K12" s="1449"/>
      <x:c r="L12" s="1449"/>
      <x:c r="M12" s="1449"/>
      <x:c r="N12" s="1449"/>
      <x:c r="O12" s="1449"/>
      <x:c r="P12" s="1449"/>
      <x:c r="Q12" s="1449"/>
      <x:c r="R12" s="1449"/>
      <x:c r="S12" s="1449"/>
      <x:c r="T12" s="1449"/>
      <x:c r="U12" s="1449"/>
      <x:c r="V12" s="1462"/>
      <x:c r="W12" s="1463"/>
    </x:row>
    <x:row r="13" ht="64" customHeight="1">
      <x:c r="A13" s="1456"/>
      <x:c r="B13" s="1457"/>
      <x:c r="C13" s="1457"/>
      <x:c r="D13" s="1457"/>
      <x:c r="E13" s="1467"/>
      <x:c r="F13" s="1457"/>
      <x:c r="G13" s="1457"/>
      <x:c r="H13" s="1470"/>
      <x:c r="I13" s="1449"/>
      <x:c r="J13" s="1449"/>
      <x:c r="K13" s="1449"/>
      <x:c r="L13" s="1449"/>
      <x:c r="M13" s="1449"/>
      <x:c r="N13" s="1449"/>
      <x:c r="O13" s="1449"/>
      <x:c r="P13" s="1449"/>
      <x:c r="Q13" s="1449"/>
      <x:c r="R13" s="1449"/>
      <x:c r="S13" s="1449"/>
      <x:c r="T13" s="1449"/>
      <x:c r="U13" s="1449"/>
      <x:c r="V13" s="1462"/>
      <x:c r="W13" s="1463"/>
    </x:row>
    <x:row r="14" ht="64" customHeight="1">
      <x:c r="A14" s="1456"/>
      <x:c r="B14" s="1457"/>
      <x:c r="C14" s="1457"/>
      <x:c r="D14" s="1457"/>
      <x:c r="E14" s="1467"/>
      <x:c r="F14" s="1457"/>
      <x:c r="G14" s="1457"/>
      <x:c r="H14" s="1470"/>
      <x:c r="I14" s="1449"/>
      <x:c r="J14" s="1449"/>
      <x:c r="K14" s="1449"/>
      <x:c r="L14" s="1449"/>
      <x:c r="M14" s="1449"/>
      <x:c r="N14" s="1449"/>
      <x:c r="O14" s="1449"/>
      <x:c r="P14" s="1449"/>
      <x:c r="Q14" s="1449"/>
      <x:c r="R14" s="1449"/>
      <x:c r="S14" s="1449"/>
      <x:c r="T14" s="1449"/>
      <x:c r="U14" s="1449"/>
      <x:c r="V14" s="1462"/>
      <x:c r="W14" s="1463"/>
    </x:row>
    <x:row r="15" ht="64" customHeight="1">
      <x:c r="A15" s="1456"/>
      <x:c r="B15" s="1457"/>
      <x:c r="C15" s="1457"/>
      <x:c r="D15" s="1457"/>
      <x:c r="E15" s="1467"/>
      <x:c r="F15" s="1457"/>
      <x:c r="G15" s="1457"/>
      <x:c r="H15" s="1470"/>
      <x:c r="I15" s="1449"/>
      <x:c r="J15" s="1449"/>
      <x:c r="K15" s="1449"/>
      <x:c r="L15" s="1449"/>
      <x:c r="M15" s="1449"/>
      <x:c r="N15" s="1449"/>
      <x:c r="O15" s="1449"/>
      <x:c r="P15" s="1449"/>
      <x:c r="Q15" s="1449"/>
      <x:c r="R15" s="1449"/>
      <x:c r="S15" s="1449"/>
      <x:c r="T15" s="1449"/>
      <x:c r="U15" s="1449"/>
      <x:c r="V15" s="1462"/>
      <x:c r="W15" s="1463"/>
    </x:row>
    <x:row r="16" ht="64" customHeight="1">
      <x:c r="A16" s="1456"/>
      <x:c r="B16" s="1457"/>
      <x:c r="C16" s="1457"/>
      <x:c r="D16" s="1457"/>
      <x:c r="E16" s="1467"/>
      <x:c r="F16" s="1457"/>
      <x:c r="G16" s="1457"/>
      <x:c r="H16" s="1470"/>
      <x:c r="I16" s="1449"/>
      <x:c r="J16" s="1449"/>
      <x:c r="K16" s="1449"/>
      <x:c r="L16" s="1449"/>
      <x:c r="M16" s="1449"/>
      <x:c r="N16" s="1449"/>
      <x:c r="O16" s="1449"/>
      <x:c r="P16" s="1449"/>
      <x:c r="Q16" s="1449"/>
      <x:c r="R16" s="1449"/>
      <x:c r="S16" s="1449"/>
      <x:c r="T16" s="1449"/>
      <x:c r="U16" s="1449"/>
      <x:c r="V16" s="1462"/>
      <x:c r="W16" s="1463"/>
    </x:row>
    <x:row r="17" ht="64" customHeight="1">
      <x:c r="A17" s="1456"/>
      <x:c r="B17" s="1457"/>
      <x:c r="C17" s="1457"/>
      <x:c r="D17" s="1457"/>
      <x:c r="E17" s="1467"/>
      <x:c r="F17" s="1457"/>
      <x:c r="G17" s="1457"/>
      <x:c r="H17" s="1470"/>
      <x:c r="I17" s="1449"/>
      <x:c r="J17" s="1449"/>
      <x:c r="K17" s="1449"/>
      <x:c r="L17" s="1449"/>
      <x:c r="M17" s="1449"/>
      <x:c r="N17" s="1449"/>
      <x:c r="O17" s="1449"/>
      <x:c r="P17" s="1449"/>
      <x:c r="Q17" s="1449"/>
      <x:c r="R17" s="1449"/>
      <x:c r="S17" s="1449"/>
      <x:c r="T17" s="1449"/>
      <x:c r="U17" s="1449"/>
      <x:c r="V17" s="1462"/>
      <x:c r="W17" s="1463"/>
    </x:row>
    <x:row r="18" ht="64" customHeight="1">
      <x:c r="A18" s="1456"/>
      <x:c r="B18" s="1457"/>
      <x:c r="C18" s="1457"/>
      <x:c r="D18" s="1457"/>
      <x:c r="E18" s="1467"/>
      <x:c r="F18" s="1457"/>
      <x:c r="G18" s="1457"/>
      <x:c r="H18" s="1470"/>
      <x:c r="I18" s="1449"/>
      <x:c r="J18" s="1449"/>
      <x:c r="K18" s="1449"/>
      <x:c r="L18" s="1449"/>
      <x:c r="M18" s="1449"/>
      <x:c r="N18" s="1449"/>
      <x:c r="O18" s="1449"/>
      <x:c r="P18" s="1449"/>
      <x:c r="Q18" s="1449"/>
      <x:c r="R18" s="1449"/>
      <x:c r="S18" s="1449"/>
      <x:c r="T18" s="1449"/>
      <x:c r="U18" s="1449"/>
      <x:c r="V18" s="1462"/>
      <x:c r="W18" s="1463"/>
    </x:row>
    <x:row r="19" ht="64" customHeight="1">
      <x:c r="A19" s="1456"/>
      <x:c r="B19" s="1457"/>
      <x:c r="C19" s="1457"/>
      <x:c r="D19" s="1457"/>
      <x:c r="E19" s="1467"/>
      <x:c r="F19" s="1457"/>
      <x:c r="G19" s="1457"/>
      <x:c r="H19" s="1470"/>
      <x:c r="I19" s="1449"/>
      <x:c r="J19" s="1449"/>
      <x:c r="K19" s="1449"/>
      <x:c r="L19" s="1449"/>
      <x:c r="M19" s="1449"/>
      <x:c r="N19" s="1449"/>
      <x:c r="O19" s="1449"/>
      <x:c r="P19" s="1449"/>
      <x:c r="Q19" s="1449"/>
      <x:c r="R19" s="1449"/>
      <x:c r="S19" s="1449"/>
      <x:c r="T19" s="1449"/>
      <x:c r="U19" s="1449"/>
      <x:c r="V19" s="1462"/>
      <x:c r="W19" s="1463"/>
    </x:row>
    <x:row r="20" ht="64" customHeight="1">
      <x:c r="A20" s="1456"/>
      <x:c r="B20" s="1457"/>
      <x:c r="C20" s="1457"/>
      <x:c r="D20" s="1457"/>
      <x:c r="E20" s="1467"/>
      <x:c r="F20" s="1457"/>
      <x:c r="G20" s="1457"/>
      <x:c r="H20" s="1470"/>
      <x:c r="I20" s="1449"/>
      <x:c r="J20" s="1449"/>
      <x:c r="K20" s="1449"/>
      <x:c r="L20" s="1449"/>
      <x:c r="M20" s="1449"/>
      <x:c r="N20" s="1449"/>
      <x:c r="O20" s="1449"/>
      <x:c r="P20" s="1449"/>
      <x:c r="Q20" s="1449"/>
      <x:c r="R20" s="1449"/>
      <x:c r="S20" s="1449"/>
      <x:c r="T20" s="1449"/>
      <x:c r="U20" s="1449"/>
      <x:c r="V20" s="1462"/>
      <x:c r="W20" s="1463"/>
    </x:row>
    <x:row r="21" ht="64" customHeight="1">
      <x:c r="A21" s="1456"/>
      <x:c r="B21" s="1457"/>
      <x:c r="C21" s="1457"/>
      <x:c r="D21" s="1457"/>
      <x:c r="E21" s="1467"/>
      <x:c r="F21" s="1457"/>
      <x:c r="G21" s="1457"/>
      <x:c r="H21" s="1470"/>
      <x:c r="I21" s="1449"/>
      <x:c r="J21" s="1449"/>
      <x:c r="K21" s="1449"/>
      <x:c r="L21" s="1449"/>
      <x:c r="M21" s="1449"/>
      <x:c r="N21" s="1449"/>
      <x:c r="O21" s="1449"/>
      <x:c r="P21" s="1449"/>
      <x:c r="Q21" s="1449"/>
      <x:c r="R21" s="1449"/>
      <x:c r="S21" s="1449"/>
      <x:c r="T21" s="1449"/>
      <x:c r="U21" s="1449"/>
      <x:c r="V21" s="1462"/>
      <x:c r="W21" s="1463"/>
    </x:row>
    <x:row r="22" ht="64" customHeight="1">
      <x:c r="A22" s="1458"/>
      <x:c r="B22" s="1459"/>
      <x:c r="C22" s="1459"/>
      <x:c r="D22" s="1459"/>
      <x:c r="E22" s="1468"/>
      <x:c r="F22" s="1459"/>
      <x:c r="G22" s="1459"/>
      <x:c r="H22" s="1471"/>
      <x:c r="I22" s="1452"/>
      <x:c r="J22" s="1452"/>
      <x:c r="K22" s="1452"/>
      <x:c r="L22" s="1452"/>
      <x:c r="M22" s="1452"/>
      <x:c r="N22" s="1452"/>
      <x:c r="O22" s="1452"/>
      <x:c r="P22" s="1452"/>
      <x:c r="Q22" s="1452"/>
      <x:c r="R22" s="1452"/>
      <x:c r="S22" s="1452"/>
      <x:c r="T22" s="1452"/>
      <x:c r="U22" s="1452"/>
      <x:c r="V22" s="1464"/>
      <x:c r="W22" s="1465"/>
    </x:row>
    <x:row r="24" ht="40" customHeight="1">
      <x:c r="A24" s="1475" t="str">
        <x:v>COMPLETION STANDARD — Concise and cited. Show consistent financial periods, label missing information, and end with a client-fit and allocation conclusion. A second team member reviews each row before committee approval.</x:v>
      </x:c>
      <x:c r="B24" s="1475"/>
      <x:c r="C24" s="1475"/>
      <x:c r="D24" s="1475"/>
      <x:c r="E24" s="1475"/>
      <x:c r="F24" s="1475"/>
      <x:c r="G24" s="1475"/>
      <x:c r="H24" s="1475"/>
      <x:c r="I24" s="1475"/>
      <x:c r="J24" s="1475"/>
      <x:c r="K24" s="1475"/>
      <x:c r="L24" s="1475"/>
      <x:c r="M24" s="1475"/>
      <x:c r="N24" s="1475"/>
      <x:c r="O24" s="1475"/>
      <x:c r="P24" s="1475"/>
      <x:c r="Q24" s="1475"/>
      <x:c r="R24" s="1475"/>
      <x:c r="S24" s="1475"/>
      <x:c r="T24" s="1475"/>
      <x:c r="U24" s="1475"/>
      <x:c r="V24" s="1475"/>
      <x:c r="W24" s="1475"/>
    </x:row>
  </x:sheetData>
  <x:mergeCells>
    <x:mergeCell ref="A9:H9"/>
    <x:mergeCell ref="I9:Q9"/>
    <x:mergeCell ref="R9:U9"/>
    <x:mergeCell ref="V9:W9"/>
    <x:mergeCell ref="A24:W24"/>
    <x:mergeCell ref="A1:W1"/>
    <x:mergeCell ref="A2:W2"/>
    <x:mergeCell ref="A4:W4"/>
    <x:mergeCell ref="A5:W5"/>
    <x:mergeCell ref="A7:W7"/>
  </x:mergeCells>
  <x:dataValidations count="3">
    <x:dataValidation type="list" sqref="B11:B22">
      <x:formula1>"Direct bond,Direct equity,Fund/ETF look-through"</x:formula1>
    </x:dataValidation>
    <x:dataValidation type="list" sqref="F11:F22">
      <x:formula1>"Client and Macro Strategist,Fixed-Income Analyst,Equity Analyst,Portfolio Manager,Risk and Derivatives Analyst"</x:formula1>
    </x:dataValidation>
    <x:dataValidation type="list" sqref="W11:W22">
      <x:formula1>"Not started,Ready for peer review,Complete,Revise"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16" hidden="0" customWidth="1"/>
    <x:col min="2" max="2" width="20" hidden="0" customWidth="1"/>
    <x:col min="3" max="3" width="26" hidden="0" customWidth="1"/>
    <x:col min="4" max="5" width="28" customWidth="1"/>
    <x:col min="6" max="6" width="22" hidden="0" customWidth="1"/>
    <x:col min="7" max="7" width="20" hidden="0" customWidth="1"/>
    <x:col min="8" max="8" width="27" hidden="0" customWidth="1"/>
    <x:col min="9" max="9" width="16" hidden="0" customWidth="1"/>
    <x:col min="10" max="10" width="15" hidden="0" customWidth="1"/>
    <x:col min="11" max="11" width="30" hidden="0" customWidth="1"/>
    <x:col min="12" max="12" width="16" hidden="0" customWidth="1"/>
    <x:col min="13" max="13" width="30" hidden="0" customWidth="1"/>
    <x:col min="14" max="14" width="28" hidden="0" customWidth="1"/>
    <x:col min="15" max="15" width="22" hidden="0" customWidth="1"/>
    <x:col min="16" max="16" width="20" hidden="0" customWidth="1"/>
    <x:col min="17" max="17" width="17" hidden="0" customWidth="1"/>
    <x:col min="4" max="4" width="28" hidden="0" customWidth="1"/>
    <x:col min="5" max="5" width="28" hidden="0" customWidth="1"/>
  </x:cols>
  <x:sheetData>
    <x:row r="1" ht="34" customHeight="1">
      <x:c r="A1" s="1250" t="str">
        <x:v>BUS 331 — FactSet Research and Evidence Log</x:v>
      </x:c>
      <x:c r="B1" s="1250"/>
      <x:c r="C1" s="1250"/>
      <x:c r="D1" s="1250"/>
      <x:c r="E1" s="1250"/>
      <x:c r="F1" s="1250"/>
      <x:c r="G1" s="1250"/>
      <x:c r="H1" s="1250"/>
      <x:c r="I1" s="1250"/>
      <x:c r="J1" s="1250"/>
      <x:c r="K1" s="1250"/>
      <x:c r="L1" s="1250"/>
      <x:c r="M1" s="1250"/>
      <x:c r="N1" s="1250"/>
      <x:c r="O1" s="1250"/>
      <x:c r="P1" s="1250"/>
      <x:c r="Q1" s="1250"/>
    </x:row>
    <x:row r="2">
      <x:c r="A2" s="1393" t="str">
        <x:v>Required licensed-source record — document the retrieval, interpret the evidence, and explain its effect on the recommendation</x:v>
      </x:c>
      <x:c r="B2" s="1393"/>
      <x:c r="C2" s="1393"/>
      <x:c r="D2" s="1393"/>
      <x:c r="E2" s="1393"/>
      <x:c r="F2" s="1393"/>
      <x:c r="G2" s="1393"/>
      <x:c r="H2" s="1393"/>
      <x:c r="I2" s="1393"/>
      <x:c r="J2" s="1393"/>
      <x:c r="K2" s="1393"/>
      <x:c r="L2" s="1393"/>
      <x:c r="M2" s="1393"/>
      <x:c r="N2" s="1393"/>
      <x:c r="O2" s="1393"/>
      <x:c r="P2" s="1393"/>
      <x:c r="Q2" s="1393"/>
    </x:row>
    <x:row r="4" ht="42" customHeight="1">
      <x:c r="A4" s="1397" t="str">
        <x:v>BOUNDARY — Use licensed FactSet access for course research. Submit final work and required licensed-source evidence privately through Canvas. Do not place FactSet captures, exports, credentials, completed proprietary data files, or student work in the public repository.</x:v>
      </x:c>
      <x:c r="B4" s="1397"/>
      <x:c r="C4" s="1397"/>
      <x:c r="D4" s="1397"/>
      <x:c r="E4" s="1397"/>
      <x:c r="F4" s="1397"/>
      <x:c r="G4" s="1397"/>
      <x:c r="H4" s="1397"/>
      <x:c r="I4" s="1397"/>
      <x:c r="J4" s="1397"/>
      <x:c r="K4" s="1397"/>
      <x:c r="L4" s="1397"/>
      <x:c r="M4" s="1397"/>
      <x:c r="N4" s="1397"/>
      <x:c r="O4" s="1397"/>
      <x:c r="P4" s="1397"/>
      <x:c r="Q4" s="1397"/>
    </x:row>
    <x:row r="5" ht="36" customHeight="1">
      <x:c r="A5" s="1358" t="str">
        <x:v>NAVIGATION NOTE — FactSet layouts, labels, and entitlements can differ. Follow course demonstrations and current FactSet support; this log defines evidence requirements, not a click path.</x:v>
      </x:c>
      <x:c r="B5" s="1358"/>
      <x:c r="C5" s="1358"/>
      <x:c r="D5" s="1358"/>
      <x:c r="E5" s="1358"/>
      <x:c r="F5" s="1358"/>
      <x:c r="G5" s="1358"/>
      <x:c r="H5" s="1358"/>
      <x:c r="I5" s="1358"/>
      <x:c r="J5" s="1358"/>
      <x:c r="K5" s="1358"/>
      <x:c r="L5" s="1358"/>
      <x:c r="M5" s="1358"/>
      <x:c r="N5" s="1358"/>
      <x:c r="O5" s="1358"/>
      <x:c r="P5" s="1358"/>
      <x:c r="Q5" s="1358"/>
    </x:row>
    <x:row r="8" ht="60" customHeight="1">
      <x:c r="A8" s="1424" t="str">
        <x:v>Client</x:v>
      </x:c>
      <x:c r="B8" s="1425" t="str">
        <x:v>Workstream</x:v>
      </x:c>
      <x:c r="C8" s="1425" t="str">
        <x:v>Security / Issuer / Fund / Benchmark / Input</x:v>
      </x:c>
      <x:c r="D8" s="1425" t="str">
        <x:v>Research Question or Claim Tested</x:v>
      </x:c>
      <x:c r="E8" s="1425" t="str">
        <x:v>FactSet Data / Research Retrieved</x:v>
      </x:c>
      <x:c r="F8" s="1425" t="str">
        <x:v>Relevant Metrics &amp; Units</x:v>
      </x:c>
      <x:c r="G8" s="1425" t="str">
        <x:v>Entity / Security Identifier</x:v>
      </x:c>
      <x:c r="H8" s="1425" t="str">
        <x:v>Source / Screen / Document Reference</x:v>
      </x:c>
      <x:c r="I8" s="1425" t="str">
        <x:v>Data As-of Period</x:v>
      </x:c>
      <x:c r="J8" s="1425" t="str">
        <x:v>Retrieval Date</x:v>
      </x:c>
      <x:c r="K8" s="1425" t="str">
        <x:v>Interpretation &amp; Limitations</x:v>
      </x:c>
      <x:c r="L8" s="1425" t="str">
        <x:v>Result</x:v>
      </x:c>
      <x:c r="M8" s="1425" t="str">
        <x:v>Effect on Recommendation / Portfolio Input</x:v>
      </x:c>
      <x:c r="N8" s="1425" t="str">
        <x:v>Canvas Submission Item / Evidence-File Reference</x:v>
      </x:c>
      <x:c r="O8" s="1425" t="str">
        <x:v>Analyst Owner</x:v>
      </x:c>
      <x:c r="P8" s="1425" t="str">
        <x:v>Peer Reviewer</x:v>
      </x:c>
      <x:c r="Q8" s="1426" t="str">
        <x:v>Status</x:v>
      </x:c>
    </x:row>
    <x:row r="9" ht="64" customHeight="1">
      <x:c r="A9" s="1454"/>
      <x:c r="B9" s="1455"/>
      <x:c r="C9" s="1455"/>
      <x:c r="D9" s="1455"/>
      <x:c r="E9" s="1446"/>
      <x:c r="F9" s="1446"/>
      <x:c r="G9" s="1446"/>
      <x:c r="H9" s="1446"/>
      <x:c r="I9" s="1476"/>
      <x:c r="J9" s="1476"/>
      <x:c r="K9" s="1446"/>
      <x:c r="L9" s="1446"/>
      <x:c r="M9" s="1446"/>
      <x:c r="N9" s="1446"/>
      <x:c r="O9" s="1460"/>
      <x:c r="P9" s="1460"/>
      <x:c r="Q9" s="1461"/>
    </x:row>
    <x:row r="10" ht="64" customHeight="1">
      <x:c r="A10" s="1456"/>
      <x:c r="B10" s="1457"/>
      <x:c r="C10" s="1457"/>
      <x:c r="D10" s="1457"/>
      <x:c r="E10" s="1449"/>
      <x:c r="F10" s="1449"/>
      <x:c r="G10" s="1449"/>
      <x:c r="H10" s="1449"/>
      <x:c r="I10" s="1477"/>
      <x:c r="J10" s="1477"/>
      <x:c r="K10" s="1449"/>
      <x:c r="L10" s="1449"/>
      <x:c r="M10" s="1449"/>
      <x:c r="N10" s="1449"/>
      <x:c r="O10" s="1462"/>
      <x:c r="P10" s="1462"/>
      <x:c r="Q10" s="1463"/>
    </x:row>
    <x:row r="11" ht="64" customHeight="1">
      <x:c r="A11" s="1456"/>
      <x:c r="B11" s="1457"/>
      <x:c r="C11" s="1457"/>
      <x:c r="D11" s="1457"/>
      <x:c r="E11" s="1449"/>
      <x:c r="F11" s="1449"/>
      <x:c r="G11" s="1449"/>
      <x:c r="H11" s="1449"/>
      <x:c r="I11" s="1477"/>
      <x:c r="J11" s="1477"/>
      <x:c r="K11" s="1449"/>
      <x:c r="L11" s="1449"/>
      <x:c r="M11" s="1449"/>
      <x:c r="N11" s="1449"/>
      <x:c r="O11" s="1462"/>
      <x:c r="P11" s="1462"/>
      <x:c r="Q11" s="1463"/>
    </x:row>
    <x:row r="12" ht="64" customHeight="1">
      <x:c r="A12" s="1456"/>
      <x:c r="B12" s="1457"/>
      <x:c r="C12" s="1457"/>
      <x:c r="D12" s="1457"/>
      <x:c r="E12" s="1449"/>
      <x:c r="F12" s="1449"/>
      <x:c r="G12" s="1449"/>
      <x:c r="H12" s="1449"/>
      <x:c r="I12" s="1477"/>
      <x:c r="J12" s="1477"/>
      <x:c r="K12" s="1449"/>
      <x:c r="L12" s="1449"/>
      <x:c r="M12" s="1449"/>
      <x:c r="N12" s="1449"/>
      <x:c r="O12" s="1462"/>
      <x:c r="P12" s="1462"/>
      <x:c r="Q12" s="1463"/>
    </x:row>
    <x:row r="13" ht="64" customHeight="1">
      <x:c r="A13" s="1456"/>
      <x:c r="B13" s="1457"/>
      <x:c r="C13" s="1457"/>
      <x:c r="D13" s="1457"/>
      <x:c r="E13" s="1449"/>
      <x:c r="F13" s="1449"/>
      <x:c r="G13" s="1449"/>
      <x:c r="H13" s="1449"/>
      <x:c r="I13" s="1477"/>
      <x:c r="J13" s="1477"/>
      <x:c r="K13" s="1449"/>
      <x:c r="L13" s="1449"/>
      <x:c r="M13" s="1449"/>
      <x:c r="N13" s="1449"/>
      <x:c r="O13" s="1462"/>
      <x:c r="P13" s="1462"/>
      <x:c r="Q13" s="1463"/>
    </x:row>
    <x:row r="14" ht="64" customHeight="1">
      <x:c r="A14" s="1456"/>
      <x:c r="B14" s="1457"/>
      <x:c r="C14" s="1457"/>
      <x:c r="D14" s="1457"/>
      <x:c r="E14" s="1449"/>
      <x:c r="F14" s="1449"/>
      <x:c r="G14" s="1449"/>
      <x:c r="H14" s="1449"/>
      <x:c r="I14" s="1477"/>
      <x:c r="J14" s="1477"/>
      <x:c r="K14" s="1449"/>
      <x:c r="L14" s="1449"/>
      <x:c r="M14" s="1449"/>
      <x:c r="N14" s="1449"/>
      <x:c r="O14" s="1462"/>
      <x:c r="P14" s="1462"/>
      <x:c r="Q14" s="1463"/>
    </x:row>
    <x:row r="15" ht="64" customHeight="1">
      <x:c r="A15" s="1456"/>
      <x:c r="B15" s="1457"/>
      <x:c r="C15" s="1457"/>
      <x:c r="D15" s="1457"/>
      <x:c r="E15" s="1449"/>
      <x:c r="F15" s="1449"/>
      <x:c r="G15" s="1449"/>
      <x:c r="H15" s="1449"/>
      <x:c r="I15" s="1477"/>
      <x:c r="J15" s="1477"/>
      <x:c r="K15" s="1449"/>
      <x:c r="L15" s="1449"/>
      <x:c r="M15" s="1449"/>
      <x:c r="N15" s="1449"/>
      <x:c r="O15" s="1462"/>
      <x:c r="P15" s="1462"/>
      <x:c r="Q15" s="1463"/>
    </x:row>
    <x:row r="16" ht="64" customHeight="1">
      <x:c r="A16" s="1456"/>
      <x:c r="B16" s="1457"/>
      <x:c r="C16" s="1457"/>
      <x:c r="D16" s="1457"/>
      <x:c r="E16" s="1449"/>
      <x:c r="F16" s="1449"/>
      <x:c r="G16" s="1449"/>
      <x:c r="H16" s="1449"/>
      <x:c r="I16" s="1477"/>
      <x:c r="J16" s="1477"/>
      <x:c r="K16" s="1449"/>
      <x:c r="L16" s="1449"/>
      <x:c r="M16" s="1449"/>
      <x:c r="N16" s="1449"/>
      <x:c r="O16" s="1462"/>
      <x:c r="P16" s="1462"/>
      <x:c r="Q16" s="1463"/>
    </x:row>
    <x:row r="17" ht="64" customHeight="1">
      <x:c r="A17" s="1456"/>
      <x:c r="B17" s="1457"/>
      <x:c r="C17" s="1457"/>
      <x:c r="D17" s="1457"/>
      <x:c r="E17" s="1449"/>
      <x:c r="F17" s="1449"/>
      <x:c r="G17" s="1449"/>
      <x:c r="H17" s="1449"/>
      <x:c r="I17" s="1477"/>
      <x:c r="J17" s="1477"/>
      <x:c r="K17" s="1449"/>
      <x:c r="L17" s="1449"/>
      <x:c r="M17" s="1449"/>
      <x:c r="N17" s="1449"/>
      <x:c r="O17" s="1462"/>
      <x:c r="P17" s="1462"/>
      <x:c r="Q17" s="1463"/>
    </x:row>
    <x:row r="18" ht="64" customHeight="1">
      <x:c r="A18" s="1456"/>
      <x:c r="B18" s="1457"/>
      <x:c r="C18" s="1457"/>
      <x:c r="D18" s="1457"/>
      <x:c r="E18" s="1449"/>
      <x:c r="F18" s="1449"/>
      <x:c r="G18" s="1449"/>
      <x:c r="H18" s="1449"/>
      <x:c r="I18" s="1477"/>
      <x:c r="J18" s="1477"/>
      <x:c r="K18" s="1449"/>
      <x:c r="L18" s="1449"/>
      <x:c r="M18" s="1449"/>
      <x:c r="N18" s="1449"/>
      <x:c r="O18" s="1462"/>
      <x:c r="P18" s="1462"/>
      <x:c r="Q18" s="1463"/>
    </x:row>
    <x:row r="19" ht="64" customHeight="1">
      <x:c r="A19" s="1456"/>
      <x:c r="B19" s="1457"/>
      <x:c r="C19" s="1457"/>
      <x:c r="D19" s="1457"/>
      <x:c r="E19" s="1449"/>
      <x:c r="F19" s="1449"/>
      <x:c r="G19" s="1449"/>
      <x:c r="H19" s="1449"/>
      <x:c r="I19" s="1477"/>
      <x:c r="J19" s="1477"/>
      <x:c r="K19" s="1449"/>
      <x:c r="L19" s="1449"/>
      <x:c r="M19" s="1449"/>
      <x:c r="N19" s="1449"/>
      <x:c r="O19" s="1462"/>
      <x:c r="P19" s="1462"/>
      <x:c r="Q19" s="1463"/>
    </x:row>
    <x:row r="20" ht="64" customHeight="1">
      <x:c r="A20" s="1456"/>
      <x:c r="B20" s="1457"/>
      <x:c r="C20" s="1457"/>
      <x:c r="D20" s="1457"/>
      <x:c r="E20" s="1449"/>
      <x:c r="F20" s="1449"/>
      <x:c r="G20" s="1449"/>
      <x:c r="H20" s="1449"/>
      <x:c r="I20" s="1477"/>
      <x:c r="J20" s="1477"/>
      <x:c r="K20" s="1449"/>
      <x:c r="L20" s="1449"/>
      <x:c r="M20" s="1449"/>
      <x:c r="N20" s="1449"/>
      <x:c r="O20" s="1462"/>
      <x:c r="P20" s="1462"/>
      <x:c r="Q20" s="1463"/>
    </x:row>
    <x:row r="21" ht="64" customHeight="1">
      <x:c r="A21" s="1456"/>
      <x:c r="B21" s="1457"/>
      <x:c r="C21" s="1457"/>
      <x:c r="D21" s="1457"/>
      <x:c r="E21" s="1449"/>
      <x:c r="F21" s="1449"/>
      <x:c r="G21" s="1449"/>
      <x:c r="H21" s="1449"/>
      <x:c r="I21" s="1477"/>
      <x:c r="J21" s="1477"/>
      <x:c r="K21" s="1449"/>
      <x:c r="L21" s="1449"/>
      <x:c r="M21" s="1449"/>
      <x:c r="N21" s="1449"/>
      <x:c r="O21" s="1462"/>
      <x:c r="P21" s="1462"/>
      <x:c r="Q21" s="1463"/>
    </x:row>
    <x:row r="22" ht="64" customHeight="1">
      <x:c r="A22" s="1456"/>
      <x:c r="B22" s="1457"/>
      <x:c r="C22" s="1457"/>
      <x:c r="D22" s="1457"/>
      <x:c r="E22" s="1449"/>
      <x:c r="F22" s="1449"/>
      <x:c r="G22" s="1449"/>
      <x:c r="H22" s="1449"/>
      <x:c r="I22" s="1477"/>
      <x:c r="J22" s="1477"/>
      <x:c r="K22" s="1449"/>
      <x:c r="L22" s="1449"/>
      <x:c r="M22" s="1449"/>
      <x:c r="N22" s="1449"/>
      <x:c r="O22" s="1462"/>
      <x:c r="P22" s="1462"/>
      <x:c r="Q22" s="1463"/>
    </x:row>
    <x:row r="23" ht="64" customHeight="1">
      <x:c r="A23" s="1456"/>
      <x:c r="B23" s="1457"/>
      <x:c r="C23" s="1457"/>
      <x:c r="D23" s="1457"/>
      <x:c r="E23" s="1449"/>
      <x:c r="F23" s="1449"/>
      <x:c r="G23" s="1449"/>
      <x:c r="H23" s="1449"/>
      <x:c r="I23" s="1477"/>
      <x:c r="J23" s="1477"/>
      <x:c r="K23" s="1449"/>
      <x:c r="L23" s="1449"/>
      <x:c r="M23" s="1449"/>
      <x:c r="N23" s="1449"/>
      <x:c r="O23" s="1462"/>
      <x:c r="P23" s="1462"/>
      <x:c r="Q23" s="1463"/>
    </x:row>
    <x:row r="24" ht="64" customHeight="1">
      <x:c r="A24" s="1458"/>
      <x:c r="B24" s="1459"/>
      <x:c r="C24" s="1459"/>
      <x:c r="D24" s="1459"/>
      <x:c r="E24" s="1452"/>
      <x:c r="F24" s="1452"/>
      <x:c r="G24" s="1452"/>
      <x:c r="H24" s="1452"/>
      <x:c r="I24" s="1478"/>
      <x:c r="J24" s="1478"/>
      <x:c r="K24" s="1452"/>
      <x:c r="L24" s="1452"/>
      <x:c r="M24" s="1452"/>
      <x:c r="N24" s="1452"/>
      <x:c r="O24" s="1464"/>
      <x:c r="P24" s="1464"/>
      <x:c r="Q24" s="1465"/>
    </x:row>
  </x:sheetData>
  <x:mergeCells>
    <x:mergeCell ref="A1:Q1"/>
    <x:mergeCell ref="A2:Q2"/>
    <x:mergeCell ref="A4:Q4"/>
    <x:mergeCell ref="A5:Q5"/>
  </x:mergeCells>
  <x:dataValidations count="3">
    <x:dataValidation type="list" sqref="B9:B24">
      <x:formula1>"Issuer Reality Check,Credit / fixed income,Equity fund / ETF,Individual equity,Portfolio integration,Portfolio risk / hedge input"</x:formula1>
    </x:dataValidation>
    <x:dataValidation type="list" sqref="L9:L24">
      <x:formula1>"Confirmed,Qualified,Contradicted,Changed,Not verifiable"</x:formula1>
    </x:dataValidation>
    <x:dataValidation type="list" sqref="Q9:Q24">
      <x:formula1>"Not started,Ready for peer review,Complete,Revise"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62" hidden="0" customWidth="1"/>
    <x:col min="3" max="3" width="62" hidden="0" customWidth="1"/>
  </x:cols>
  <x:sheetData>
    <x:row r="1" ht="34" customHeight="1">
      <x:c r="A1" s="1250" t="str">
        <x:v>BUS331 - How to Research an Investment Candidate</x:v>
      </x:c>
      <x:c r="B1" s="1250"/>
      <x:c r="C1" s="1250"/>
      <x:c r="D1" s="1250"/>
      <x:c r="E1" s="1250"/>
      <x:c r="F1" s="1250"/>
    </x:row>
    <x:row r="2" ht="42" customHeight="1">
      <x:c r="A2" s="1254" t="str">
        <x:v>Use this guide before completing the client tabs, Issuer Reality Check, and FactSet Research and Evidence Log. It tells you what to investigate; your committee supplies the research, calculations, judgment, and select/reject decision.</x:v>
      </x:c>
      <x:c r="B2" s="1254"/>
      <x:c r="C2" s="1254"/>
      <x:c r="D2" s="1254"/>
      <x:c r="E2" s="1254"/>
      <x:c r="F2" s="1254"/>
    </x:row>
    <x:row r="4" ht="58" customHeight="1">
      <x:c r="A4" s="1258" t="str">
        <x:v>1. Translate the mandate</x:v>
      </x:c>
      <x:c r="B4" s="1262" t="str">
        <x:v>Turn the approved allocation and client guardrails into a focused candidate set. Funds and ETFs are primary; individual securities are limited, and individual bonds are not required.</x:v>
      </x:c>
    </x:row>
    <x:row r="5" ht="58" customHeight="1">
      <x:c r="A5" s="1258" t="str">
        <x:v>2. Apply inclusion boundaries</x:v>
      </x:c>
      <x:c r="B5" s="1262" t="str">
        <x:v>Keep only candidates with a distinct portfolio purpose, appropriate liquidity, client-mandate fit, and no unnecessary duplicate exposure or concentration.</x:v>
      </x:c>
    </x:row>
    <x:row r="6" ht="58" customHeight="1">
      <x:c r="A6" s="1258" t="str">
        <x:v>3. Score final holdings</x:v>
      </x:c>
      <x:c r="B6" s="1262" t="str">
        <x:v>Complete the concise scorecard for each final holding: exposure/role, cost and trading expenses, liquidity, holdings/sector/style overlap, diversification contribution, key risks, and fit.</x:v>
      </x:c>
    </x:row>
    <x:row r="7" ht="58" customHeight="1">
      <x:c r="A7" s="1258" t="str">
        <x:v>4. Reject alternatives concisely</x:v>
      </x:c>
      <x:c r="B7" s="1262" t="str">
        <x:v>Compare the strongest realistic alternative and record why it lost. Do not complete a full scorecard for every screened name.</x:v>
      </x:c>
    </x:row>
    <x:row r="8" ht="58" customHeight="1">
      <x:c r="A8" s="1258" t="str">
        <x:v>5. Integrate and test</x:v>
      </x:c>
      <x:c r="B8" s="1262" t="str">
        <x:v>The Portfolio Manager resolves overlap, concentration, final selection, weights, and trade-offs. The Risk and Derivatives Analyst tests residual risk and documents one targeted hedge or a supported no-hedge conclusion.</x:v>
      </x:c>
    </x:row>
    <x:row r="11">
      <x:c r="A11" s="1267" t="str">
        <x:v>Instrument</x:v>
      </x:c>
      <x:c r="B11" s="1267" t="str">
        <x:v>Research before you decide</x:v>
      </x:c>
      <x:c r="C11" s="1267" t="str">
        <x:v>What you must complete in this workbook</x:v>
      </x:c>
    </x:row>
    <x:row r="12" ht="104" customHeight="1">
      <x:c r="A12" s="1288" t="str">
        <x:v>Fixed-income fund/ETF</x:v>
      </x:c>
      <x:c r="B12" s="1289" t="str">
        <x:v>Income, yield, duration, credit quality, rate and spread risk, holdings, costs, liquidity, overlap, taxes, client fit, and source/as-of date.</x:v>
      </x:c>
      <x:c r="C12" s="1290" t="str">
        <x:v>Fixed-Income Analyst owns the recommendation, alternative rejected, and trade-off. A direct bond may be used but is not required.</x:v>
      </x:c>
    </x:row>
    <x:row r="13" ht="104" customHeight="1">
      <x:c r="A13" s="1291" t="str">
        <x:v>Equity fund/ETF</x:v>
      </x:c>
      <x:c r="B13" s="1292" t="str">
        <x:v>Exposure, benchmark/style/sector, holdings, concentration and overlap, costs and trading expenses, liquidity, diversification, taxes, client fit, and source/as-of date.</x:v>
      </x:c>
      <x:c r="C13" s="1293" t="str">
        <x:v>Equity Analyst owns the recommendation, alternative rejected, and trade-off.</x:v>
      </x:c>
    </x:row>
    <x:row r="14" ht="104" customHeight="1">
      <x:c r="A14" s="1291" t="str">
        <x:v>Limited individual equity</x:v>
      </x:c>
      <x:c r="B14" s="1292" t="str">
        <x:v>Distinct purpose versus a fund/ETF, business and return drivers, liquidity, key risks, client fit, idiosyncratic risk, position-size rationale, concentration limit, and source/as-of date.</x:v>
      </x:c>
      <x:c r="C14" s="1293" t="str">
        <x:v>Complete the scorecard, Issuer Reality Check, and Evidence Log. Individual securities total no more than two or three per portfolio.</x:v>
      </x:c>
    </x:row>
    <x:row r="15" ht="104" customHeight="1">
      <x:c r="A15" s="1294" t="str">
        <x:v>Derivative hedge (optional)</x:v>
      </x:c>
      <x:c r="B15" s="1295" t="str">
        <x:v>Identified residual risk, instrument, size, cost, liquidity, trade-offs, basis/execution risk, residual risk, and adjustment/removal condition.</x:v>
      </x:c>
      <x:c r="C15" s="1296" t="str">
        <x:v>Risk and Derivatives Analyst may propose at most one targeted hedge. A supported no-hedge conclusion is equally complete.</x:v>
      </x:c>
    </x:row>
    <x:row r="18">
      <x:c r="A18" s="1299" t="str">
        <x:v>FINAL CANDIDATE CHECK - before the team selects or rejects</x:v>
      </x:c>
      <x:c r="B18" s="1299"/>
      <x:c r="C18" s="1299"/>
    </x:row>
    <x:row r="19" ht="24" customHeight="1">
      <x:c r="A19" s="1262" t="str">
        <x:v>[ ] Approved allocation sleeve and Phase 1 guardrail identified</x:v>
      </x:c>
      <x:c r="B19" s="1262"/>
      <x:c r="C19" s="1262"/>
    </x:row>
    <x:row r="20" ht="24" customHeight="1">
      <x:c r="A20" s="1262" t="str">
        <x:v>[ ] Distinct portfolio purpose and mandate fit stated</x:v>
      </x:c>
      <x:c r="B20" s="1262"/>
      <x:c r="C20" s="1262"/>
    </x:row>
    <x:row r="21" ht="24" customHeight="1">
      <x:c r="A21" s="1262" t="str">
        <x:v>[ ] Cost/trading expenses and liquidity assessed</x:v>
      </x:c>
      <x:c r="B21" s="1262"/>
      <x:c r="C21" s="1262"/>
    </x:row>
    <x:row r="22" ht="24" customHeight="1">
      <x:c r="A22" s="1262" t="str">
        <x:v>[ ] Holdings, sector, and style overlap assessed</x:v>
      </x:c>
      <x:c r="B22" s="1262"/>
      <x:c r="C22" s="1262"/>
    </x:row>
    <x:row r="23" ht="24" customHeight="1">
      <x:c r="A23" s="1262" t="str">
        <x:v>[ ] Diversification contribution and key risks assessed</x:v>
      </x:c>
      <x:c r="B23" s="1262"/>
      <x:c r="C23" s="1262"/>
    </x:row>
    <x:row r="24" ht="24" customHeight="1">
      <x:c r="A24" s="1262" t="str">
        <x:v>[ ] Individual-security rationale, idiosyncratic risk, and size added if applicable</x:v>
      </x:c>
      <x:c r="B24" s="1262"/>
      <x:c r="C24" s="1262"/>
    </x:row>
    <x:row r="25" ht="24" customHeight="1">
      <x:c r="A25" s="1262" t="str">
        <x:v>[ ] Alternative rejected and key trade-off recorded</x:v>
      </x:c>
      <x:c r="B25" s="1262"/>
      <x:c r="C25" s="1262"/>
    </x:row>
    <x:row r="26" ht="24" customHeight="1">
      <x:c r="A26" s="1262" t="str">
        <x:v>[ ] Final Select or Reject conclusion and monitoring trigger entered</x:v>
      </x:c>
      <x:c r="B26" s="1262"/>
      <x:c r="C26" s="1262"/>
    </x:row>
  </x:sheetData>
  <x:mergeCells>
    <x:mergeCell ref="A1:F1"/>
    <x:mergeCell ref="A2:F2"/>
    <x:mergeCell ref="A18:C18"/>
    <x:mergeCell ref="A19:C19"/>
    <x:mergeCell ref="A20:C20"/>
    <x:mergeCell ref="A21:C21"/>
    <x:mergeCell ref="A22:C22"/>
    <x:mergeCell ref="A23:C23"/>
    <x:mergeCell ref="A24:C24"/>
    <x:mergeCell ref="A25:C25"/>
    <x:mergeCell ref="A26:C2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8" hidden="0" customWidth="1"/>
    <x:col min="3" max="3" width="19" hidden="0" customWidth="1"/>
    <x:col min="4" max="4" width="20" hidden="0" customWidth="1"/>
    <x:col min="5" max="5" width="22" hidden="0" customWidth="1"/>
    <x:col min="6" max="6" width="25" hidden="0" customWidth="1"/>
    <x:col min="7" max="7" width="11" hidden="0" customWidth="1"/>
    <x:col min="8" max="8" width="22" hidden="0" customWidth="1"/>
    <x:col min="9" max="9" width="18" hidden="0" customWidth="1"/>
    <x:col min="10" max="10" width="28" hidden="0" customWidth="1"/>
    <x:col min="11" max="11" width="24" hidden="0" customWidth="1"/>
    <x:col min="12" max="12" width="26" hidden="0" customWidth="1"/>
    <x:col min="13" max="13" width="25" hidden="0" customWidth="1"/>
    <x:col min="14" max="14" width="34" hidden="0" customWidth="1"/>
    <x:col min="15" max="15" width="20" hidden="0" customWidth="1"/>
    <x:col min="16" max="16" width="25" hidden="0" customWidth="1"/>
    <x:col min="17" max="17" width="23" hidden="0" customWidth="1"/>
    <x:col min="18" max="18" width="24" hidden="0" customWidth="1"/>
  </x:cols>
  <x:sheetData>
    <x:row r="1" ht="34" customHeight="1">
      <x:c r="A1" s="1250" t="str">
        <x:v>BUS331 — Final Holding Scorecards</x:v>
      </x:c>
      <x:c r="B1" s="1250"/>
      <x:c r="C1" s="1250"/>
      <x:c r="D1" s="1250"/>
      <x:c r="E1" s="1250"/>
      <x:c r="F1" s="1250"/>
      <x:c r="G1" s="1250"/>
      <x:c r="H1" s="1250"/>
      <x:c r="I1" s="1250"/>
      <x:c r="J1" s="1250"/>
      <x:c r="K1" s="1250"/>
      <x:c r="L1" s="1250"/>
      <x:c r="M1" s="1250"/>
      <x:c r="N1" s="1250"/>
      <x:c r="O1" s="1250"/>
      <x:c r="P1" s="1250"/>
      <x:c r="Q1" s="1250"/>
      <x:c r="R1" s="1250"/>
    </x:row>
    <x:row r="2" ht="42" customHeight="1">
      <x:c r="A2" s="1301" t="str">
        <x:v>Complete 8–10 final holdings per client and never more than 10. Eight is complete. Funds and ETFs are primary; individual securities total no more than two or three. Do not fill a slot without a distinct purpose.</x:v>
      </x:c>
      <x:c r="B2" s="1301"/>
      <x:c r="C2" s="1301"/>
      <x:c r="D2" s="1301"/>
      <x:c r="E2" s="1301"/>
      <x:c r="F2" s="1301"/>
      <x:c r="G2" s="1301"/>
      <x:c r="H2" s="1301"/>
      <x:c r="I2" s="1301"/>
      <x:c r="J2" s="1301"/>
      <x:c r="K2" s="1301"/>
      <x:c r="L2" s="1301"/>
      <x:c r="M2" s="1301"/>
      <x:c r="N2" s="1301"/>
      <x:c r="O2" s="1301"/>
      <x:c r="P2" s="1301"/>
      <x:c r="Q2" s="1301"/>
      <x:c r="R2" s="1301"/>
    </x:row>
    <x:row r="5" ht="64" customHeight="1">
      <x:c r="A5" s="1305" t="str">
        <x:v>Client</x:v>
      </x:c>
      <x:c r="B5" s="1305" t="str">
        <x:v>Slot</x:v>
      </x:c>
      <x:c r="C5" s="1305" t="str">
        <x:v>Final Holding</x:v>
      </x:c>
      <x:c r="D5" s="1305" t="str">
        <x:v>Type</x:v>
      </x:c>
      <x:c r="E5" s="1305" t="str">
        <x:v>Role Owner</x:v>
      </x:c>
      <x:c r="F5" s="1305" t="str">
        <x:v>Portfolio Purpose / Exposure</x:v>
      </x:c>
      <x:c r="G5" s="1305" t="str">
        <x:v>Weight</x:v>
      </x:c>
      <x:c r="H5" s="1305" t="str">
        <x:v>Cost &amp; Trading Expenses</x:v>
      </x:c>
      <x:c r="I5" s="1305" t="str">
        <x:v>Liquidity</x:v>
      </x:c>
      <x:c r="J5" s="1305" t="str">
        <x:v>Holdings / Sector / Style Overlap</x:v>
      </x:c>
      <x:c r="K5" s="1305" t="str">
        <x:v>Diversification Contribution</x:v>
      </x:c>
      <x:c r="L5" s="1305" t="str">
        <x:v>Key Risks</x:v>
      </x:c>
      <x:c r="M5" s="1305" t="str">
        <x:v>Client-Mandate Fit</x:v>
      </x:c>
      <x:c r="N5" s="1305" t="str">
        <x:v>Individual-Security Rationale / Idiosyncratic Risk / Position Size</x:v>
      </x:c>
      <x:c r="O5" s="1305" t="str">
        <x:v>Alternative Rejected</x:v>
      </x:c>
      <x:c r="P5" s="1305" t="str">
        <x:v>Why Rejected</x:v>
      </x:c>
      <x:c r="Q5" s="1305" t="str">
        <x:v>Key Trade-Off</x:v>
      </x:c>
      <x:c r="R5" s="1305" t="str">
        <x:v>Source &amp; As-of Date</x:v>
      </x:c>
    </x:row>
    <x:row r="6" ht="70" customHeight="1">
      <x:c r="A6" s="1346" t="str">
        <x:v>Client 1</x:v>
      </x:c>
      <x:c r="B6" s="1347" t="n">
        <x:v>1</x:v>
      </x:c>
      <x:c r="C6" s="1326"/>
      <x:c r="D6" s="1326"/>
      <x:c r="E6" s="1326"/>
      <x:c r="F6" s="1326"/>
      <x:c r="G6" s="1352"/>
      <x:c r="H6" s="1326"/>
      <x:c r="I6" s="1326"/>
      <x:c r="J6" s="1326"/>
      <x:c r="K6" s="1326"/>
      <x:c r="L6" s="1326"/>
      <x:c r="M6" s="1326"/>
      <x:c r="N6" s="1326"/>
      <x:c r="O6" s="1326"/>
      <x:c r="P6" s="1326"/>
      <x:c r="Q6" s="1326"/>
      <x:c r="R6" s="1327"/>
    </x:row>
    <x:row r="7" ht="70" customHeight="1">
      <x:c r="A7" s="1348" t="str">
        <x:v>Client 1</x:v>
      </x:c>
      <x:c r="B7" s="1349" t="n">
        <x:v>2</x:v>
      </x:c>
      <x:c r="C7" s="1329"/>
      <x:c r="D7" s="1329"/>
      <x:c r="E7" s="1329"/>
      <x:c r="F7" s="1329"/>
      <x:c r="G7" s="1353"/>
      <x:c r="H7" s="1329"/>
      <x:c r="I7" s="1329"/>
      <x:c r="J7" s="1329"/>
      <x:c r="K7" s="1329"/>
      <x:c r="L7" s="1329"/>
      <x:c r="M7" s="1329"/>
      <x:c r="N7" s="1329"/>
      <x:c r="O7" s="1329"/>
      <x:c r="P7" s="1329"/>
      <x:c r="Q7" s="1329"/>
      <x:c r="R7" s="1330"/>
    </x:row>
    <x:row r="8" ht="70" customHeight="1">
      <x:c r="A8" s="1348" t="str">
        <x:v>Client 1</x:v>
      </x:c>
      <x:c r="B8" s="1349" t="n">
        <x:v>3</x:v>
      </x:c>
      <x:c r="C8" s="1329"/>
      <x:c r="D8" s="1329"/>
      <x:c r="E8" s="1329"/>
      <x:c r="F8" s="1329"/>
      <x:c r="G8" s="1353"/>
      <x:c r="H8" s="1329"/>
      <x:c r="I8" s="1329"/>
      <x:c r="J8" s="1329"/>
      <x:c r="K8" s="1329"/>
      <x:c r="L8" s="1329"/>
      <x:c r="M8" s="1329"/>
      <x:c r="N8" s="1329"/>
      <x:c r="O8" s="1329"/>
      <x:c r="P8" s="1329"/>
      <x:c r="Q8" s="1329"/>
      <x:c r="R8" s="1330"/>
    </x:row>
    <x:row r="9" ht="70" customHeight="1">
      <x:c r="A9" s="1348" t="str">
        <x:v>Client 1</x:v>
      </x:c>
      <x:c r="B9" s="1349" t="n">
        <x:v>4</x:v>
      </x:c>
      <x:c r="C9" s="1329"/>
      <x:c r="D9" s="1329"/>
      <x:c r="E9" s="1329"/>
      <x:c r="F9" s="1329"/>
      <x:c r="G9" s="1353"/>
      <x:c r="H9" s="1329"/>
      <x:c r="I9" s="1329"/>
      <x:c r="J9" s="1329"/>
      <x:c r="K9" s="1329"/>
      <x:c r="L9" s="1329"/>
      <x:c r="M9" s="1329"/>
      <x:c r="N9" s="1329"/>
      <x:c r="O9" s="1329"/>
      <x:c r="P9" s="1329"/>
      <x:c r="Q9" s="1329"/>
      <x:c r="R9" s="1330"/>
    </x:row>
    <x:row r="10" ht="70" customHeight="1">
      <x:c r="A10" s="1348" t="str">
        <x:v>Client 1</x:v>
      </x:c>
      <x:c r="B10" s="1349" t="n">
        <x:v>5</x:v>
      </x:c>
      <x:c r="C10" s="1329"/>
      <x:c r="D10" s="1329"/>
      <x:c r="E10" s="1329"/>
      <x:c r="F10" s="1329"/>
      <x:c r="G10" s="1353"/>
      <x:c r="H10" s="1329"/>
      <x:c r="I10" s="1329"/>
      <x:c r="J10" s="1329"/>
      <x:c r="K10" s="1329"/>
      <x:c r="L10" s="1329"/>
      <x:c r="M10" s="1329"/>
      <x:c r="N10" s="1329"/>
      <x:c r="O10" s="1329"/>
      <x:c r="P10" s="1329"/>
      <x:c r="Q10" s="1329"/>
      <x:c r="R10" s="1330"/>
    </x:row>
    <x:row r="11" ht="70" customHeight="1">
      <x:c r="A11" s="1348" t="str">
        <x:v>Client 1</x:v>
      </x:c>
      <x:c r="B11" s="1349" t="n">
        <x:v>6</x:v>
      </x:c>
      <x:c r="C11" s="1329"/>
      <x:c r="D11" s="1329"/>
      <x:c r="E11" s="1329"/>
      <x:c r="F11" s="1329"/>
      <x:c r="G11" s="1353"/>
      <x:c r="H11" s="1329"/>
      <x:c r="I11" s="1329"/>
      <x:c r="J11" s="1329"/>
      <x:c r="K11" s="1329"/>
      <x:c r="L11" s="1329"/>
      <x:c r="M11" s="1329"/>
      <x:c r="N11" s="1329"/>
      <x:c r="O11" s="1329"/>
      <x:c r="P11" s="1329"/>
      <x:c r="Q11" s="1329"/>
      <x:c r="R11" s="1330"/>
    </x:row>
    <x:row r="12" ht="70" customHeight="1">
      <x:c r="A12" s="1348" t="str">
        <x:v>Client 1</x:v>
      </x:c>
      <x:c r="B12" s="1349" t="n">
        <x:v>7</x:v>
      </x:c>
      <x:c r="C12" s="1329"/>
      <x:c r="D12" s="1329"/>
      <x:c r="E12" s="1329"/>
      <x:c r="F12" s="1329"/>
      <x:c r="G12" s="1353"/>
      <x:c r="H12" s="1329"/>
      <x:c r="I12" s="1329"/>
      <x:c r="J12" s="1329"/>
      <x:c r="K12" s="1329"/>
      <x:c r="L12" s="1329"/>
      <x:c r="M12" s="1329"/>
      <x:c r="N12" s="1329"/>
      <x:c r="O12" s="1329"/>
      <x:c r="P12" s="1329"/>
      <x:c r="Q12" s="1329"/>
      <x:c r="R12" s="1330"/>
    </x:row>
    <x:row r="13" ht="70" customHeight="1">
      <x:c r="A13" s="1348" t="str">
        <x:v>Client 1</x:v>
      </x:c>
      <x:c r="B13" s="1349" t="n">
        <x:v>8</x:v>
      </x:c>
      <x:c r="C13" s="1329"/>
      <x:c r="D13" s="1329"/>
      <x:c r="E13" s="1329"/>
      <x:c r="F13" s="1329"/>
      <x:c r="G13" s="1353"/>
      <x:c r="H13" s="1329"/>
      <x:c r="I13" s="1329"/>
      <x:c r="J13" s="1329"/>
      <x:c r="K13" s="1329"/>
      <x:c r="L13" s="1329"/>
      <x:c r="M13" s="1329"/>
      <x:c r="N13" s="1329"/>
      <x:c r="O13" s="1329"/>
      <x:c r="P13" s="1329"/>
      <x:c r="Q13" s="1329"/>
      <x:c r="R13" s="1330"/>
    </x:row>
    <x:row r="14" ht="70" customHeight="1">
      <x:c r="A14" s="1348" t="str">
        <x:v>Client 1</x:v>
      </x:c>
      <x:c r="B14" s="1349" t="n">
        <x:v>9</x:v>
      </x:c>
      <x:c r="C14" s="1329"/>
      <x:c r="D14" s="1329"/>
      <x:c r="E14" s="1329"/>
      <x:c r="F14" s="1329"/>
      <x:c r="G14" s="1353"/>
      <x:c r="H14" s="1329"/>
      <x:c r="I14" s="1329"/>
      <x:c r="J14" s="1329"/>
      <x:c r="K14" s="1329"/>
      <x:c r="L14" s="1329"/>
      <x:c r="M14" s="1329"/>
      <x:c r="N14" s="1329"/>
      <x:c r="O14" s="1329"/>
      <x:c r="P14" s="1329"/>
      <x:c r="Q14" s="1329"/>
      <x:c r="R14" s="1330"/>
    </x:row>
    <x:row r="15" ht="70" customHeight="1">
      <x:c r="A15" s="1348" t="str">
        <x:v>Client 1</x:v>
      </x:c>
      <x:c r="B15" s="1349" t="n">
        <x:v>10</x:v>
      </x:c>
      <x:c r="C15" s="1329"/>
      <x:c r="D15" s="1329"/>
      <x:c r="E15" s="1329"/>
      <x:c r="F15" s="1329"/>
      <x:c r="G15" s="1353"/>
      <x:c r="H15" s="1329"/>
      <x:c r="I15" s="1329"/>
      <x:c r="J15" s="1329"/>
      <x:c r="K15" s="1329"/>
      <x:c r="L15" s="1329"/>
      <x:c r="M15" s="1329"/>
      <x:c r="N15" s="1329"/>
      <x:c r="O15" s="1329"/>
      <x:c r="P15" s="1329"/>
      <x:c r="Q15" s="1329"/>
      <x:c r="R15" s="1330"/>
    </x:row>
    <x:row r="16" ht="70" customHeight="1">
      <x:c r="A16" s="1348" t="str">
        <x:v>Client 2</x:v>
      </x:c>
      <x:c r="B16" s="1349" t="n">
        <x:v>1</x:v>
      </x:c>
      <x:c r="C16" s="1329"/>
      <x:c r="D16" s="1329"/>
      <x:c r="E16" s="1329"/>
      <x:c r="F16" s="1329"/>
      <x:c r="G16" s="1353"/>
      <x:c r="H16" s="1329"/>
      <x:c r="I16" s="1329"/>
      <x:c r="J16" s="1329"/>
      <x:c r="K16" s="1329"/>
      <x:c r="L16" s="1329"/>
      <x:c r="M16" s="1329"/>
      <x:c r="N16" s="1329"/>
      <x:c r="O16" s="1329"/>
      <x:c r="P16" s="1329"/>
      <x:c r="Q16" s="1329"/>
      <x:c r="R16" s="1330"/>
    </x:row>
    <x:row r="17" ht="70" customHeight="1">
      <x:c r="A17" s="1348" t="str">
        <x:v>Client 2</x:v>
      </x:c>
      <x:c r="B17" s="1349" t="n">
        <x:v>2</x:v>
      </x:c>
      <x:c r="C17" s="1329"/>
      <x:c r="D17" s="1329"/>
      <x:c r="E17" s="1329"/>
      <x:c r="F17" s="1329"/>
      <x:c r="G17" s="1353"/>
      <x:c r="H17" s="1329"/>
      <x:c r="I17" s="1329"/>
      <x:c r="J17" s="1329"/>
      <x:c r="K17" s="1329"/>
      <x:c r="L17" s="1329"/>
      <x:c r="M17" s="1329"/>
      <x:c r="N17" s="1329"/>
      <x:c r="O17" s="1329"/>
      <x:c r="P17" s="1329"/>
      <x:c r="Q17" s="1329"/>
      <x:c r="R17" s="1330"/>
    </x:row>
    <x:row r="18" ht="70" customHeight="1">
      <x:c r="A18" s="1348" t="str">
        <x:v>Client 2</x:v>
      </x:c>
      <x:c r="B18" s="1349" t="n">
        <x:v>3</x:v>
      </x:c>
      <x:c r="C18" s="1329"/>
      <x:c r="D18" s="1329"/>
      <x:c r="E18" s="1329"/>
      <x:c r="F18" s="1329"/>
      <x:c r="G18" s="1353"/>
      <x:c r="H18" s="1329"/>
      <x:c r="I18" s="1329"/>
      <x:c r="J18" s="1329"/>
      <x:c r="K18" s="1329"/>
      <x:c r="L18" s="1329"/>
      <x:c r="M18" s="1329"/>
      <x:c r="N18" s="1329"/>
      <x:c r="O18" s="1329"/>
      <x:c r="P18" s="1329"/>
      <x:c r="Q18" s="1329"/>
      <x:c r="R18" s="1330"/>
    </x:row>
    <x:row r="19" ht="70" customHeight="1">
      <x:c r="A19" s="1348" t="str">
        <x:v>Client 2</x:v>
      </x:c>
      <x:c r="B19" s="1349" t="n">
        <x:v>4</x:v>
      </x:c>
      <x:c r="C19" s="1329"/>
      <x:c r="D19" s="1329"/>
      <x:c r="E19" s="1329"/>
      <x:c r="F19" s="1329"/>
      <x:c r="G19" s="1353"/>
      <x:c r="H19" s="1329"/>
      <x:c r="I19" s="1329"/>
      <x:c r="J19" s="1329"/>
      <x:c r="K19" s="1329"/>
      <x:c r="L19" s="1329"/>
      <x:c r="M19" s="1329"/>
      <x:c r="N19" s="1329"/>
      <x:c r="O19" s="1329"/>
      <x:c r="P19" s="1329"/>
      <x:c r="Q19" s="1329"/>
      <x:c r="R19" s="1330"/>
    </x:row>
    <x:row r="20" ht="70" customHeight="1">
      <x:c r="A20" s="1348" t="str">
        <x:v>Client 2</x:v>
      </x:c>
      <x:c r="B20" s="1349" t="n">
        <x:v>5</x:v>
      </x:c>
      <x:c r="C20" s="1329"/>
      <x:c r="D20" s="1329"/>
      <x:c r="E20" s="1329"/>
      <x:c r="F20" s="1329"/>
      <x:c r="G20" s="1353"/>
      <x:c r="H20" s="1329"/>
      <x:c r="I20" s="1329"/>
      <x:c r="J20" s="1329"/>
      <x:c r="K20" s="1329"/>
      <x:c r="L20" s="1329"/>
      <x:c r="M20" s="1329"/>
      <x:c r="N20" s="1329"/>
      <x:c r="O20" s="1329"/>
      <x:c r="P20" s="1329"/>
      <x:c r="Q20" s="1329"/>
      <x:c r="R20" s="1330"/>
    </x:row>
    <x:row r="21" ht="70" customHeight="1">
      <x:c r="A21" s="1348" t="str">
        <x:v>Client 2</x:v>
      </x:c>
      <x:c r="B21" s="1349" t="n">
        <x:v>6</x:v>
      </x:c>
      <x:c r="C21" s="1329"/>
      <x:c r="D21" s="1329"/>
      <x:c r="E21" s="1329"/>
      <x:c r="F21" s="1329"/>
      <x:c r="G21" s="1353"/>
      <x:c r="H21" s="1329"/>
      <x:c r="I21" s="1329"/>
      <x:c r="J21" s="1329"/>
      <x:c r="K21" s="1329"/>
      <x:c r="L21" s="1329"/>
      <x:c r="M21" s="1329"/>
      <x:c r="N21" s="1329"/>
      <x:c r="O21" s="1329"/>
      <x:c r="P21" s="1329"/>
      <x:c r="Q21" s="1329"/>
      <x:c r="R21" s="1330"/>
    </x:row>
    <x:row r="22" ht="70" customHeight="1">
      <x:c r="A22" s="1348" t="str">
        <x:v>Client 2</x:v>
      </x:c>
      <x:c r="B22" s="1349" t="n">
        <x:v>7</x:v>
      </x:c>
      <x:c r="C22" s="1329"/>
      <x:c r="D22" s="1329"/>
      <x:c r="E22" s="1329"/>
      <x:c r="F22" s="1329"/>
      <x:c r="G22" s="1353"/>
      <x:c r="H22" s="1329"/>
      <x:c r="I22" s="1329"/>
      <x:c r="J22" s="1329"/>
      <x:c r="K22" s="1329"/>
      <x:c r="L22" s="1329"/>
      <x:c r="M22" s="1329"/>
      <x:c r="N22" s="1329"/>
      <x:c r="O22" s="1329"/>
      <x:c r="P22" s="1329"/>
      <x:c r="Q22" s="1329"/>
      <x:c r="R22" s="1330"/>
    </x:row>
    <x:row r="23" ht="70" customHeight="1">
      <x:c r="A23" s="1348" t="str">
        <x:v>Client 2</x:v>
      </x:c>
      <x:c r="B23" s="1349" t="n">
        <x:v>8</x:v>
      </x:c>
      <x:c r="C23" s="1329"/>
      <x:c r="D23" s="1329"/>
      <x:c r="E23" s="1329"/>
      <x:c r="F23" s="1329"/>
      <x:c r="G23" s="1353"/>
      <x:c r="H23" s="1329"/>
      <x:c r="I23" s="1329"/>
      <x:c r="J23" s="1329"/>
      <x:c r="K23" s="1329"/>
      <x:c r="L23" s="1329"/>
      <x:c r="M23" s="1329"/>
      <x:c r="N23" s="1329"/>
      <x:c r="O23" s="1329"/>
      <x:c r="P23" s="1329"/>
      <x:c r="Q23" s="1329"/>
      <x:c r="R23" s="1330"/>
    </x:row>
    <x:row r="24" ht="70" customHeight="1">
      <x:c r="A24" s="1348" t="str">
        <x:v>Client 2</x:v>
      </x:c>
      <x:c r="B24" s="1349" t="n">
        <x:v>9</x:v>
      </x:c>
      <x:c r="C24" s="1329"/>
      <x:c r="D24" s="1329"/>
      <x:c r="E24" s="1329"/>
      <x:c r="F24" s="1329"/>
      <x:c r="G24" s="1353"/>
      <x:c r="H24" s="1329"/>
      <x:c r="I24" s="1329"/>
      <x:c r="J24" s="1329"/>
      <x:c r="K24" s="1329"/>
      <x:c r="L24" s="1329"/>
      <x:c r="M24" s="1329"/>
      <x:c r="N24" s="1329"/>
      <x:c r="O24" s="1329"/>
      <x:c r="P24" s="1329"/>
      <x:c r="Q24" s="1329"/>
      <x:c r="R24" s="1330"/>
    </x:row>
    <x:row r="25" ht="70" customHeight="1">
      <x:c r="A25" s="1348" t="str">
        <x:v>Client 2</x:v>
      </x:c>
      <x:c r="B25" s="1349" t="n">
        <x:v>10</x:v>
      </x:c>
      <x:c r="C25" s="1329"/>
      <x:c r="D25" s="1329"/>
      <x:c r="E25" s="1329"/>
      <x:c r="F25" s="1329"/>
      <x:c r="G25" s="1353"/>
      <x:c r="H25" s="1329"/>
      <x:c r="I25" s="1329"/>
      <x:c r="J25" s="1329"/>
      <x:c r="K25" s="1329"/>
      <x:c r="L25" s="1329"/>
      <x:c r="M25" s="1329"/>
      <x:c r="N25" s="1329"/>
      <x:c r="O25" s="1329"/>
      <x:c r="P25" s="1329"/>
      <x:c r="Q25" s="1329"/>
      <x:c r="R25" s="1330"/>
    </x:row>
    <x:row r="26" ht="70" customHeight="1">
      <x:c r="A26" s="1348" t="str">
        <x:v>Client 3</x:v>
      </x:c>
      <x:c r="B26" s="1349" t="n">
        <x:v>1</x:v>
      </x:c>
      <x:c r="C26" s="1329"/>
      <x:c r="D26" s="1329"/>
      <x:c r="E26" s="1329"/>
      <x:c r="F26" s="1329"/>
      <x:c r="G26" s="1353"/>
      <x:c r="H26" s="1329"/>
      <x:c r="I26" s="1329"/>
      <x:c r="J26" s="1329"/>
      <x:c r="K26" s="1329"/>
      <x:c r="L26" s="1329"/>
      <x:c r="M26" s="1329"/>
      <x:c r="N26" s="1329"/>
      <x:c r="O26" s="1329"/>
      <x:c r="P26" s="1329"/>
      <x:c r="Q26" s="1329"/>
      <x:c r="R26" s="1330"/>
    </x:row>
    <x:row r="27" ht="70" customHeight="1">
      <x:c r="A27" s="1348" t="str">
        <x:v>Client 3</x:v>
      </x:c>
      <x:c r="B27" s="1349" t="n">
        <x:v>2</x:v>
      </x:c>
      <x:c r="C27" s="1329"/>
      <x:c r="D27" s="1329"/>
      <x:c r="E27" s="1329"/>
      <x:c r="F27" s="1329"/>
      <x:c r="G27" s="1353"/>
      <x:c r="H27" s="1329"/>
      <x:c r="I27" s="1329"/>
      <x:c r="J27" s="1329"/>
      <x:c r="K27" s="1329"/>
      <x:c r="L27" s="1329"/>
      <x:c r="M27" s="1329"/>
      <x:c r="N27" s="1329"/>
      <x:c r="O27" s="1329"/>
      <x:c r="P27" s="1329"/>
      <x:c r="Q27" s="1329"/>
      <x:c r="R27" s="1330"/>
    </x:row>
    <x:row r="28" ht="70" customHeight="1">
      <x:c r="A28" s="1348" t="str">
        <x:v>Client 3</x:v>
      </x:c>
      <x:c r="B28" s="1349" t="n">
        <x:v>3</x:v>
      </x:c>
      <x:c r="C28" s="1329"/>
      <x:c r="D28" s="1329"/>
      <x:c r="E28" s="1329"/>
      <x:c r="F28" s="1329"/>
      <x:c r="G28" s="1353"/>
      <x:c r="H28" s="1329"/>
      <x:c r="I28" s="1329"/>
      <x:c r="J28" s="1329"/>
      <x:c r="K28" s="1329"/>
      <x:c r="L28" s="1329"/>
      <x:c r="M28" s="1329"/>
      <x:c r="N28" s="1329"/>
      <x:c r="O28" s="1329"/>
      <x:c r="P28" s="1329"/>
      <x:c r="Q28" s="1329"/>
      <x:c r="R28" s="1330"/>
    </x:row>
    <x:row r="29" ht="70" customHeight="1">
      <x:c r="A29" s="1348" t="str">
        <x:v>Client 3</x:v>
      </x:c>
      <x:c r="B29" s="1349" t="n">
        <x:v>4</x:v>
      </x:c>
      <x:c r="C29" s="1329"/>
      <x:c r="D29" s="1329"/>
      <x:c r="E29" s="1329"/>
      <x:c r="F29" s="1329"/>
      <x:c r="G29" s="1353"/>
      <x:c r="H29" s="1329"/>
      <x:c r="I29" s="1329"/>
      <x:c r="J29" s="1329"/>
      <x:c r="K29" s="1329"/>
      <x:c r="L29" s="1329"/>
      <x:c r="M29" s="1329"/>
      <x:c r="N29" s="1329"/>
      <x:c r="O29" s="1329"/>
      <x:c r="P29" s="1329"/>
      <x:c r="Q29" s="1329"/>
      <x:c r="R29" s="1330"/>
    </x:row>
    <x:row r="30" ht="70" customHeight="1">
      <x:c r="A30" s="1348" t="str">
        <x:v>Client 3</x:v>
      </x:c>
      <x:c r="B30" s="1349" t="n">
        <x:v>5</x:v>
      </x:c>
      <x:c r="C30" s="1329"/>
      <x:c r="D30" s="1329"/>
      <x:c r="E30" s="1329"/>
      <x:c r="F30" s="1329"/>
      <x:c r="G30" s="1353"/>
      <x:c r="H30" s="1329"/>
      <x:c r="I30" s="1329"/>
      <x:c r="J30" s="1329"/>
      <x:c r="K30" s="1329"/>
      <x:c r="L30" s="1329"/>
      <x:c r="M30" s="1329"/>
      <x:c r="N30" s="1329"/>
      <x:c r="O30" s="1329"/>
      <x:c r="P30" s="1329"/>
      <x:c r="Q30" s="1329"/>
      <x:c r="R30" s="1330"/>
    </x:row>
    <x:row r="31" ht="70" customHeight="1">
      <x:c r="A31" s="1348" t="str">
        <x:v>Client 3</x:v>
      </x:c>
      <x:c r="B31" s="1349" t="n">
        <x:v>6</x:v>
      </x:c>
      <x:c r="C31" s="1329"/>
      <x:c r="D31" s="1329"/>
      <x:c r="E31" s="1329"/>
      <x:c r="F31" s="1329"/>
      <x:c r="G31" s="1353"/>
      <x:c r="H31" s="1329"/>
      <x:c r="I31" s="1329"/>
      <x:c r="J31" s="1329"/>
      <x:c r="K31" s="1329"/>
      <x:c r="L31" s="1329"/>
      <x:c r="M31" s="1329"/>
      <x:c r="N31" s="1329"/>
      <x:c r="O31" s="1329"/>
      <x:c r="P31" s="1329"/>
      <x:c r="Q31" s="1329"/>
      <x:c r="R31" s="1330"/>
    </x:row>
    <x:row r="32" ht="70" customHeight="1">
      <x:c r="A32" s="1348" t="str">
        <x:v>Client 3</x:v>
      </x:c>
      <x:c r="B32" s="1349" t="n">
        <x:v>7</x:v>
      </x:c>
      <x:c r="C32" s="1329"/>
      <x:c r="D32" s="1329"/>
      <x:c r="E32" s="1329"/>
      <x:c r="F32" s="1329"/>
      <x:c r="G32" s="1353"/>
      <x:c r="H32" s="1329"/>
      <x:c r="I32" s="1329"/>
      <x:c r="J32" s="1329"/>
      <x:c r="K32" s="1329"/>
      <x:c r="L32" s="1329"/>
      <x:c r="M32" s="1329"/>
      <x:c r="N32" s="1329"/>
      <x:c r="O32" s="1329"/>
      <x:c r="P32" s="1329"/>
      <x:c r="Q32" s="1329"/>
      <x:c r="R32" s="1330"/>
    </x:row>
    <x:row r="33" ht="70" customHeight="1">
      <x:c r="A33" s="1348" t="str">
        <x:v>Client 3</x:v>
      </x:c>
      <x:c r="B33" s="1349" t="n">
        <x:v>8</x:v>
      </x:c>
      <x:c r="C33" s="1329"/>
      <x:c r="D33" s="1329"/>
      <x:c r="E33" s="1329"/>
      <x:c r="F33" s="1329"/>
      <x:c r="G33" s="1353"/>
      <x:c r="H33" s="1329"/>
      <x:c r="I33" s="1329"/>
      <x:c r="J33" s="1329"/>
      <x:c r="K33" s="1329"/>
      <x:c r="L33" s="1329"/>
      <x:c r="M33" s="1329"/>
      <x:c r="N33" s="1329"/>
      <x:c r="O33" s="1329"/>
      <x:c r="P33" s="1329"/>
      <x:c r="Q33" s="1329"/>
      <x:c r="R33" s="1330"/>
    </x:row>
    <x:row r="34" ht="70" customHeight="1">
      <x:c r="A34" s="1348" t="str">
        <x:v>Client 3</x:v>
      </x:c>
      <x:c r="B34" s="1349" t="n">
        <x:v>9</x:v>
      </x:c>
      <x:c r="C34" s="1329"/>
      <x:c r="D34" s="1329"/>
      <x:c r="E34" s="1329"/>
      <x:c r="F34" s="1329"/>
      <x:c r="G34" s="1353"/>
      <x:c r="H34" s="1329"/>
      <x:c r="I34" s="1329"/>
      <x:c r="J34" s="1329"/>
      <x:c r="K34" s="1329"/>
      <x:c r="L34" s="1329"/>
      <x:c r="M34" s="1329"/>
      <x:c r="N34" s="1329"/>
      <x:c r="O34" s="1329"/>
      <x:c r="P34" s="1329"/>
      <x:c r="Q34" s="1329"/>
      <x:c r="R34" s="1330"/>
    </x:row>
    <x:row r="35" ht="70" customHeight="1">
      <x:c r="A35" s="1350" t="str">
        <x:v>Client 3</x:v>
      </x:c>
      <x:c r="B35" s="1351" t="n">
        <x:v>10</x:v>
      </x:c>
      <x:c r="C35" s="1332"/>
      <x:c r="D35" s="1332"/>
      <x:c r="E35" s="1332"/>
      <x:c r="F35" s="1332"/>
      <x:c r="G35" s="1354"/>
      <x:c r="H35" s="1332"/>
      <x:c r="I35" s="1332"/>
      <x:c r="J35" s="1332"/>
      <x:c r="K35" s="1332"/>
      <x:c r="L35" s="1332"/>
      <x:c r="M35" s="1332"/>
      <x:c r="N35" s="1332"/>
      <x:c r="O35" s="1332"/>
      <x:c r="P35" s="1332"/>
      <x:c r="Q35" s="1332"/>
      <x:c r="R35" s="1333"/>
    </x:row>
  </x:sheetData>
  <x:mergeCells>
    <x:mergeCell ref="A1:R1"/>
    <x:mergeCell ref="A2:R2"/>
  </x:mergeCells>
  <x:dataValidations count="2">
    <x:dataValidation type="list" sqref="D6:D35">
      <x:formula1>"Fixed-income fund/ETF,Equity fund/ETF,Individual equity,Other fund/ETF"</x:formula1>
    </x:dataValidation>
    <x:dataValidation type="list" sqref="E6:E35">
      <x:formula1>"Client and Macro Strategist,Fixed-Income Analyst,Equity Analyst,Portfolio Manager,Risk and Derivatives Analyst"</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30" hidden="0" customWidth="1"/>
    <x:col min="4" max="4" width="30" hidden="0" customWidth="1"/>
    <x:col min="5" max="5" width="24" hidden="0" customWidth="1"/>
    <x:col min="6" max="6" width="30" hidden="0" customWidth="1"/>
    <x:col min="7" max="7" width="30" hidden="0" customWidth="1"/>
    <x:col min="8" max="8" width="28" hidden="0" customWidth="1"/>
    <x:col min="9" max="9" width="24" hidden="0" customWidth="1"/>
  </x:cols>
  <x:sheetData>
    <x:row r="1" ht="34" customHeight="1">
      <x:c r="A1" s="1250" t="str">
        <x:v>BUS331 — Residual Risk and Hedge / No-Hedge Decision</x:v>
      </x:c>
      <x:c r="B1" s="1250"/>
      <x:c r="C1" s="1250"/>
      <x:c r="D1" s="1250"/>
      <x:c r="E1" s="1250"/>
      <x:c r="F1" s="1250"/>
      <x:c r="G1" s="1250"/>
      <x:c r="H1" s="1250"/>
      <x:c r="I1" s="1250"/>
    </x:row>
    <x:row r="2" ht="48" customHeight="1">
      <x:c r="A2" s="1301" t="str">
        <x:v>A derivative is optional, never performative. Use at most one targeted hedge per client portfolio and only when it addresses an identified residual risk that cannot be handled more appropriately through the holdings or weights.</x:v>
      </x:c>
      <x:c r="B2" s="1301"/>
      <x:c r="C2" s="1301"/>
      <x:c r="D2" s="1301"/>
      <x:c r="E2" s="1301"/>
      <x:c r="F2" s="1301"/>
      <x:c r="G2" s="1301"/>
      <x:c r="H2" s="1301"/>
      <x:c r="I2" s="1301"/>
    </x:row>
    <x:row r="3" ht="52" customHeight="1">
      <x:c r="A3" s="1358" t="str">
        <x:v>A no-hedge conclusion is complete when the Risk and Derivatives Analyst identifies the residual risk, explains why the portfolio should retain it, and supports why hedge cost, liquidity, complexity, basis risk, or other trade-offs outweigh the expected benefit.</x:v>
      </x:c>
      <x:c r="B3" s="1358"/>
      <x:c r="C3" s="1358"/>
      <x:c r="D3" s="1358"/>
      <x:c r="E3" s="1358"/>
      <x:c r="F3" s="1358"/>
      <x:c r="G3" s="1358"/>
      <x:c r="H3" s="1358"/>
      <x:c r="I3" s="1358"/>
    </x:row>
    <x:row r="6" ht="62" customHeight="1">
      <x:c r="A6" s="1305" t="str">
        <x:v>Client</x:v>
      </x:c>
      <x:c r="B6" s="1305" t="str">
        <x:v>Conclusion</x:v>
      </x:c>
      <x:c r="C6" s="1305" t="str">
        <x:v>Residual Risk &amp; Stress Evidence</x:v>
      </x:c>
      <x:c r="D6" s="1305" t="str">
        <x:v>Instrument &amp; Targeting Rationale</x:v>
      </x:c>
      <x:c r="E6" s="1305" t="str">
        <x:v>Size &amp; Sizing Rationale</x:v>
      </x:c>
      <x:c r="F6" s="1305" t="str">
        <x:v>Cost / Liquidity / Trade-Offs</x:v>
      </x:c>
      <x:c r="G6" s="1305" t="str">
        <x:v>Residual / Basis / Execution Risk</x:v>
      </x:c>
      <x:c r="H6" s="1305" t="str">
        <x:v>Adjustment / Removal Condition</x:v>
      </x:c>
      <x:c r="I6" s="1305" t="str">
        <x:v>Owner / Peer Review</x:v>
      </x:c>
    </x:row>
    <x:row r="7" ht="90" customHeight="1">
      <x:c r="A7" s="1390" t="str">
        <x:v>Client 1</x:v>
      </x:c>
      <x:c r="B7" s="1379" t="str"/>
      <x:c r="C7" s="1379" t="str"/>
      <x:c r="D7" s="1379" t="str"/>
      <x:c r="E7" s="1379" t="str"/>
      <x:c r="F7" s="1379" t="str"/>
      <x:c r="G7" s="1379" t="str"/>
      <x:c r="H7" s="1379" t="str"/>
      <x:c r="I7" s="1380" t="str"/>
    </x:row>
    <x:row r="8" ht="90" customHeight="1">
      <x:c r="A8" s="1391" t="str">
        <x:v>Client 2</x:v>
      </x:c>
      <x:c r="B8" s="1382" t="str"/>
      <x:c r="C8" s="1382" t="str"/>
      <x:c r="D8" s="1382" t="str"/>
      <x:c r="E8" s="1382" t="str"/>
      <x:c r="F8" s="1382" t="str"/>
      <x:c r="G8" s="1382" t="str"/>
      <x:c r="H8" s="1382" t="str"/>
      <x:c r="I8" s="1383" t="str"/>
    </x:row>
    <x:row r="9" ht="90" customHeight="1">
      <x:c r="A9" s="1392" t="str">
        <x:v>Client 3</x:v>
      </x:c>
      <x:c r="B9" s="1385" t="str"/>
      <x:c r="C9" s="1385" t="str"/>
      <x:c r="D9" s="1385" t="str"/>
      <x:c r="E9" s="1385" t="str"/>
      <x:c r="F9" s="1385" t="str"/>
      <x:c r="G9" s="1385" t="str"/>
      <x:c r="H9" s="1385" t="str"/>
      <x:c r="I9" s="1386" t="str"/>
    </x:row>
  </x:sheetData>
  <x:mergeCells>
    <x:mergeCell ref="A1:I1"/>
    <x:mergeCell ref="A2:I2"/>
    <x:mergeCell ref="A3:I3"/>
  </x:mergeCells>
  <x:dataValidations count="1">
    <x:dataValidation type="list" sqref="B7:B9">
      <x:formula1>"No hedge,One targeted hedge"</x:formula1>
    </x:dataValidation>
  </x:dataValidations>
  <x:pageMargins left="0.7" right="0.7" top="0.75" bottom="0.75" header="0.3" footer="0.3"/>
</x:worksheet>
</file>